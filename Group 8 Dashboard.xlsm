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7.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tables/table8.xml" ContentType="application/vnd.openxmlformats-officedocument.spreadsheetml.table+xml"/>
  <Override PartName="/xl/drawings/drawing7.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https://d.docs.live.net/60608726d2b5d3a0/Desktop/Class/Data managment project/Data/Final Dashboard/"/>
    </mc:Choice>
  </mc:AlternateContent>
  <xr:revisionPtr revIDLastSave="183" documentId="13_ncr:1_{8A9BA481-9DD4-436F-91E0-4CBC54A248FB}" xr6:coauthVersionLast="47" xr6:coauthVersionMax="47" xr10:uidLastSave="{95750249-35F0-4755-BF3A-64FCD21EF281}"/>
  <bookViews>
    <workbookView xWindow="-110" yWindow="-110" windowWidth="19420" windowHeight="11500" xr2:uid="{00000000-000D-0000-FFFF-FFFF00000000}"/>
  </bookViews>
  <sheets>
    <sheet name="Introduction" sheetId="32" r:id="rId1"/>
    <sheet name="Top 100 Universities" sheetId="7" r:id="rId2"/>
    <sheet name="Forbes Top 500 Unis" sheetId="6" state="hidden" r:id="rId3"/>
    <sheet name="Safest States" sheetId="10" state="hidden" r:id="rId4"/>
    <sheet name="Forbes" sheetId="4" state="hidden" r:id="rId5"/>
    <sheet name="State_Crime Rate" sheetId="8" state="hidden" r:id="rId6"/>
    <sheet name="Party Affliation by States" sheetId="9" state="hidden" r:id="rId7"/>
    <sheet name="Cost of Living" sheetId="13" state="hidden" r:id="rId8"/>
    <sheet name="Safety, Crime, Party Comb.sheet" sheetId="28" state="hidden" r:id="rId9"/>
    <sheet name="Make Your Selection" sheetId="21" r:id="rId10"/>
    <sheet name="Detailed Analysis" sheetId="22" r:id="rId11"/>
    <sheet name="Uni Specific Visuals" sheetId="15" r:id="rId12"/>
    <sheet name="Reference Sheet for Uni spec" sheetId="24" state="hidden" r:id="rId13"/>
    <sheet name="State Specific Analysis" sheetId="26" r:id="rId14"/>
    <sheet name="References" sheetId="11" state="hidden" r:id="rId15"/>
    <sheet name="Sheet2" sheetId="30" state="hidden" r:id="rId16"/>
  </sheets>
  <externalReferences>
    <externalReference r:id="rId17"/>
  </externalReferences>
  <definedNames>
    <definedName name="_xlnm._FilterDatabase" localSheetId="4" hidden="1">Forbes!$A$1:$H$501</definedName>
    <definedName name="_xlchart.v2.4" hidden="1">'Reference Sheet for Uni spec'!$A$2:$A$7</definedName>
    <definedName name="_xlchart.v2.5" hidden="1">'Reference Sheet for Uni spec'!$B$1</definedName>
    <definedName name="_xlchart.v2.6" hidden="1">'Reference Sheet for Uni spec'!$B$2:$B$7</definedName>
    <definedName name="_xlchart.v2.7" hidden="1">'Reference Sheet for Uni spec'!$A$2:$A$7</definedName>
    <definedName name="_xlchart.v2.8" hidden="1">'Reference Sheet for Uni spec'!$B$1</definedName>
    <definedName name="_xlchart.v2.9" hidden="1">'Reference Sheet for Uni spec'!$B$2:$B$7</definedName>
    <definedName name="_xlchart.v5.0" hidden="1">'Reference Sheet for Uni spec'!$J$1</definedName>
    <definedName name="_xlchart.v5.1" hidden="1">'Reference Sheet for Uni spec'!$J$2:$J$6</definedName>
    <definedName name="_xlchart.v5.2" hidden="1">'Reference Sheet for Uni spec'!$K$1</definedName>
    <definedName name="_xlchart.v5.3" hidden="1">'Reference Sheet for Uni spec'!$K$2:$K$6</definedName>
    <definedName name="Slicer_State">#N/A</definedName>
  </definedNames>
  <calcPr calcId="191029"/>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3" l="1"/>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M2" i="7" l="1" a="1"/>
  <c r="M2" i="7" s="1"/>
  <c r="M3" i="7" a="1"/>
  <c r="M3" i="7" s="1"/>
  <c r="M4" i="7" a="1"/>
  <c r="M4" i="7" s="1"/>
  <c r="M5" i="7" a="1"/>
  <c r="M5" i="7" s="1"/>
  <c r="M6" i="7" a="1"/>
  <c r="M6" i="7" s="1"/>
  <c r="M7" i="7" a="1"/>
  <c r="M7" i="7" s="1"/>
  <c r="M8" i="7" a="1"/>
  <c r="M8" i="7" s="1"/>
  <c r="M9" i="7" a="1"/>
  <c r="M9" i="7" s="1"/>
  <c r="M10" i="7" a="1"/>
  <c r="M10" i="7" s="1"/>
  <c r="M11" i="7" a="1"/>
  <c r="M11" i="7" s="1"/>
  <c r="M12" i="7" a="1"/>
  <c r="M12" i="7" s="1"/>
  <c r="M13" i="7" a="1"/>
  <c r="M13" i="7" s="1"/>
  <c r="M14" i="7" a="1"/>
  <c r="M14" i="7" s="1"/>
  <c r="M15" i="7" a="1"/>
  <c r="M15" i="7" s="1"/>
  <c r="M16" i="7" a="1"/>
  <c r="M16" i="7" s="1"/>
  <c r="M17" i="7" a="1"/>
  <c r="M17" i="7" s="1"/>
  <c r="M18" i="7" a="1"/>
  <c r="M18" i="7" s="1"/>
  <c r="M19" i="7" a="1"/>
  <c r="M19" i="7" s="1"/>
  <c r="M20" i="7" a="1"/>
  <c r="M20" i="7" s="1"/>
  <c r="M21" i="7" a="1"/>
  <c r="M21" i="7" s="1"/>
  <c r="M22" i="7" a="1"/>
  <c r="M22" i="7" s="1"/>
  <c r="M23" i="7" a="1"/>
  <c r="M23" i="7" s="1"/>
  <c r="M24" i="7" a="1"/>
  <c r="M24" i="7" s="1"/>
  <c r="M25" i="7" a="1"/>
  <c r="M25" i="7" s="1"/>
  <c r="M26" i="7" a="1"/>
  <c r="M26" i="7" s="1"/>
  <c r="M27" i="7" a="1"/>
  <c r="M27" i="7" s="1"/>
  <c r="M28" i="7" a="1"/>
  <c r="M28" i="7" s="1"/>
  <c r="M29" i="7" a="1"/>
  <c r="M29" i="7" s="1"/>
  <c r="M30" i="7" a="1"/>
  <c r="M30" i="7" s="1"/>
  <c r="M31" i="7" a="1"/>
  <c r="M31" i="7" s="1"/>
  <c r="M32" i="7" a="1"/>
  <c r="M32" i="7" s="1"/>
  <c r="M33" i="7" a="1"/>
  <c r="M33" i="7" s="1"/>
  <c r="M34" i="7" a="1"/>
  <c r="M34" i="7" s="1"/>
  <c r="M35" i="7" a="1"/>
  <c r="M35" i="7" s="1"/>
  <c r="M36" i="7" a="1"/>
  <c r="M36" i="7" s="1"/>
  <c r="M37" i="7" a="1"/>
  <c r="M37" i="7" s="1"/>
  <c r="M38" i="7" a="1"/>
  <c r="M38" i="7" s="1"/>
  <c r="M39" i="7" a="1"/>
  <c r="M39" i="7" s="1"/>
  <c r="M40" i="7" a="1"/>
  <c r="M40" i="7" s="1"/>
  <c r="M41" i="7" a="1"/>
  <c r="M41" i="7" s="1"/>
  <c r="M42" i="7" a="1"/>
  <c r="M42" i="7" s="1"/>
  <c r="M43" i="7" a="1"/>
  <c r="M43" i="7" s="1"/>
  <c r="M44" i="7" a="1"/>
  <c r="M44" i="7" s="1"/>
  <c r="M45" i="7" a="1"/>
  <c r="M45" i="7" s="1"/>
  <c r="M47" i="7" a="1"/>
  <c r="M47" i="7" s="1"/>
  <c r="M48" i="7" a="1"/>
  <c r="M48" i="7" s="1"/>
  <c r="M49" i="7" a="1"/>
  <c r="M49" i="7" s="1"/>
  <c r="M50" i="7" a="1"/>
  <c r="M50" i="7" s="1"/>
  <c r="M51" i="7" a="1"/>
  <c r="M51" i="7" s="1"/>
  <c r="M52" i="7" a="1"/>
  <c r="M52" i="7" s="1"/>
  <c r="M53" i="7" a="1"/>
  <c r="M53" i="7" s="1"/>
  <c r="M54" i="7" a="1"/>
  <c r="M54" i="7" s="1"/>
  <c r="M55" i="7" a="1"/>
  <c r="M55" i="7" s="1"/>
  <c r="M56" i="7" a="1"/>
  <c r="M56" i="7" s="1"/>
  <c r="M57" i="7" a="1"/>
  <c r="M57" i="7" s="1"/>
  <c r="M58" i="7" a="1"/>
  <c r="M58" i="7" s="1"/>
  <c r="M59" i="7" a="1"/>
  <c r="M59" i="7" s="1"/>
  <c r="M60" i="7" a="1"/>
  <c r="M60" i="7" s="1"/>
  <c r="M61" i="7" a="1"/>
  <c r="M61" i="7" s="1"/>
  <c r="M62" i="7" a="1"/>
  <c r="M62" i="7" s="1"/>
  <c r="M64" i="7" a="1"/>
  <c r="M64" i="7" s="1"/>
  <c r="M65" i="7" a="1"/>
  <c r="M65" i="7" s="1"/>
  <c r="M66" i="7" a="1"/>
  <c r="M66" i="7" s="1"/>
  <c r="M67" i="7" a="1"/>
  <c r="M67" i="7" s="1"/>
  <c r="M68" i="7" a="1"/>
  <c r="M68" i="7" s="1"/>
  <c r="M69" i="7" a="1"/>
  <c r="M69" i="7" s="1"/>
  <c r="M70" i="7" a="1"/>
  <c r="M70" i="7" s="1"/>
  <c r="M71" i="7" a="1"/>
  <c r="M71" i="7" s="1"/>
  <c r="M72" i="7" a="1"/>
  <c r="M72" i="7" s="1"/>
  <c r="M73" i="7" a="1"/>
  <c r="M73" i="7" s="1"/>
  <c r="M74" i="7" a="1"/>
  <c r="M74" i="7" s="1"/>
  <c r="M75" i="7" a="1"/>
  <c r="M75" i="7" s="1"/>
  <c r="M76" i="7" a="1"/>
  <c r="M76" i="7" s="1"/>
  <c r="M77" i="7" a="1"/>
  <c r="M77" i="7" s="1"/>
  <c r="M78" i="7" a="1"/>
  <c r="M78" i="7" s="1"/>
  <c r="M79" i="7" a="1"/>
  <c r="M79" i="7" s="1"/>
  <c r="M80" i="7" a="1"/>
  <c r="M80" i="7" s="1"/>
  <c r="M81" i="7" a="1"/>
  <c r="M81" i="7" s="1"/>
  <c r="M82" i="7" a="1"/>
  <c r="M82" i="7" s="1"/>
  <c r="M83" i="7" a="1"/>
  <c r="M83" i="7" s="1"/>
  <c r="M84" i="7" a="1"/>
  <c r="M84" i="7" s="1"/>
  <c r="M85" i="7" a="1"/>
  <c r="M85" i="7" s="1"/>
  <c r="M86" i="7" a="1"/>
  <c r="M86" i="7" s="1"/>
  <c r="M87" i="7" a="1"/>
  <c r="M87" i="7" s="1"/>
  <c r="M88" i="7" a="1"/>
  <c r="M88" i="7" s="1"/>
  <c r="M89" i="7" a="1"/>
  <c r="M89" i="7" s="1"/>
  <c r="M90" i="7" a="1"/>
  <c r="M90" i="7" s="1"/>
  <c r="M91" i="7" a="1"/>
  <c r="M91" i="7" s="1"/>
  <c r="M92" i="7" a="1"/>
  <c r="M92" i="7" s="1"/>
  <c r="M93" i="7" a="1"/>
  <c r="M93" i="7" s="1"/>
  <c r="M94" i="7" a="1"/>
  <c r="M94" i="7" s="1"/>
  <c r="M95" i="7" a="1"/>
  <c r="M95" i="7" s="1"/>
  <c r="M96" i="7" a="1"/>
  <c r="M96" i="7" s="1"/>
  <c r="M97" i="7" a="1"/>
  <c r="M97" i="7" s="1"/>
  <c r="M98" i="7" a="1"/>
  <c r="M98" i="7" s="1"/>
  <c r="M99" i="7" a="1"/>
  <c r="M99" i="7" s="1"/>
  <c r="M100" i="7" a="1"/>
  <c r="M100" i="7" s="1"/>
  <c r="M101" i="7" a="1"/>
  <c r="M101" i="7" s="1"/>
  <c r="K2" i="7" a="1"/>
  <c r="K2" i="7" s="1"/>
  <c r="K3" i="7" a="1"/>
  <c r="K3" i="7" s="1"/>
  <c r="K4" i="7" a="1"/>
  <c r="K4" i="7" s="1"/>
  <c r="K5" i="7" a="1"/>
  <c r="K5" i="7" s="1"/>
  <c r="K6" i="7" a="1"/>
  <c r="K6" i="7" s="1"/>
  <c r="K7" i="7" a="1"/>
  <c r="K7" i="7" s="1"/>
  <c r="K8" i="7" a="1"/>
  <c r="K8" i="7" s="1"/>
  <c r="K9" i="7" a="1"/>
  <c r="K9" i="7" s="1"/>
  <c r="K10" i="7" a="1"/>
  <c r="K10" i="7" s="1"/>
  <c r="K11" i="7" a="1"/>
  <c r="K11" i="7" s="1"/>
  <c r="K12" i="7" a="1"/>
  <c r="K12" i="7" s="1"/>
  <c r="K13" i="7" a="1"/>
  <c r="K13" i="7" s="1"/>
  <c r="K14" i="7" a="1"/>
  <c r="K14" i="7" s="1"/>
  <c r="K15" i="7" a="1"/>
  <c r="K15" i="7" s="1"/>
  <c r="K16" i="7" a="1"/>
  <c r="K16" i="7" s="1"/>
  <c r="K17" i="7" a="1"/>
  <c r="K17" i="7" s="1"/>
  <c r="K18" i="7" a="1"/>
  <c r="K18" i="7" s="1"/>
  <c r="K19" i="7" a="1"/>
  <c r="K19" i="7" s="1"/>
  <c r="K20" i="7" a="1"/>
  <c r="K20" i="7" s="1"/>
  <c r="K21" i="7" a="1"/>
  <c r="K21" i="7" s="1"/>
  <c r="K22" i="7" a="1"/>
  <c r="K22" i="7" s="1"/>
  <c r="K23" i="7" a="1"/>
  <c r="K23" i="7" s="1"/>
  <c r="K24" i="7" a="1"/>
  <c r="K24" i="7" s="1"/>
  <c r="K25" i="7" a="1"/>
  <c r="K25" i="7" s="1"/>
  <c r="K26" i="7" a="1"/>
  <c r="K26" i="7" s="1"/>
  <c r="K27" i="7" a="1"/>
  <c r="K27" i="7" s="1"/>
  <c r="K28" i="7" a="1"/>
  <c r="K28" i="7" s="1"/>
  <c r="K29" i="7" a="1"/>
  <c r="K29" i="7" s="1"/>
  <c r="K30" i="7" a="1"/>
  <c r="K30" i="7" s="1"/>
  <c r="K31" i="7" a="1"/>
  <c r="K31" i="7" s="1"/>
  <c r="K32" i="7" a="1"/>
  <c r="K32" i="7" s="1"/>
  <c r="K33" i="7" a="1"/>
  <c r="K33" i="7" s="1"/>
  <c r="K34" i="7" a="1"/>
  <c r="K34" i="7" s="1"/>
  <c r="K35" i="7" a="1"/>
  <c r="K35" i="7" s="1"/>
  <c r="K36" i="7" a="1"/>
  <c r="K36" i="7" s="1"/>
  <c r="K37" i="7" a="1"/>
  <c r="K37" i="7" s="1"/>
  <c r="K38" i="7" a="1"/>
  <c r="K38" i="7" s="1"/>
  <c r="K39" i="7" a="1"/>
  <c r="K39" i="7" s="1"/>
  <c r="K40" i="7" a="1"/>
  <c r="K40" i="7" s="1"/>
  <c r="K41" i="7" a="1"/>
  <c r="K41" i="7" s="1"/>
  <c r="K42" i="7" a="1"/>
  <c r="K42" i="7" s="1"/>
  <c r="K43" i="7" a="1"/>
  <c r="K43" i="7" s="1"/>
  <c r="K44" i="7" a="1"/>
  <c r="K44" i="7" s="1"/>
  <c r="K45" i="7" a="1"/>
  <c r="K45" i="7" s="1"/>
  <c r="K46" i="7" a="1"/>
  <c r="K46" i="7" s="1"/>
  <c r="K47" i="7" a="1"/>
  <c r="K47" i="7" s="1"/>
  <c r="K48" i="7" a="1"/>
  <c r="K48" i="7" s="1"/>
  <c r="K49" i="7" a="1"/>
  <c r="K49" i="7" s="1"/>
  <c r="K50" i="7" a="1"/>
  <c r="K50" i="7" s="1"/>
  <c r="K51" i="7" a="1"/>
  <c r="K51" i="7" s="1"/>
  <c r="K52" i="7" a="1"/>
  <c r="K52" i="7" s="1"/>
  <c r="K53" i="7" a="1"/>
  <c r="K53" i="7" s="1"/>
  <c r="K54" i="7" a="1"/>
  <c r="K54" i="7" s="1"/>
  <c r="K55" i="7" a="1"/>
  <c r="K55" i="7" s="1"/>
  <c r="K56" i="7" a="1"/>
  <c r="K56" i="7" s="1"/>
  <c r="K57" i="7" a="1"/>
  <c r="K57" i="7" s="1"/>
  <c r="K58" i="7" a="1"/>
  <c r="K58" i="7" s="1"/>
  <c r="K59" i="7" a="1"/>
  <c r="K59" i="7" s="1"/>
  <c r="K60" i="7" a="1"/>
  <c r="K60" i="7" s="1"/>
  <c r="K61" i="7" a="1"/>
  <c r="K61" i="7" s="1"/>
  <c r="K62" i="7" a="1"/>
  <c r="K62" i="7" s="1"/>
  <c r="K63" i="7" a="1"/>
  <c r="K63" i="7" s="1"/>
  <c r="K64" i="7" a="1"/>
  <c r="K64" i="7" s="1"/>
  <c r="K65" i="7" a="1"/>
  <c r="K65" i="7" s="1"/>
  <c r="K66" i="7" a="1"/>
  <c r="K66" i="7" s="1"/>
  <c r="K67" i="7" a="1"/>
  <c r="K67" i="7" s="1"/>
  <c r="K68" i="7" a="1"/>
  <c r="K68" i="7" s="1"/>
  <c r="K69" i="7" a="1"/>
  <c r="K69" i="7" s="1"/>
  <c r="K70" i="7" a="1"/>
  <c r="K70" i="7" s="1"/>
  <c r="K71" i="7" a="1"/>
  <c r="K71" i="7" s="1"/>
  <c r="K72" i="7" a="1"/>
  <c r="K72" i="7" s="1"/>
  <c r="K73" i="7" a="1"/>
  <c r="K73" i="7" s="1"/>
  <c r="K74" i="7" a="1"/>
  <c r="K74" i="7" s="1"/>
  <c r="K75" i="7" a="1"/>
  <c r="K75" i="7" s="1"/>
  <c r="K76" i="7" a="1"/>
  <c r="K76" i="7" s="1"/>
  <c r="K77" i="7" a="1"/>
  <c r="K77" i="7" s="1"/>
  <c r="K78" i="7" a="1"/>
  <c r="K78" i="7" s="1"/>
  <c r="K79" i="7" a="1"/>
  <c r="K79" i="7" s="1"/>
  <c r="K80" i="7" a="1"/>
  <c r="K80" i="7" s="1"/>
  <c r="K81" i="7" a="1"/>
  <c r="K81" i="7" s="1"/>
  <c r="K82" i="7" a="1"/>
  <c r="K82" i="7" s="1"/>
  <c r="K83" i="7" a="1"/>
  <c r="K83" i="7" s="1"/>
  <c r="K84" i="7" a="1"/>
  <c r="K84" i="7" s="1"/>
  <c r="K85" i="7" a="1"/>
  <c r="K85" i="7" s="1"/>
  <c r="K86" i="7" a="1"/>
  <c r="K86" i="7" s="1"/>
  <c r="K87" i="7" a="1"/>
  <c r="K87" i="7" s="1"/>
  <c r="K88" i="7" a="1"/>
  <c r="K88" i="7" s="1"/>
  <c r="K89" i="7" a="1"/>
  <c r="K89" i="7" s="1"/>
  <c r="K90" i="7" a="1"/>
  <c r="K90" i="7" s="1"/>
  <c r="K91" i="7" a="1"/>
  <c r="K91" i="7" s="1"/>
  <c r="K92" i="7" a="1"/>
  <c r="K92" i="7" s="1"/>
  <c r="K93" i="7" a="1"/>
  <c r="K93" i="7" s="1"/>
  <c r="K94" i="7" a="1"/>
  <c r="K94" i="7" s="1"/>
  <c r="K95" i="7" a="1"/>
  <c r="K95" i="7" s="1"/>
  <c r="K96" i="7" a="1"/>
  <c r="K96" i="7" s="1"/>
  <c r="K97" i="7" a="1"/>
  <c r="K97" i="7" s="1"/>
  <c r="K98" i="7" a="1"/>
  <c r="K98" i="7" s="1"/>
  <c r="K99" i="7" a="1"/>
  <c r="K99" i="7" s="1"/>
  <c r="K100" i="7" a="1"/>
  <c r="K100" i="7" s="1"/>
  <c r="K101" i="7" a="1"/>
  <c r="K101" i="7" s="1"/>
  <c r="C2" i="28"/>
  <c r="F3" i="28" a="1"/>
  <c r="F3" i="28" s="1"/>
  <c r="F4" i="28" a="1"/>
  <c r="F4" i="28"/>
  <c r="F5" i="28" a="1"/>
  <c r="F5" i="28" s="1"/>
  <c r="F6" i="28" a="1"/>
  <c r="F6" i="28"/>
  <c r="F7" i="28" a="1"/>
  <c r="F7" i="28" s="1"/>
  <c r="F8" i="28" a="1"/>
  <c r="F8" i="28"/>
  <c r="F9" i="28" a="1"/>
  <c r="F9" i="28" s="1"/>
  <c r="F10" i="28" a="1"/>
  <c r="F10" i="28"/>
  <c r="F11" i="28" a="1"/>
  <c r="F11" i="28" s="1"/>
  <c r="F12" i="28" a="1"/>
  <c r="F12" i="28"/>
  <c r="F13" i="28" a="1"/>
  <c r="F13" i="28" s="1"/>
  <c r="F14" i="28" a="1"/>
  <c r="F14" i="28"/>
  <c r="F15" i="28" a="1"/>
  <c r="F15" i="28" s="1"/>
  <c r="F16" i="28" a="1"/>
  <c r="F16" i="28"/>
  <c r="F17" i="28" a="1"/>
  <c r="F17" i="28" s="1"/>
  <c r="F18" i="28" a="1"/>
  <c r="F18" i="28"/>
  <c r="F19" i="28" a="1"/>
  <c r="F19" i="28" s="1"/>
  <c r="F20" i="28" a="1"/>
  <c r="F20" i="28"/>
  <c r="F21" i="28" a="1"/>
  <c r="F21" i="28" s="1"/>
  <c r="F22" i="28" a="1"/>
  <c r="F22" i="28"/>
  <c r="F23" i="28" a="1"/>
  <c r="F23" i="28" s="1"/>
  <c r="F24" i="28" a="1"/>
  <c r="F24" i="28"/>
  <c r="F25" i="28" a="1"/>
  <c r="F25" i="28" s="1"/>
  <c r="F26" i="28" a="1"/>
  <c r="F26" i="28"/>
  <c r="F27" i="28" a="1"/>
  <c r="F27" i="28" s="1"/>
  <c r="F28" i="28" a="1"/>
  <c r="F28" i="28"/>
  <c r="F29" i="28" a="1"/>
  <c r="F29" i="28" s="1"/>
  <c r="F30" i="28" a="1"/>
  <c r="F30" i="28"/>
  <c r="F31" i="28" a="1"/>
  <c r="F31" i="28" s="1"/>
  <c r="F32" i="28" a="1"/>
  <c r="F32" i="28"/>
  <c r="F33" i="28" a="1"/>
  <c r="F33" i="28" s="1"/>
  <c r="F34" i="28" a="1"/>
  <c r="F34" i="28"/>
  <c r="F35" i="28" a="1"/>
  <c r="F35" i="28" s="1"/>
  <c r="F36" i="28" a="1"/>
  <c r="F36" i="28"/>
  <c r="F37" i="28" a="1"/>
  <c r="F37" i="28" s="1"/>
  <c r="F38" i="28" a="1"/>
  <c r="F38" i="28"/>
  <c r="F39" i="28" a="1"/>
  <c r="F39" i="28" s="1"/>
  <c r="F40" i="28" a="1"/>
  <c r="F40" i="28"/>
  <c r="F41" i="28" a="1"/>
  <c r="F41" i="28" s="1"/>
  <c r="F42" i="28" a="1"/>
  <c r="F42" i="28"/>
  <c r="F43" i="28" a="1"/>
  <c r="F43" i="28" s="1"/>
  <c r="F44" i="28" a="1"/>
  <c r="F44" i="28"/>
  <c r="F45" i="28" a="1"/>
  <c r="F45" i="28" s="1"/>
  <c r="F46" i="28" a="1"/>
  <c r="F46" i="28"/>
  <c r="F47" i="28" a="1"/>
  <c r="F47" i="28" s="1"/>
  <c r="F48" i="28" a="1"/>
  <c r="F48" i="28"/>
  <c r="F49" i="28" a="1"/>
  <c r="F49" i="28" s="1"/>
  <c r="F50" i="28" a="1"/>
  <c r="F50" i="28"/>
  <c r="F51" i="28" a="1"/>
  <c r="F51" i="28" s="1"/>
  <c r="F2" i="28" a="1"/>
  <c r="F2" i="28" s="1"/>
  <c r="E3" i="28" a="1"/>
  <c r="E3" i="28" s="1"/>
  <c r="E4" i="28" a="1"/>
  <c r="E4" i="28"/>
  <c r="E5" i="28" a="1"/>
  <c r="E5" i="28" s="1"/>
  <c r="E6" i="28" a="1"/>
  <c r="E6" i="28"/>
  <c r="E7" i="28" a="1"/>
  <c r="E7" i="28" s="1"/>
  <c r="E8" i="28" a="1"/>
  <c r="E8" i="28"/>
  <c r="E9" i="28" a="1"/>
  <c r="E9" i="28" s="1"/>
  <c r="E10" i="28" a="1"/>
  <c r="E10" i="28"/>
  <c r="E11" i="28" a="1"/>
  <c r="E11" i="28" s="1"/>
  <c r="E12" i="28" a="1"/>
  <c r="E12" i="28"/>
  <c r="E13" i="28" a="1"/>
  <c r="E13" i="28" s="1"/>
  <c r="E14" i="28" a="1"/>
  <c r="E14" i="28"/>
  <c r="E15" i="28" a="1"/>
  <c r="E15" i="28" s="1"/>
  <c r="E16" i="28" a="1"/>
  <c r="E16" i="28"/>
  <c r="E17" i="28" a="1"/>
  <c r="E17" i="28" s="1"/>
  <c r="E18" i="28" a="1"/>
  <c r="E18" i="28"/>
  <c r="E19" i="28" a="1"/>
  <c r="E19" i="28" s="1"/>
  <c r="E20" i="28" a="1"/>
  <c r="E20" i="28"/>
  <c r="E21" i="28" a="1"/>
  <c r="E21" i="28" s="1"/>
  <c r="E22" i="28" a="1"/>
  <c r="E22" i="28"/>
  <c r="E23" i="28" a="1"/>
  <c r="E23" i="28" s="1"/>
  <c r="E24" i="28" a="1"/>
  <c r="E24" i="28"/>
  <c r="E25" i="28" a="1"/>
  <c r="E25" i="28" s="1"/>
  <c r="E26" i="28" a="1"/>
  <c r="E26" i="28"/>
  <c r="E27" i="28" a="1"/>
  <c r="E27" i="28" s="1"/>
  <c r="E28" i="28" a="1"/>
  <c r="E28" i="28"/>
  <c r="E29" i="28" a="1"/>
  <c r="E29" i="28" s="1"/>
  <c r="E30" i="28" a="1"/>
  <c r="E30" i="28"/>
  <c r="E31" i="28" a="1"/>
  <c r="E31" i="28" s="1"/>
  <c r="E32" i="28" a="1"/>
  <c r="E32" i="28"/>
  <c r="E33" i="28" a="1"/>
  <c r="E33" i="28" s="1"/>
  <c r="E34" i="28" a="1"/>
  <c r="E34" i="28"/>
  <c r="E35" i="28" a="1"/>
  <c r="E35" i="28" s="1"/>
  <c r="E36" i="28" a="1"/>
  <c r="E36" i="28"/>
  <c r="E37" i="28" a="1"/>
  <c r="E37" i="28" s="1"/>
  <c r="E38" i="28" a="1"/>
  <c r="E38" i="28"/>
  <c r="E39" i="28" a="1"/>
  <c r="E39" i="28" s="1"/>
  <c r="E40" i="28" a="1"/>
  <c r="E40" i="28"/>
  <c r="E41" i="28" a="1"/>
  <c r="E41" i="28" s="1"/>
  <c r="E42" i="28" a="1"/>
  <c r="E42" i="28"/>
  <c r="E43" i="28" a="1"/>
  <c r="E43" i="28" s="1"/>
  <c r="E44" i="28" a="1"/>
  <c r="E44" i="28"/>
  <c r="E45" i="28" a="1"/>
  <c r="E45" i="28" s="1"/>
  <c r="E46" i="28" a="1"/>
  <c r="E46" i="28"/>
  <c r="E47" i="28" a="1"/>
  <c r="E47" i="28" s="1"/>
  <c r="E48" i="28" a="1"/>
  <c r="E48" i="28"/>
  <c r="E49" i="28" a="1"/>
  <c r="E49" i="28" s="1"/>
  <c r="E50" i="28" a="1"/>
  <c r="E50" i="28"/>
  <c r="E51" i="28" a="1"/>
  <c r="E51" i="28" s="1"/>
  <c r="E2" i="28" a="1"/>
  <c r="E2" i="28" s="1"/>
  <c r="D3" i="28" a="1"/>
  <c r="D3" i="28" s="1"/>
  <c r="D4" i="28" a="1"/>
  <c r="D4" i="28" s="1"/>
  <c r="D5" i="28" a="1"/>
  <c r="D5" i="28" s="1"/>
  <c r="D6" i="28" a="1"/>
  <c r="D6" i="28" s="1"/>
  <c r="D7" i="28" a="1"/>
  <c r="D7" i="28" s="1"/>
  <c r="D8" i="28" a="1"/>
  <c r="D8" i="28" s="1"/>
  <c r="D9" i="28" a="1"/>
  <c r="D9" i="28" s="1"/>
  <c r="D10" i="28" a="1"/>
  <c r="D10" i="28" s="1"/>
  <c r="D11" i="28" a="1"/>
  <c r="D11" i="28" s="1"/>
  <c r="D12" i="28" a="1"/>
  <c r="D12" i="28" s="1"/>
  <c r="D13" i="28" a="1"/>
  <c r="D13" i="28" s="1"/>
  <c r="D14" i="28" a="1"/>
  <c r="D14" i="28" s="1"/>
  <c r="D15" i="28" a="1"/>
  <c r="D15" i="28" s="1"/>
  <c r="D16" i="28" a="1"/>
  <c r="D16" i="28" s="1"/>
  <c r="D17" i="28" a="1"/>
  <c r="D17" i="28" s="1"/>
  <c r="D18" i="28" a="1"/>
  <c r="D18" i="28" s="1"/>
  <c r="D19" i="28" a="1"/>
  <c r="D19" i="28" s="1"/>
  <c r="D20" i="28" a="1"/>
  <c r="D20" i="28" s="1"/>
  <c r="D21" i="28" a="1"/>
  <c r="D21" i="28" s="1"/>
  <c r="D22" i="28" a="1"/>
  <c r="D22" i="28" s="1"/>
  <c r="D23" i="28" a="1"/>
  <c r="D23" i="28" s="1"/>
  <c r="D24" i="28" a="1"/>
  <c r="D24" i="28" s="1"/>
  <c r="D25" i="28" a="1"/>
  <c r="D25" i="28" s="1"/>
  <c r="D26" i="28" a="1"/>
  <c r="D26" i="28" s="1"/>
  <c r="D27" i="28" a="1"/>
  <c r="D27" i="28" s="1"/>
  <c r="D28" i="28" a="1"/>
  <c r="D28" i="28" s="1"/>
  <c r="D29" i="28" a="1"/>
  <c r="D29" i="28" s="1"/>
  <c r="D30" i="28" a="1"/>
  <c r="D30" i="28" s="1"/>
  <c r="D31" i="28" a="1"/>
  <c r="D31" i="28" s="1"/>
  <c r="D32" i="28" a="1"/>
  <c r="D32" i="28" s="1"/>
  <c r="D33" i="28" a="1"/>
  <c r="D33" i="28" s="1"/>
  <c r="D34" i="28" a="1"/>
  <c r="D34" i="28" s="1"/>
  <c r="D35" i="28" a="1"/>
  <c r="D35" i="28" s="1"/>
  <c r="D36" i="28" a="1"/>
  <c r="D36" i="28" s="1"/>
  <c r="D37" i="28" a="1"/>
  <c r="D37" i="28" s="1"/>
  <c r="D38" i="28" a="1"/>
  <c r="D38" i="28" s="1"/>
  <c r="D39" i="28" a="1"/>
  <c r="D39" i="28" s="1"/>
  <c r="D40" i="28" a="1"/>
  <c r="D40" i="28" s="1"/>
  <c r="D41" i="28" a="1"/>
  <c r="D41" i="28" s="1"/>
  <c r="D42" i="28" a="1"/>
  <c r="D42" i="28" s="1"/>
  <c r="D43" i="28" a="1"/>
  <c r="D43" i="28" s="1"/>
  <c r="D44" i="28" a="1"/>
  <c r="D44" i="28" s="1"/>
  <c r="D45" i="28" a="1"/>
  <c r="D45" i="28" s="1"/>
  <c r="D46" i="28" a="1"/>
  <c r="D46" i="28" s="1"/>
  <c r="D47" i="28" a="1"/>
  <c r="D47" i="28" s="1"/>
  <c r="D48" i="28" a="1"/>
  <c r="D48" i="28" s="1"/>
  <c r="D49" i="28" a="1"/>
  <c r="D49" i="28" s="1"/>
  <c r="D50" i="28" a="1"/>
  <c r="D50" i="28" s="1"/>
  <c r="D51" i="28" a="1"/>
  <c r="D51" i="28" s="1"/>
  <c r="D2" i="28" a="1"/>
  <c r="D2" i="28"/>
  <c r="C3" i="28"/>
  <c r="C4" i="28"/>
  <c r="C5" i="28"/>
  <c r="C6" i="28"/>
  <c r="C7" i="28"/>
  <c r="C8" i="28"/>
  <c r="C9" i="28"/>
  <c r="C10" i="28"/>
  <c r="C11" i="28"/>
  <c r="C12" i="28"/>
  <c r="C13" i="28"/>
  <c r="C14" i="28"/>
  <c r="C15" i="28"/>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42" i="28"/>
  <c r="C43" i="28"/>
  <c r="C44" i="28"/>
  <c r="C45" i="28"/>
  <c r="C46" i="28"/>
  <c r="C47" i="28"/>
  <c r="C48" i="28"/>
  <c r="C49" i="28"/>
  <c r="C50" i="28"/>
  <c r="C51" i="28"/>
  <c r="G5" i="22"/>
  <c r="G6" i="22" s="1"/>
  <c r="K6" i="24" s="1"/>
  <c r="M6" i="24" s="1"/>
  <c r="G20" i="24" s="1"/>
  <c r="F5" i="22"/>
  <c r="F6" i="22" s="1"/>
  <c r="K5" i="24" s="1"/>
  <c r="M5" i="24" s="1"/>
  <c r="G19" i="24" s="1"/>
  <c r="O31" i="26" s="1"/>
  <c r="E5" i="22"/>
  <c r="E6" i="22" s="1"/>
  <c r="K4" i="24" s="1"/>
  <c r="M4" i="24" s="1"/>
  <c r="G18" i="24" s="1"/>
  <c r="O29" i="26" s="1"/>
  <c r="D5" i="22"/>
  <c r="D6" i="22" s="1"/>
  <c r="K3" i="24" s="1"/>
  <c r="M3" i="24" s="1"/>
  <c r="G17" i="24" s="1"/>
  <c r="O27" i="26" s="1"/>
  <c r="C5" i="22"/>
  <c r="C6" i="22" s="1"/>
  <c r="K2" i="24" s="1"/>
  <c r="H35" i="7"/>
  <c r="J2"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E52" i="8"/>
  <c r="L46" i="7" s="1" a="1"/>
  <c r="L46" i="7" s="1"/>
  <c r="E51" i="8"/>
  <c r="L93" i="7" s="1" a="1"/>
  <c r="L93" i="7" s="1"/>
  <c r="E50" i="8"/>
  <c r="L90" i="7" s="1" a="1"/>
  <c r="L90" i="7" s="1"/>
  <c r="N90" i="7" s="1"/>
  <c r="E49" i="8"/>
  <c r="L69" i="7" s="1" a="1"/>
  <c r="L69" i="7" s="1"/>
  <c r="N69" i="7" s="1"/>
  <c r="E48" i="8"/>
  <c r="E47" i="8"/>
  <c r="L95" i="7" s="1" a="1"/>
  <c r="L95" i="7" s="1"/>
  <c r="E46" i="8"/>
  <c r="L66" i="7" s="1" a="1"/>
  <c r="L66" i="7" s="1"/>
  <c r="E45" i="8"/>
  <c r="E44" i="8"/>
  <c r="L29" i="7" s="1" a="1"/>
  <c r="L29" i="7" s="1"/>
  <c r="E43" i="8"/>
  <c r="E42" i="8"/>
  <c r="L88" i="7" s="1" a="1"/>
  <c r="L88" i="7" s="1"/>
  <c r="E41" i="8"/>
  <c r="L77" i="7" s="1" a="1"/>
  <c r="L77" i="7" s="1"/>
  <c r="E40" i="8"/>
  <c r="E39" i="8"/>
  <c r="E38" i="8"/>
  <c r="L85" i="7" s="1" a="1"/>
  <c r="L85" i="7" s="1"/>
  <c r="E37" i="8"/>
  <c r="L21" i="7" s="1" a="1"/>
  <c r="L21" i="7" s="1"/>
  <c r="E36" i="8"/>
  <c r="L30" i="7" s="1" a="1"/>
  <c r="L30" i="7" s="1"/>
  <c r="E35" i="8"/>
  <c r="L48" i="7" s="1" a="1"/>
  <c r="L48" i="7" s="1"/>
  <c r="E34" i="8"/>
  <c r="L8" i="7" s="1" a="1"/>
  <c r="L8" i="7" s="1"/>
  <c r="E33" i="8"/>
  <c r="L25" i="7" s="1" a="1"/>
  <c r="L25" i="7" s="1"/>
  <c r="E32" i="8"/>
  <c r="L6" i="7" s="1" a="1"/>
  <c r="L6" i="7" s="1"/>
  <c r="E31" i="8"/>
  <c r="L34" i="7" s="1" a="1"/>
  <c r="L34" i="7" s="1"/>
  <c r="E30" i="8"/>
  <c r="L87" i="7" s="1" a="1"/>
  <c r="L87" i="7" s="1"/>
  <c r="E29" i="8"/>
  <c r="L33" i="7" s="1" a="1"/>
  <c r="L33" i="7" s="1"/>
  <c r="E28" i="8"/>
  <c r="E27" i="8"/>
  <c r="L18" i="7" s="1" a="1"/>
  <c r="L18" i="7" s="1"/>
  <c r="E26" i="8"/>
  <c r="E25" i="8"/>
  <c r="L35" i="7" s="1" a="1"/>
  <c r="L35" i="7" s="1"/>
  <c r="N35" i="7" s="1"/>
  <c r="E24" i="8"/>
  <c r="L52" i="7" s="1" a="1"/>
  <c r="L52" i="7" s="1"/>
  <c r="E23" i="8"/>
  <c r="L43" i="7" s="1" a="1"/>
  <c r="L43" i="7" s="1"/>
  <c r="E22" i="8"/>
  <c r="L50" i="7" s="1" a="1"/>
  <c r="L50" i="7" s="1"/>
  <c r="E21" i="8"/>
  <c r="L2" i="7" s="1" a="1"/>
  <c r="L2" i="7" s="1"/>
  <c r="E20" i="8"/>
  <c r="L12" i="7" s="1" a="1"/>
  <c r="L12" i="7" s="1"/>
  <c r="E19" i="8"/>
  <c r="L79" i="7" s="1" a="1"/>
  <c r="L79" i="7" s="1"/>
  <c r="E18" i="8"/>
  <c r="L17" i="7" s="1" a="1"/>
  <c r="L17" i="7" s="1"/>
  <c r="N17" i="7" s="1"/>
  <c r="E17" i="8"/>
  <c r="L57" i="7" s="1" a="1"/>
  <c r="L57" i="7" s="1"/>
  <c r="E16" i="8"/>
  <c r="E15" i="8"/>
  <c r="E14" i="8"/>
  <c r="L13" i="7" s="1" a="1"/>
  <c r="L13" i="7" s="1"/>
  <c r="E13" i="8"/>
  <c r="L60" i="7" s="1" a="1"/>
  <c r="L60" i="7" s="1"/>
  <c r="E12" i="8"/>
  <c r="L22" i="7" s="1" a="1"/>
  <c r="L22" i="7" s="1"/>
  <c r="E11" i="8"/>
  <c r="L32" i="7" s="1" a="1"/>
  <c r="L32" i="7" s="1"/>
  <c r="E10" i="8"/>
  <c r="L11" i="7" s="1" a="1"/>
  <c r="L11" i="7" s="1"/>
  <c r="E9" i="8"/>
  <c r="E8" i="8"/>
  <c r="L65" i="7" s="1" a="1"/>
  <c r="L65" i="7" s="1"/>
  <c r="E7" i="8"/>
  <c r="E6" i="8"/>
  <c r="E5" i="8"/>
  <c r="E4" i="8"/>
  <c r="E3" i="8"/>
  <c r="L75" i="7" s="1" a="1"/>
  <c r="L75" i="7" s="1"/>
  <c r="E2" i="8"/>
  <c r="H51" i="10"/>
  <c r="H50" i="10"/>
  <c r="H49" i="10"/>
  <c r="H48" i="10"/>
  <c r="H47" i="10"/>
  <c r="H46" i="10"/>
  <c r="H45" i="10"/>
  <c r="H44" i="10"/>
  <c r="H43" i="10"/>
  <c r="H42" i="10"/>
  <c r="H41" i="10"/>
  <c r="H40" i="10"/>
  <c r="H39" i="10"/>
  <c r="H38" i="10"/>
  <c r="H37" i="10"/>
  <c r="H36" i="10"/>
  <c r="H35" i="10"/>
  <c r="H34" i="10"/>
  <c r="H33" i="10"/>
  <c r="H32" i="10"/>
  <c r="H31" i="10"/>
  <c r="H30" i="10"/>
  <c r="H29" i="10"/>
  <c r="H28" i="10"/>
  <c r="H27" i="10"/>
  <c r="H26" i="10"/>
  <c r="H25" i="10"/>
  <c r="H24" i="10"/>
  <c r="H23" i="10"/>
  <c r="H22" i="10"/>
  <c r="H21" i="10"/>
  <c r="H20" i="10"/>
  <c r="H19" i="10"/>
  <c r="H18" i="10"/>
  <c r="H17" i="10"/>
  <c r="H16" i="10"/>
  <c r="H15" i="10"/>
  <c r="H14" i="10"/>
  <c r="H13" i="10"/>
  <c r="H12" i="10"/>
  <c r="H11" i="10"/>
  <c r="H10" i="10"/>
  <c r="H9" i="10"/>
  <c r="H8" i="10"/>
  <c r="H7" i="10"/>
  <c r="H6" i="10"/>
  <c r="H5" i="10"/>
  <c r="H4" i="10"/>
  <c r="H3" i="10"/>
  <c r="H2" i="10"/>
  <c r="N79" i="7" l="1"/>
  <c r="N77" i="7"/>
  <c r="N2" i="7"/>
  <c r="N85" i="7"/>
  <c r="N57" i="7"/>
  <c r="N18" i="7"/>
  <c r="H19" i="24" s="1" a="1"/>
  <c r="H19" i="24" s="1"/>
  <c r="R31" i="26" s="1"/>
  <c r="N34" i="7"/>
  <c r="N11" i="7"/>
  <c r="N32" i="7"/>
  <c r="N46" i="7"/>
  <c r="N88" i="7"/>
  <c r="N12" i="7"/>
  <c r="N66" i="7"/>
  <c r="N33" i="7"/>
  <c r="N13" i="7"/>
  <c r="N50" i="7"/>
  <c r="H20" i="24" s="1" a="1"/>
  <c r="H20" i="24" s="1"/>
  <c r="R33" i="26" s="1"/>
  <c r="N29" i="7"/>
  <c r="N43" i="7"/>
  <c r="N52" i="7"/>
  <c r="N93" i="7"/>
  <c r="N87" i="7"/>
  <c r="N6" i="7"/>
  <c r="N95" i="7"/>
  <c r="N8" i="7"/>
  <c r="N22" i="7"/>
  <c r="N30" i="7"/>
  <c r="N75" i="7"/>
  <c r="N65" i="7"/>
  <c r="N25" i="7"/>
  <c r="H18" i="24" s="1" a="1"/>
  <c r="H18" i="24" s="1"/>
  <c r="R29" i="26" s="1"/>
  <c r="N60" i="7"/>
  <c r="N48" i="7"/>
  <c r="N21" i="7"/>
  <c r="L53" i="7" a="1"/>
  <c r="L53" i="7" s="1"/>
  <c r="N53" i="7" s="1"/>
  <c r="O33" i="26"/>
  <c r="L71" i="7" a="1"/>
  <c r="L71" i="7" s="1"/>
  <c r="N71" i="7" s="1"/>
  <c r="H17" i="24" s="1" a="1"/>
  <c r="H17" i="24" s="1"/>
  <c r="R27" i="26" s="1"/>
  <c r="L28" i="7" a="1"/>
  <c r="L28" i="7" s="1"/>
  <c r="N28" i="7" s="1"/>
  <c r="L98" i="7" a="1"/>
  <c r="L98" i="7" s="1"/>
  <c r="N98" i="7" s="1"/>
  <c r="L23" i="7" a="1"/>
  <c r="L23" i="7" s="1"/>
  <c r="N23" i="7" s="1"/>
  <c r="L47" i="7" a="1"/>
  <c r="L47" i="7" s="1"/>
  <c r="N47" i="7" s="1"/>
  <c r="L99" i="7" a="1"/>
  <c r="L99" i="7" s="1"/>
  <c r="N99" i="7" s="1"/>
  <c r="L41" i="7" a="1"/>
  <c r="L41" i="7" s="1"/>
  <c r="N41" i="7" s="1"/>
  <c r="L94" i="7" a="1"/>
  <c r="L94" i="7" s="1"/>
  <c r="N94" i="7" s="1"/>
  <c r="L64" i="7" a="1"/>
  <c r="L64" i="7" s="1"/>
  <c r="N64" i="7" s="1"/>
  <c r="L49" i="7" a="1"/>
  <c r="L49" i="7" s="1"/>
  <c r="N49" i="7" s="1"/>
  <c r="L3" i="7" a="1"/>
  <c r="L3" i="7" s="1"/>
  <c r="N3" i="7" s="1"/>
  <c r="L86" i="7" a="1"/>
  <c r="L86" i="7" s="1"/>
  <c r="N86" i="7" s="1"/>
  <c r="L56" i="7" a="1"/>
  <c r="L56" i="7" s="1"/>
  <c r="N56" i="7" s="1"/>
  <c r="L9" i="7" a="1"/>
  <c r="L9" i="7" s="1"/>
  <c r="N9" i="7" s="1"/>
  <c r="L96" i="7" a="1"/>
  <c r="L96" i="7" s="1"/>
  <c r="N96" i="7" s="1"/>
  <c r="L20" i="7" a="1"/>
  <c r="L20" i="7" s="1"/>
  <c r="N20" i="7" s="1"/>
  <c r="L84" i="7" a="1"/>
  <c r="L84" i="7" s="1"/>
  <c r="N84" i="7" s="1"/>
  <c r="L100" i="7" a="1"/>
  <c r="L100" i="7" s="1"/>
  <c r="N100" i="7" s="1"/>
  <c r="L68" i="7" a="1"/>
  <c r="L68" i="7" s="1"/>
  <c r="N68" i="7" s="1"/>
  <c r="L5" i="7" a="1"/>
  <c r="L5" i="7" s="1"/>
  <c r="N5" i="7" s="1"/>
  <c r="L76" i="7" a="1"/>
  <c r="L76" i="7" s="1"/>
  <c r="N76" i="7" s="1"/>
  <c r="L40" i="7" a="1"/>
  <c r="L40" i="7" s="1"/>
  <c r="N40" i="7" s="1"/>
  <c r="L24" i="7" a="1"/>
  <c r="L24" i="7" s="1"/>
  <c r="N24" i="7" s="1"/>
  <c r="L16" i="7" a="1"/>
  <c r="L16" i="7" s="1"/>
  <c r="N16" i="7" s="1"/>
  <c r="L72" i="7" a="1"/>
  <c r="L72" i="7" s="1"/>
  <c r="N72" i="7" s="1"/>
  <c r="L61" i="7" a="1"/>
  <c r="L61" i="7" s="1"/>
  <c r="N61" i="7" s="1"/>
  <c r="L44" i="7" a="1"/>
  <c r="L44" i="7" s="1"/>
  <c r="N44" i="7" s="1"/>
  <c r="L91" i="7" a="1"/>
  <c r="L91" i="7" s="1"/>
  <c r="N91" i="7" s="1"/>
  <c r="L83" i="7" a="1"/>
  <c r="L83" i="7" s="1"/>
  <c r="N83" i="7" s="1"/>
  <c r="L67" i="7" a="1"/>
  <c r="L67" i="7" s="1"/>
  <c r="N67" i="7" s="1"/>
  <c r="L63" i="7" a="1"/>
  <c r="L63" i="7" s="1"/>
  <c r="N63" i="7" s="1"/>
  <c r="L59" i="7" a="1"/>
  <c r="L59" i="7" s="1"/>
  <c r="N59" i="7" s="1"/>
  <c r="L55" i="7" a="1"/>
  <c r="L55" i="7" s="1"/>
  <c r="N55" i="7" s="1"/>
  <c r="L51" i="7" a="1"/>
  <c r="L51" i="7" s="1"/>
  <c r="N51" i="7" s="1"/>
  <c r="L39" i="7" a="1"/>
  <c r="L39" i="7" s="1"/>
  <c r="N39" i="7" s="1"/>
  <c r="L31" i="7" a="1"/>
  <c r="L31" i="7" s="1"/>
  <c r="N31" i="7" s="1"/>
  <c r="L27" i="7" a="1"/>
  <c r="L27" i="7" s="1"/>
  <c r="N27" i="7" s="1"/>
  <c r="L19" i="7" a="1"/>
  <c r="L19" i="7" s="1"/>
  <c r="N19" i="7" s="1"/>
  <c r="L15" i="7" a="1"/>
  <c r="L15" i="7" s="1"/>
  <c r="N15" i="7" s="1"/>
  <c r="L4" i="7" a="1"/>
  <c r="L4" i="7" s="1"/>
  <c r="N4" i="7" s="1"/>
  <c r="L82" i="7" a="1"/>
  <c r="L82" i="7" s="1"/>
  <c r="N82" i="7" s="1"/>
  <c r="L78" i="7" a="1"/>
  <c r="L78" i="7" s="1"/>
  <c r="N78" i="7" s="1"/>
  <c r="L74" i="7" a="1"/>
  <c r="L74" i="7" s="1"/>
  <c r="N74" i="7" s="1"/>
  <c r="L70" i="7" a="1"/>
  <c r="L70" i="7" s="1"/>
  <c r="N70" i="7" s="1"/>
  <c r="L62" i="7" a="1"/>
  <c r="L62" i="7" s="1"/>
  <c r="N62" i="7" s="1"/>
  <c r="L58" i="7" a="1"/>
  <c r="L58" i="7" s="1"/>
  <c r="N58" i="7" s="1"/>
  <c r="L54" i="7" a="1"/>
  <c r="L54" i="7" s="1"/>
  <c r="N54" i="7" s="1"/>
  <c r="L42" i="7" a="1"/>
  <c r="L42" i="7" s="1"/>
  <c r="N42" i="7" s="1"/>
  <c r="L38" i="7" a="1"/>
  <c r="L38" i="7" s="1"/>
  <c r="N38" i="7" s="1"/>
  <c r="L26" i="7" a="1"/>
  <c r="L26" i="7" s="1"/>
  <c r="N26" i="7" s="1"/>
  <c r="L14" i="7" a="1"/>
  <c r="L14" i="7" s="1"/>
  <c r="N14" i="7" s="1"/>
  <c r="L7" i="7" a="1"/>
  <c r="L7" i="7" s="1"/>
  <c r="N7" i="7" s="1"/>
  <c r="L92" i="7" a="1"/>
  <c r="L92" i="7" s="1"/>
  <c r="N92" i="7" s="1"/>
  <c r="L80" i="7" a="1"/>
  <c r="L80" i="7" s="1"/>
  <c r="N80" i="7" s="1"/>
  <c r="L36" i="7" a="1"/>
  <c r="L36" i="7" s="1"/>
  <c r="N36" i="7" s="1"/>
  <c r="L101" i="7" a="1"/>
  <c r="L101" i="7" s="1"/>
  <c r="N101" i="7" s="1"/>
  <c r="L97" i="7" a="1"/>
  <c r="L97" i="7" s="1"/>
  <c r="N97" i="7" s="1"/>
  <c r="L89" i="7" a="1"/>
  <c r="L89" i="7" s="1"/>
  <c r="N89" i="7" s="1"/>
  <c r="L81" i="7" a="1"/>
  <c r="L81" i="7" s="1"/>
  <c r="N81" i="7" s="1"/>
  <c r="L73" i="7" a="1"/>
  <c r="L73" i="7" s="1"/>
  <c r="N73" i="7" s="1"/>
  <c r="L45" i="7" a="1"/>
  <c r="L45" i="7" s="1"/>
  <c r="N45" i="7" s="1"/>
  <c r="L37" i="7" a="1"/>
  <c r="L37" i="7" s="1"/>
  <c r="N37" i="7" s="1"/>
  <c r="L10" i="7" a="1"/>
  <c r="L10" i="7" s="1"/>
  <c r="N10" i="7" s="1"/>
  <c r="M2" i="24"/>
  <c r="G16" i="24" s="1"/>
  <c r="G4" i="24"/>
  <c r="D5" i="24"/>
  <c r="A5" i="24"/>
  <c r="G5" i="24"/>
  <c r="A4" i="24"/>
  <c r="D4" i="24"/>
  <c r="G3" i="24"/>
  <c r="D3" i="24"/>
  <c r="A6" i="24"/>
  <c r="D6" i="24"/>
  <c r="G6" i="24"/>
  <c r="A3" i="24"/>
  <c r="A2" i="24"/>
  <c r="D2" i="24"/>
  <c r="G2" i="24"/>
  <c r="D13" i="22"/>
  <c r="N3" i="24" s="1"/>
  <c r="E13" i="22"/>
  <c r="N4" i="24" s="1"/>
  <c r="F13" i="22"/>
  <c r="N5" i="24" s="1"/>
  <c r="G13" i="22"/>
  <c r="N6" i="24" s="1"/>
  <c r="C13" i="22"/>
  <c r="N2" i="24" s="1"/>
  <c r="C4" i="22"/>
  <c r="F7" i="22"/>
  <c r="J5" i="24" s="1"/>
  <c r="C7" i="22"/>
  <c r="J2" i="24" s="1"/>
  <c r="D7" i="22"/>
  <c r="J3" i="24" s="1"/>
  <c r="E7" i="22"/>
  <c r="J4" i="24" s="1"/>
  <c r="G7" i="22"/>
  <c r="J6" i="24" s="1"/>
  <c r="G8" i="22"/>
  <c r="C8" i="22"/>
  <c r="D8" i="22"/>
  <c r="E8" i="22"/>
  <c r="F8" i="22"/>
  <c r="D4" i="22"/>
  <c r="E4" i="22"/>
  <c r="F4" i="22"/>
  <c r="G4" i="22"/>
  <c r="G75" i="7"/>
  <c r="I2" i="7"/>
  <c r="I3" i="7"/>
  <c r="I4" i="7"/>
  <c r="I5" i="7"/>
  <c r="I6" i="7"/>
  <c r="I7" i="7"/>
  <c r="I8" i="7"/>
  <c r="I9" i="7"/>
  <c r="I10" i="7"/>
  <c r="I11" i="7"/>
  <c r="I12" i="7"/>
  <c r="I13" i="7"/>
  <c r="I14" i="7"/>
  <c r="I15" i="7"/>
  <c r="I16" i="7"/>
  <c r="I17" i="7"/>
  <c r="I18" i="7"/>
  <c r="I19" i="7"/>
  <c r="I20" i="7"/>
  <c r="I21" i="7"/>
  <c r="I22"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H2" i="7"/>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G3" i="7"/>
  <c r="G2"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6" i="7"/>
  <c r="G77" i="7"/>
  <c r="G78" i="7"/>
  <c r="G79" i="7"/>
  <c r="G80" i="7"/>
  <c r="G81" i="7"/>
  <c r="G82" i="7"/>
  <c r="G83" i="7"/>
  <c r="G84" i="7"/>
  <c r="G85" i="7"/>
  <c r="G86" i="7"/>
  <c r="G87" i="7"/>
  <c r="G88" i="7"/>
  <c r="G89" i="7"/>
  <c r="G90" i="7"/>
  <c r="G91" i="7"/>
  <c r="G92" i="7"/>
  <c r="G93" i="7"/>
  <c r="G94" i="7"/>
  <c r="G95" i="7"/>
  <c r="G96" i="7"/>
  <c r="G97" i="7"/>
  <c r="G98" i="7"/>
  <c r="G99" i="7"/>
  <c r="G100" i="7"/>
  <c r="G101" i="7"/>
  <c r="F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H16" i="24" l="1" a="1"/>
  <c r="H16" i="24" s="1"/>
  <c r="R25" i="26" s="1"/>
  <c r="O25" i="26"/>
  <c r="C12" i="22"/>
  <c r="H2" i="24" s="1"/>
  <c r="D11" i="22"/>
  <c r="E3" i="24" s="1"/>
  <c r="G12" i="22"/>
  <c r="D10" i="22"/>
  <c r="B3" i="24" s="1"/>
  <c r="G11" i="22"/>
  <c r="E6" i="24" s="1"/>
  <c r="C11" i="22"/>
  <c r="E2" i="24" s="1"/>
  <c r="F12" i="22"/>
  <c r="H5" i="24" s="1"/>
  <c r="F9" i="22"/>
  <c r="E10" i="22"/>
  <c r="B4" i="24" s="1"/>
  <c r="H7" i="24"/>
  <c r="E9" i="22"/>
  <c r="D9" i="22"/>
  <c r="G10" i="22"/>
  <c r="B7" i="24"/>
  <c r="F11" i="22"/>
  <c r="E5" i="24" s="1"/>
  <c r="E7" i="24"/>
  <c r="E12" i="22"/>
  <c r="H4" i="24" s="1"/>
  <c r="G9" i="22"/>
  <c r="C9" i="22"/>
  <c r="F10" i="22"/>
  <c r="B6" i="24" s="1"/>
  <c r="C10" i="22"/>
  <c r="B2" i="24" s="1"/>
  <c r="E11" i="22"/>
  <c r="E4" i="24" s="1"/>
  <c r="D12" i="22"/>
  <c r="H3" i="24" s="1"/>
  <c r="H6" i="24" l="1"/>
  <c r="B5"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E46A06-21BF-4FCA-8048-B48A5DFCAF90}" keepAlive="1" name="Query - Table37" description="Connection to the 'Table37' query in the workbook." type="5" refreshedVersion="0" background="1">
    <dbPr connection="Provider=Microsoft.Mashup.OleDb.1;Data Source=$Workbook$;Location=Table37;Extended Properties=&quot;&quot;" command="SELECT * FROM [Table37]"/>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<sst xmlns="http://schemas.openxmlformats.org/spreadsheetml/2006/main" count="6840" uniqueCount="2546">
  <si>
    <t>Rank</t>
  </si>
  <si>
    <t>University</t>
  </si>
  <si>
    <t>Town</t>
  </si>
  <si>
    <t>State</t>
  </si>
  <si>
    <t>Massachusetts Institute of Technology</t>
  </si>
  <si>
    <t>Cambridge</t>
  </si>
  <si>
    <t>Harvard University</t>
  </si>
  <si>
    <t>Stanford University</t>
  </si>
  <si>
    <t>Cornell University</t>
  </si>
  <si>
    <t>Ithaca</t>
  </si>
  <si>
    <t>University of California, Berkeley</t>
  </si>
  <si>
    <t>University of Michigan</t>
  </si>
  <si>
    <t>University of Washington</t>
  </si>
  <si>
    <t>Columbia University in the City of New York</t>
  </si>
  <si>
    <t>New York City</t>
  </si>
  <si>
    <t>University of California, Los Angeles</t>
  </si>
  <si>
    <t>Yale University</t>
  </si>
  <si>
    <t>New Haven</t>
  </si>
  <si>
    <t>University of Pennsylvania</t>
  </si>
  <si>
    <t>Philadelphia</t>
  </si>
  <si>
    <t>University of Wisconsin-Madison</t>
  </si>
  <si>
    <t>Madison</t>
  </si>
  <si>
    <t>The University of Texas at Austin</t>
  </si>
  <si>
    <t>Austin</t>
  </si>
  <si>
    <t>University of Chicago</t>
  </si>
  <si>
    <t>Chicago</t>
  </si>
  <si>
    <t>Princeton University</t>
  </si>
  <si>
    <t>Princeton</t>
  </si>
  <si>
    <t>University of Minnesota Twin Cities</t>
  </si>
  <si>
    <t>Purdue University</t>
  </si>
  <si>
    <t>West Lafayette</t>
  </si>
  <si>
    <t>University of California, Davis</t>
  </si>
  <si>
    <t>University of California, San Diego</t>
  </si>
  <si>
    <t>Johns Hopkins University</t>
  </si>
  <si>
    <t>New York University</t>
  </si>
  <si>
    <t>Penn State University</t>
  </si>
  <si>
    <t>University of Florida</t>
  </si>
  <si>
    <t>Gainesville</t>
  </si>
  <si>
    <t>Michigan State University</t>
  </si>
  <si>
    <t>East Lansing</t>
  </si>
  <si>
    <t>University of Southern California</t>
  </si>
  <si>
    <t>Los Angeles</t>
  </si>
  <si>
    <t>University of North Carolina at Chapel Hill</t>
  </si>
  <si>
    <t>Chapel Hill</t>
  </si>
  <si>
    <t>Carnegie Mellon University</t>
  </si>
  <si>
    <t>Arizona State University</t>
  </si>
  <si>
    <t>Duke University</t>
  </si>
  <si>
    <t>Durham</t>
  </si>
  <si>
    <t>University of Maryland</t>
  </si>
  <si>
    <t>College Park</t>
  </si>
  <si>
    <t>Rutgers, The State University of New Jersey</t>
  </si>
  <si>
    <t>University of Illinois Urbana-Champaign</t>
  </si>
  <si>
    <t>The Ohio State University</t>
  </si>
  <si>
    <t>University of Colorado Boulder</t>
  </si>
  <si>
    <t>Boulder</t>
  </si>
  <si>
    <t>Texas A&amp;M University</t>
  </si>
  <si>
    <t>College Station</t>
  </si>
  <si>
    <t>The University of Arizona</t>
  </si>
  <si>
    <t>Tucson</t>
  </si>
  <si>
    <t>University of California, Irvine</t>
  </si>
  <si>
    <t>Northwestern University</t>
  </si>
  <si>
    <t>University of Virginia</t>
  </si>
  <si>
    <t>Boston University</t>
  </si>
  <si>
    <t>North Carolina State University</t>
  </si>
  <si>
    <t>Raleigh</t>
  </si>
  <si>
    <t>The University of Utah</t>
  </si>
  <si>
    <t>Salt Lake City</t>
  </si>
  <si>
    <t>Indiana University Bloomington</t>
  </si>
  <si>
    <t>Bloomington</t>
  </si>
  <si>
    <t>University of California, Santa Barbara</t>
  </si>
  <si>
    <t>Georgetown University</t>
  </si>
  <si>
    <t>Washington</t>
  </si>
  <si>
    <t>University of Pittsburgh</t>
  </si>
  <si>
    <t>Washington University in St. Louis</t>
  </si>
  <si>
    <t>St. Louis</t>
  </si>
  <si>
    <t>Tufts University</t>
  </si>
  <si>
    <t>Medford</t>
  </si>
  <si>
    <t>University of Nebraska-Lincoln</t>
  </si>
  <si>
    <t>Lincoln</t>
  </si>
  <si>
    <t>Virginia Polytechnic Institute and State University</t>
  </si>
  <si>
    <t>Blacksburg</t>
  </si>
  <si>
    <t>Oregon State University</t>
  </si>
  <si>
    <t>Brigham Young University</t>
  </si>
  <si>
    <t>Provo</t>
  </si>
  <si>
    <t>Georgia Institute of Technology</t>
  </si>
  <si>
    <t>Atlanta</t>
  </si>
  <si>
    <t>University of Georgia</t>
  </si>
  <si>
    <t>Athens</t>
  </si>
  <si>
    <t>University of Rochester</t>
  </si>
  <si>
    <t>Rochester</t>
  </si>
  <si>
    <t>Brown University</t>
  </si>
  <si>
    <t>Providence</t>
  </si>
  <si>
    <t>California Institute of Technology</t>
  </si>
  <si>
    <t>Pasadena</t>
  </si>
  <si>
    <t>University of Iowa</t>
  </si>
  <si>
    <t>Iowa State University</t>
  </si>
  <si>
    <t>Ames</t>
  </si>
  <si>
    <t>Colorado State University</t>
  </si>
  <si>
    <t>Fort Collins</t>
  </si>
  <si>
    <t>University of California, San Francisco</t>
  </si>
  <si>
    <t>George Washington University</t>
  </si>
  <si>
    <t>University of Massachusetts Amherst</t>
  </si>
  <si>
    <t>Amherst</t>
  </si>
  <si>
    <t>George Mason University</t>
  </si>
  <si>
    <t>Fairfax</t>
  </si>
  <si>
    <t>University of South Florida</t>
  </si>
  <si>
    <t>Washington State University</t>
  </si>
  <si>
    <t>Pullman</t>
  </si>
  <si>
    <t>Florida State University</t>
  </si>
  <si>
    <t>Vanderbilt University</t>
  </si>
  <si>
    <t>Nashville</t>
  </si>
  <si>
    <t>Syracuse University</t>
  </si>
  <si>
    <t>Syracuse</t>
  </si>
  <si>
    <t>University of Oregon</t>
  </si>
  <si>
    <t>Emory University</t>
  </si>
  <si>
    <t>University of California, Santa Cruz</t>
  </si>
  <si>
    <t>University of Notre Dame</t>
  </si>
  <si>
    <t>Notre Dame</t>
  </si>
  <si>
    <t>Dartmouth College</t>
  </si>
  <si>
    <t>Hanover</t>
  </si>
  <si>
    <t>University of Connecticut</t>
  </si>
  <si>
    <t>University of Houston</t>
  </si>
  <si>
    <t>Houston</t>
  </si>
  <si>
    <t>University at Buffalo, State University of New York</t>
  </si>
  <si>
    <t>University of Kentucky</t>
  </si>
  <si>
    <t>Lexington</t>
  </si>
  <si>
    <t>University of Illinois Chicago</t>
  </si>
  <si>
    <t>University of California, Riverside</t>
  </si>
  <si>
    <t>Rice University</t>
  </si>
  <si>
    <t>University of Central Florida</t>
  </si>
  <si>
    <t>University of Missouri</t>
  </si>
  <si>
    <t>Columbia</t>
  </si>
  <si>
    <t>Georgia State University</t>
  </si>
  <si>
    <t>Northeastern University</t>
  </si>
  <si>
    <t>University of Kansas</t>
  </si>
  <si>
    <t>University of Delaware</t>
  </si>
  <si>
    <t>Newark</t>
  </si>
  <si>
    <t>The University of Tennessee, Knoxville</t>
  </si>
  <si>
    <t>University of New Mexico</t>
  </si>
  <si>
    <t>University of Miami</t>
  </si>
  <si>
    <t>University of North Texas</t>
  </si>
  <si>
    <t>University of South Carolina</t>
  </si>
  <si>
    <t>Boston College</t>
  </si>
  <si>
    <t>Chestnut Hill</t>
  </si>
  <si>
    <t>Louisiana State University</t>
  </si>
  <si>
    <t>Baton Rouge</t>
  </si>
  <si>
    <t>Florida International University</t>
  </si>
  <si>
    <t>Miami</t>
  </si>
  <si>
    <t>San Diego State University</t>
  </si>
  <si>
    <t>Temple University</t>
  </si>
  <si>
    <t>Drexel University</t>
  </si>
  <si>
    <t>University of Cincinnati</t>
  </si>
  <si>
    <t>Cincinnati</t>
  </si>
  <si>
    <t>Clemson University</t>
  </si>
  <si>
    <t>Clemson</t>
  </si>
  <si>
    <t>University of New Hampshire</t>
  </si>
  <si>
    <t>Rochester Institute of Technology</t>
  </si>
  <si>
    <t>University of Vermont</t>
  </si>
  <si>
    <t>Burlington</t>
  </si>
  <si>
    <t>Utah State University</t>
  </si>
  <si>
    <t>American University</t>
  </si>
  <si>
    <t>Case Western Reserve University</t>
  </si>
  <si>
    <t>Cleveland</t>
  </si>
  <si>
    <t>Fordham University</t>
  </si>
  <si>
    <t>Virginia Commonwealth University</t>
  </si>
  <si>
    <t>Richmond</t>
  </si>
  <si>
    <t>The University of Oklahoma</t>
  </si>
  <si>
    <t>Oklahoma State University</t>
  </si>
  <si>
    <t>The University of Alabama</t>
  </si>
  <si>
    <t>Tuscaloosa</t>
  </si>
  <si>
    <t>West Virginia University</t>
  </si>
  <si>
    <t>Portland State University</t>
  </si>
  <si>
    <t>Portland</t>
  </si>
  <si>
    <t>Auburn University</t>
  </si>
  <si>
    <t>Auburn</t>
  </si>
  <si>
    <t>Rensselaer Polytechnic Institute</t>
  </si>
  <si>
    <t>Tulane University</t>
  </si>
  <si>
    <t>New Orleans</t>
  </si>
  <si>
    <t>The University of Tennessee at Martin</t>
  </si>
  <si>
    <t>University of Alabama at Birmingham</t>
  </si>
  <si>
    <t>Birmingham</t>
  </si>
  <si>
    <t>Wayne State University</t>
  </si>
  <si>
    <t>Detroit</t>
  </si>
  <si>
    <t>University at Albany, State University of New York</t>
  </si>
  <si>
    <t>Albany</t>
  </si>
  <si>
    <t>Manchester</t>
  </si>
  <si>
    <t>Baylor University</t>
  </si>
  <si>
    <t>Waco</t>
  </si>
  <si>
    <t>University of Arkansas</t>
  </si>
  <si>
    <t>Fayetteville</t>
  </si>
  <si>
    <t>University of Maryland, Baltimore County</t>
  </si>
  <si>
    <t>Baltimore</t>
  </si>
  <si>
    <t>Texas Tech University</t>
  </si>
  <si>
    <t>Lubbock</t>
  </si>
  <si>
    <t>San Jose</t>
  </si>
  <si>
    <t>Charlotte</t>
  </si>
  <si>
    <t>Mississippi State University</t>
  </si>
  <si>
    <t>San Francisco State University</t>
  </si>
  <si>
    <t>San Francisco</t>
  </si>
  <si>
    <t>Brandeis University</t>
  </si>
  <si>
    <t>Milwaukee</t>
  </si>
  <si>
    <t>Southern Methodist University</t>
  </si>
  <si>
    <t>Dallas</t>
  </si>
  <si>
    <t>Marquette University</t>
  </si>
  <si>
    <t>Kansas State University</t>
  </si>
  <si>
    <t>University of Nevada, Reno</t>
  </si>
  <si>
    <t>Reno</t>
  </si>
  <si>
    <t>DePaul University</t>
  </si>
  <si>
    <t>California State University, Northridge</t>
  </si>
  <si>
    <t>University of Denver</t>
  </si>
  <si>
    <t>Denver</t>
  </si>
  <si>
    <t>Lynchburg</t>
  </si>
  <si>
    <t>University of Nevada, Las Vegas</t>
  </si>
  <si>
    <t>Las Vegas</t>
  </si>
  <si>
    <t>Northern Illinois University</t>
  </si>
  <si>
    <t>Florida Atlantic University</t>
  </si>
  <si>
    <t>Michigan Technological University</t>
  </si>
  <si>
    <t>California Polytechnic State University, San Luis Obispo</t>
  </si>
  <si>
    <t>San Luis Obispo</t>
  </si>
  <si>
    <t>New Mexico State University</t>
  </si>
  <si>
    <t>Las Cruces</t>
  </si>
  <si>
    <t>Montana State University</t>
  </si>
  <si>
    <t>Bozeman</t>
  </si>
  <si>
    <t>Loyola University Chicago</t>
  </si>
  <si>
    <t>University of Rhode Island</t>
  </si>
  <si>
    <t>Santa Clara University</t>
  </si>
  <si>
    <t>University of Idaho</t>
  </si>
  <si>
    <t>Northern Arizona University</t>
  </si>
  <si>
    <t>Indianapolis</t>
  </si>
  <si>
    <t>University of Wyoming</t>
  </si>
  <si>
    <t>University of Louisville</t>
  </si>
  <si>
    <t>University of Missouri-Kansas City</t>
  </si>
  <si>
    <t>Kansas City</t>
  </si>
  <si>
    <t>Swarthmore College</t>
  </si>
  <si>
    <t>Binghamton University, State University of New York</t>
  </si>
  <si>
    <t>Phoenix</t>
  </si>
  <si>
    <t>Wake Forest University</t>
  </si>
  <si>
    <t>Winston-Salem</t>
  </si>
  <si>
    <t>University of Mississippi</t>
  </si>
  <si>
    <t>Middle Tennessee State University</t>
  </si>
  <si>
    <t>Saint Louis University</t>
  </si>
  <si>
    <t>University of Maryland, Baltimore</t>
  </si>
  <si>
    <t>Kalamazoo</t>
  </si>
  <si>
    <t>Texas State University</t>
  </si>
  <si>
    <t>University of Richmond</t>
  </si>
  <si>
    <t>Lehigh University</t>
  </si>
  <si>
    <t>Illinois Institute of Technology</t>
  </si>
  <si>
    <t>California State University, Fullerton</t>
  </si>
  <si>
    <t>California State University, Long Beach</t>
  </si>
  <si>
    <t>San Antonio</t>
  </si>
  <si>
    <t>Missoula</t>
  </si>
  <si>
    <t>Marist College</t>
  </si>
  <si>
    <t>Middlebury College</t>
  </si>
  <si>
    <t>James Madison University</t>
  </si>
  <si>
    <t>Harrisonburg</t>
  </si>
  <si>
    <t>University of Massachusetts Boston</t>
  </si>
  <si>
    <t>Boston</t>
  </si>
  <si>
    <t>Williams College</t>
  </si>
  <si>
    <t>Greensboro</t>
  </si>
  <si>
    <t>Appalachian State University</t>
  </si>
  <si>
    <t>Worcester Polytechnic Institute</t>
  </si>
  <si>
    <t>Worcester</t>
  </si>
  <si>
    <t>Western Washington University</t>
  </si>
  <si>
    <t>Bellingham</t>
  </si>
  <si>
    <t>California State University, Chico</t>
  </si>
  <si>
    <t>Chico</t>
  </si>
  <si>
    <t>Berklee College of Music</t>
  </si>
  <si>
    <t>East Carolina University</t>
  </si>
  <si>
    <t>Greenville</t>
  </si>
  <si>
    <t>Smith College</t>
  </si>
  <si>
    <t>Howard University</t>
  </si>
  <si>
    <t>Villanova University</t>
  </si>
  <si>
    <t>University of Dayton</t>
  </si>
  <si>
    <t>Dayton</t>
  </si>
  <si>
    <t>Grand Valley State University</t>
  </si>
  <si>
    <t>Boise State University</t>
  </si>
  <si>
    <t>New Jersey Institute of Technology</t>
  </si>
  <si>
    <t>University of North Dakota</t>
  </si>
  <si>
    <t>Grand Forks</t>
  </si>
  <si>
    <t>Wesleyan University</t>
  </si>
  <si>
    <t>Carleton College</t>
  </si>
  <si>
    <t>Pace University</t>
  </si>
  <si>
    <t>El Paso</t>
  </si>
  <si>
    <t>University of San Diego</t>
  </si>
  <si>
    <t>San Diego</t>
  </si>
  <si>
    <t>Bryn Mawr College</t>
  </si>
  <si>
    <t>University of San Francisco</t>
  </si>
  <si>
    <t>North Dakota State University</t>
  </si>
  <si>
    <t>Fargo</t>
  </si>
  <si>
    <t>Muncie</t>
  </si>
  <si>
    <t>Pepperdine University</t>
  </si>
  <si>
    <t>The Catholic University of America</t>
  </si>
  <si>
    <t>College of Charleston</t>
  </si>
  <si>
    <t>Charleston</t>
  </si>
  <si>
    <t>University of Massachusetts Lowell</t>
  </si>
  <si>
    <t>Toledo</t>
  </si>
  <si>
    <t>Bowling Green</t>
  </si>
  <si>
    <t>California State University, Sacramento</t>
  </si>
  <si>
    <t>Sacramento</t>
  </si>
  <si>
    <t>Bard College</t>
  </si>
  <si>
    <t>Montclair State University</t>
  </si>
  <si>
    <t>Vassar College</t>
  </si>
  <si>
    <t>Thomas Jefferson University</t>
  </si>
  <si>
    <t>California State Polytechnic University, Pomona</t>
  </si>
  <si>
    <t>Chapman University</t>
  </si>
  <si>
    <t>Hofstra University</t>
  </si>
  <si>
    <t>Hattiesburg</t>
  </si>
  <si>
    <t>Bucknell University</t>
  </si>
  <si>
    <t>Amherst College</t>
  </si>
  <si>
    <t>Calvin University</t>
  </si>
  <si>
    <t>Grand Rapids</t>
  </si>
  <si>
    <t>Creighton University</t>
  </si>
  <si>
    <t>Omaha</t>
  </si>
  <si>
    <t>Seton Hall University</t>
  </si>
  <si>
    <t>Illinois State University</t>
  </si>
  <si>
    <t>Wellesley College</t>
  </si>
  <si>
    <t>Loyola Marymount University</t>
  </si>
  <si>
    <t>Mount Holyoke College</t>
  </si>
  <si>
    <t>Missouri State University</t>
  </si>
  <si>
    <t>University of Northern Iowa</t>
  </si>
  <si>
    <t>Oberlin College</t>
  </si>
  <si>
    <t>Yeshiva University</t>
  </si>
  <si>
    <t>Colby College</t>
  </si>
  <si>
    <t>California State University, San Bernardino</t>
  </si>
  <si>
    <t>Central Michigan University</t>
  </si>
  <si>
    <t>Mount Pleasant</t>
  </si>
  <si>
    <t>University of North Florida</t>
  </si>
  <si>
    <t>Jacksonville</t>
  </si>
  <si>
    <t>Texas Christian University</t>
  </si>
  <si>
    <t>Cleveland State University</t>
  </si>
  <si>
    <t>Oakland University</t>
  </si>
  <si>
    <t>Rowan University</t>
  </si>
  <si>
    <t>Towson University</t>
  </si>
  <si>
    <t>Sonoma State University</t>
  </si>
  <si>
    <t>Wilmington</t>
  </si>
  <si>
    <t>California State University, Fresno</t>
  </si>
  <si>
    <t>Fresno</t>
  </si>
  <si>
    <t>Huntington</t>
  </si>
  <si>
    <t>University of California, Merced</t>
  </si>
  <si>
    <t>Colorado School of Mines</t>
  </si>
  <si>
    <t>Wichita State University</t>
  </si>
  <si>
    <t>Wichita</t>
  </si>
  <si>
    <t>Georgia Southern University</t>
  </si>
  <si>
    <t>Bowdoin College</t>
  </si>
  <si>
    <t>Brunswick</t>
  </si>
  <si>
    <t>Seattle University</t>
  </si>
  <si>
    <t>Seattle</t>
  </si>
  <si>
    <t>Dickinson College</t>
  </si>
  <si>
    <t>South Dakota State University</t>
  </si>
  <si>
    <t>Washington and Lee University</t>
  </si>
  <si>
    <t>Sam Houston State University</t>
  </si>
  <si>
    <t>Huntsville</t>
  </si>
  <si>
    <t>Beaumont</t>
  </si>
  <si>
    <t>Fashion Institute of Technology</t>
  </si>
  <si>
    <t>Reed College</t>
  </si>
  <si>
    <t>Duquesne University</t>
  </si>
  <si>
    <t>Pittsburgh</t>
  </si>
  <si>
    <t>Terre Haute</t>
  </si>
  <si>
    <t>Stevens Point</t>
  </si>
  <si>
    <t>Melbourne</t>
  </si>
  <si>
    <t>California State University, Los Angeles</t>
  </si>
  <si>
    <t>Ithaca College</t>
  </si>
  <si>
    <t>Harvey Mudd College</t>
  </si>
  <si>
    <t>Missouri University of Science and Technology</t>
  </si>
  <si>
    <t>Elon University</t>
  </si>
  <si>
    <t>Davidson College</t>
  </si>
  <si>
    <t>Kenyon College</t>
  </si>
  <si>
    <t>Pomona College</t>
  </si>
  <si>
    <t>Claremont</t>
  </si>
  <si>
    <t>Lewis &amp; Clark College</t>
  </si>
  <si>
    <t>Babson College</t>
  </si>
  <si>
    <t>New Mexico Institute of Mining and Technology</t>
  </si>
  <si>
    <t>Biola University</t>
  </si>
  <si>
    <t>University of South Dakota</t>
  </si>
  <si>
    <t>Furman University</t>
  </si>
  <si>
    <t>Simmons University</t>
  </si>
  <si>
    <t>Weber State University</t>
  </si>
  <si>
    <t>Augusta</t>
  </si>
  <si>
    <t>Eau Claire</t>
  </si>
  <si>
    <t>Stevens Institute of Technology</t>
  </si>
  <si>
    <t>Barnard College</t>
  </si>
  <si>
    <t>Gettysburg College</t>
  </si>
  <si>
    <t>Gettysburg</t>
  </si>
  <si>
    <t>Colorado Springs</t>
  </si>
  <si>
    <t>Hanover College</t>
  </si>
  <si>
    <t>University of Baltimore</t>
  </si>
  <si>
    <t>Hamilton College</t>
  </si>
  <si>
    <t>Hartford</t>
  </si>
  <si>
    <t>Stetson University</t>
  </si>
  <si>
    <t>Colgate University</t>
  </si>
  <si>
    <t>St. Olaf College</t>
  </si>
  <si>
    <t>Olympia</t>
  </si>
  <si>
    <t>Willamette University</t>
  </si>
  <si>
    <t>Salem</t>
  </si>
  <si>
    <t>Little Rock</t>
  </si>
  <si>
    <t>Tulsa</t>
  </si>
  <si>
    <t>Grinnell College</t>
  </si>
  <si>
    <t>Marquette</t>
  </si>
  <si>
    <t>Greeley</t>
  </si>
  <si>
    <t>Bates College</t>
  </si>
  <si>
    <t>Lewiston</t>
  </si>
  <si>
    <t>Evansville</t>
  </si>
  <si>
    <t>Gonzaga University</t>
  </si>
  <si>
    <t>Spokane</t>
  </si>
  <si>
    <t>Nacogdoches</t>
  </si>
  <si>
    <t>Bradley University</t>
  </si>
  <si>
    <t>Peoria</t>
  </si>
  <si>
    <t>California State University, Stanislaus</t>
  </si>
  <si>
    <t>Florida Gulf Coast University</t>
  </si>
  <si>
    <t>Fort Myers</t>
  </si>
  <si>
    <t>Rhode Island School of Design</t>
  </si>
  <si>
    <t>Haverford College</t>
  </si>
  <si>
    <t>Jonesboro</t>
  </si>
  <si>
    <t>Eastern Illinois University</t>
  </si>
  <si>
    <t>Lafayette</t>
  </si>
  <si>
    <t>Green Bay</t>
  </si>
  <si>
    <t>Indiana</t>
  </si>
  <si>
    <t>College of the Holy Cross</t>
  </si>
  <si>
    <t>Bentley University</t>
  </si>
  <si>
    <t>Colorado College</t>
  </si>
  <si>
    <t>Emerson College</t>
  </si>
  <si>
    <t>La Crosse</t>
  </si>
  <si>
    <t>Skidmore College</t>
  </si>
  <si>
    <t>Chattanooga</t>
  </si>
  <si>
    <t>University of West Florida</t>
  </si>
  <si>
    <t>Clarkson University</t>
  </si>
  <si>
    <t>Macalester College</t>
  </si>
  <si>
    <t>Butler University</t>
  </si>
  <si>
    <t>Central Connecticut State University</t>
  </si>
  <si>
    <t>University of New Orleans</t>
  </si>
  <si>
    <t>Jackson</t>
  </si>
  <si>
    <t>Connecticut College</t>
  </si>
  <si>
    <t>New London</t>
  </si>
  <si>
    <t>Orlando</t>
  </si>
  <si>
    <t>Valparaiso University</t>
  </si>
  <si>
    <t>Loyola University Maryland</t>
  </si>
  <si>
    <t>Mobile</t>
  </si>
  <si>
    <t>Xavier University</t>
  </si>
  <si>
    <t>Occidental College</t>
  </si>
  <si>
    <t>Drake University</t>
  </si>
  <si>
    <t>Des Moines</t>
  </si>
  <si>
    <t>Whitewater</t>
  </si>
  <si>
    <t>Cookeville</t>
  </si>
  <si>
    <t>DePauw University</t>
  </si>
  <si>
    <t>Louisiana Tech University</t>
  </si>
  <si>
    <t>Florida Agricultural and Mechanical University</t>
  </si>
  <si>
    <t>Tallahassee</t>
  </si>
  <si>
    <t>Siena College</t>
  </si>
  <si>
    <t>The Juilliard School</t>
  </si>
  <si>
    <t>Azusa Pacific University</t>
  </si>
  <si>
    <t>Honolulu</t>
  </si>
  <si>
    <t>Mercer University</t>
  </si>
  <si>
    <t>Whitman College</t>
  </si>
  <si>
    <t>Walla Walla</t>
  </si>
  <si>
    <t>Texas Woman's University</t>
  </si>
  <si>
    <t>Adelphi University</t>
  </si>
  <si>
    <t>Loyola University New Orleans</t>
  </si>
  <si>
    <t>University of Wisconsin-Oshkosh</t>
  </si>
  <si>
    <t>Oshkosh</t>
  </si>
  <si>
    <t>Franklin and Marshall College</t>
  </si>
  <si>
    <t>Lancaster</t>
  </si>
  <si>
    <t>Rose-Hulman Institute of Technology</t>
  </si>
  <si>
    <t>Hobart and William Smith Colleges</t>
  </si>
  <si>
    <t>Rollins College</t>
  </si>
  <si>
    <t>Pitzer College</t>
  </si>
  <si>
    <t>New York Institute of Technology</t>
  </si>
  <si>
    <t>Hope College</t>
  </si>
  <si>
    <t>Holland</t>
  </si>
  <si>
    <t>Drew University</t>
  </si>
  <si>
    <t>Corpus Christi</t>
  </si>
  <si>
    <t>Fairfield University</t>
  </si>
  <si>
    <t>Lafayette College</t>
  </si>
  <si>
    <t>Seattle Pacific University</t>
  </si>
  <si>
    <t>Beloit College</t>
  </si>
  <si>
    <t>Youngstown</t>
  </si>
  <si>
    <t>Morehouse College</t>
  </si>
  <si>
    <t>Samford University</t>
  </si>
  <si>
    <t>California State University, East Bay</t>
  </si>
  <si>
    <t>Valdosta</t>
  </si>
  <si>
    <t>Virginia Beach</t>
  </si>
  <si>
    <t>Oklahoma City</t>
  </si>
  <si>
    <t>Fort Wayne</t>
  </si>
  <si>
    <t>Denison University</t>
  </si>
  <si>
    <t>Truman State University</t>
  </si>
  <si>
    <t>Claremont McKenna College</t>
  </si>
  <si>
    <t>University of Puget Sound</t>
  </si>
  <si>
    <t>Illinois Wesleyan University</t>
  </si>
  <si>
    <t>Abilene Christian University</t>
  </si>
  <si>
    <t>Abilene</t>
  </si>
  <si>
    <t>Salisbury University</t>
  </si>
  <si>
    <t>Salisbury</t>
  </si>
  <si>
    <t>Wabash College</t>
  </si>
  <si>
    <t>St. Catherine University</t>
  </si>
  <si>
    <t>University of Mary Washington</t>
  </si>
  <si>
    <t>Providence College</t>
  </si>
  <si>
    <t>Hammond</t>
  </si>
  <si>
    <t>Pacific Lutheran University</t>
  </si>
  <si>
    <t>Hampton University</t>
  </si>
  <si>
    <t>Lawrence University</t>
  </si>
  <si>
    <t>Appleton</t>
  </si>
  <si>
    <t>Spelman College</t>
  </si>
  <si>
    <t>Cape Girardeau</t>
  </si>
  <si>
    <t>Asheville</t>
  </si>
  <si>
    <t>University of Scranton</t>
  </si>
  <si>
    <t>Scranton</t>
  </si>
  <si>
    <t>Berea College</t>
  </si>
  <si>
    <t>Memphis</t>
  </si>
  <si>
    <t>Wooster</t>
  </si>
  <si>
    <t>University of Detroit Mercy</t>
  </si>
  <si>
    <t>Kean University</t>
  </si>
  <si>
    <t>Sarah Lawrence College</t>
  </si>
  <si>
    <t>Agnes Scott College</t>
  </si>
  <si>
    <t>Decatur</t>
  </si>
  <si>
    <t>Goucher College</t>
  </si>
  <si>
    <t>Christopher Newport University</t>
  </si>
  <si>
    <t>Ramapo College of New Jersey</t>
  </si>
  <si>
    <t>Elizabethtown</t>
  </si>
  <si>
    <t>Rhodes College</t>
  </si>
  <si>
    <t>Louisville</t>
  </si>
  <si>
    <t>Kettering University</t>
  </si>
  <si>
    <t>San Angelo</t>
  </si>
  <si>
    <t>Clarksville</t>
  </si>
  <si>
    <t>Minneapolis</t>
  </si>
  <si>
    <t>St. Lawrence University</t>
  </si>
  <si>
    <t>Canton</t>
  </si>
  <si>
    <t>Bakersfield</t>
  </si>
  <si>
    <t>University of Portland</t>
  </si>
  <si>
    <t>Tampa</t>
  </si>
  <si>
    <t>Marion</t>
  </si>
  <si>
    <t>Gustavus Adolphus College</t>
  </si>
  <si>
    <t>St. Edward's University</t>
  </si>
  <si>
    <t>Milwaukee School of Engineering</t>
  </si>
  <si>
    <t>University of Michigan-Dearborn</t>
  </si>
  <si>
    <t>Regis University</t>
  </si>
  <si>
    <t>Virginia Military Institute</t>
  </si>
  <si>
    <t>University of Redlands</t>
  </si>
  <si>
    <t>University of Wisconsin-Platteville</t>
  </si>
  <si>
    <t>Bryant University</t>
  </si>
  <si>
    <t>La Salle University</t>
  </si>
  <si>
    <t>Muhlenberg College</t>
  </si>
  <si>
    <t>Allentown</t>
  </si>
  <si>
    <t>Pittsburg State University</t>
  </si>
  <si>
    <t>Dominican University of California</t>
  </si>
  <si>
    <t>Saint Michael's College</t>
  </si>
  <si>
    <t>Columbus</t>
  </si>
  <si>
    <t>Maryland Institute College of Art</t>
  </si>
  <si>
    <t>Jefferson City</t>
  </si>
  <si>
    <t>Saint Mary's College of California</t>
  </si>
  <si>
    <t>Ohio Northern University</t>
  </si>
  <si>
    <t>Topeka</t>
  </si>
  <si>
    <t>Dover</t>
  </si>
  <si>
    <t>Southwestern University</t>
  </si>
  <si>
    <t>Buffalo</t>
  </si>
  <si>
    <t>Bloomsburg</t>
  </si>
  <si>
    <t>Kalamazoo College</t>
  </si>
  <si>
    <t>Augustana College</t>
  </si>
  <si>
    <t>Monroe</t>
  </si>
  <si>
    <t>Bennington College</t>
  </si>
  <si>
    <t>Washington College</t>
  </si>
  <si>
    <t>California Lutheran University</t>
  </si>
  <si>
    <t>Gordon College</t>
  </si>
  <si>
    <t>Wofford College</t>
  </si>
  <si>
    <t>Spartanburg</t>
  </si>
  <si>
    <t>St. George</t>
  </si>
  <si>
    <t>Mount Vernon</t>
  </si>
  <si>
    <t>Savannah</t>
  </si>
  <si>
    <t>Williamsport</t>
  </si>
  <si>
    <t>St. Mary's College of Maryland</t>
  </si>
  <si>
    <t>Centre College</t>
  </si>
  <si>
    <t>Danville</t>
  </si>
  <si>
    <t>SUNY Polytechnic Institute</t>
  </si>
  <si>
    <t>Utica</t>
  </si>
  <si>
    <t>South Dakota School of Mines and Technology</t>
  </si>
  <si>
    <t>Rapid City</t>
  </si>
  <si>
    <t>Montgomery</t>
  </si>
  <si>
    <t>Jacksonville University</t>
  </si>
  <si>
    <t>University of Wisconsin-River Falls</t>
  </si>
  <si>
    <t>Laredo</t>
  </si>
  <si>
    <t>Oregon Institute of Technology</t>
  </si>
  <si>
    <t>Klamath Falls</t>
  </si>
  <si>
    <t>Florence</t>
  </si>
  <si>
    <t>Winchester</t>
  </si>
  <si>
    <t>Grand Junction</t>
  </si>
  <si>
    <t>Westmont College</t>
  </si>
  <si>
    <t>Santa Barbara</t>
  </si>
  <si>
    <t>Springfield</t>
  </si>
  <si>
    <t>East Stroudsburg</t>
  </si>
  <si>
    <t>Susquehanna University</t>
  </si>
  <si>
    <t>University of Dallas</t>
  </si>
  <si>
    <t>Irvine</t>
  </si>
  <si>
    <t>Wichita Falls</t>
  </si>
  <si>
    <t>Daytona Beach</t>
  </si>
  <si>
    <t>Taylor University</t>
  </si>
  <si>
    <t>Point Loma Nazarene University</t>
  </si>
  <si>
    <t>Lewis University</t>
  </si>
  <si>
    <t>Niagara University</t>
  </si>
  <si>
    <t>Ursinus College</t>
  </si>
  <si>
    <t>Grove City College</t>
  </si>
  <si>
    <t>Wentworth Institute of Technology</t>
  </si>
  <si>
    <t>Frankfort</t>
  </si>
  <si>
    <t>Odessa</t>
  </si>
  <si>
    <t>Greenwood</t>
  </si>
  <si>
    <t>Allegheny College</t>
  </si>
  <si>
    <t>Meadville</t>
  </si>
  <si>
    <t>York</t>
  </si>
  <si>
    <t>Russellville</t>
  </si>
  <si>
    <t>Lakeland</t>
  </si>
  <si>
    <t>Keene</t>
  </si>
  <si>
    <t>University Park</t>
  </si>
  <si>
    <t>Sioux Falls</t>
  </si>
  <si>
    <t>Linfield University</t>
  </si>
  <si>
    <t>Marshall</t>
  </si>
  <si>
    <t>Findlay</t>
  </si>
  <si>
    <t>Aberdeen</t>
  </si>
  <si>
    <t>Billings</t>
  </si>
  <si>
    <t>Saint Mary's University of Minnesota</t>
  </si>
  <si>
    <t>New College of Florida</t>
  </si>
  <si>
    <t>Sarasota</t>
  </si>
  <si>
    <t>Northwood University</t>
  </si>
  <si>
    <t>Davenport</t>
  </si>
  <si>
    <t>Lake Forest College</t>
  </si>
  <si>
    <t>Stonehill College</t>
  </si>
  <si>
    <t>Erie</t>
  </si>
  <si>
    <t>Iona University</t>
  </si>
  <si>
    <t>Roanoke</t>
  </si>
  <si>
    <t>Lake Charles</t>
  </si>
  <si>
    <t>Manhattanville College</t>
  </si>
  <si>
    <t>Shreveport</t>
  </si>
  <si>
    <t>Orangeburg</t>
  </si>
  <si>
    <t>Manhattan School of Music</t>
  </si>
  <si>
    <t>Rockhurst University</t>
  </si>
  <si>
    <t>Riverside</t>
  </si>
  <si>
    <t>Bangor</t>
  </si>
  <si>
    <t>Central College</t>
  </si>
  <si>
    <t>Victoria</t>
  </si>
  <si>
    <t>Portsmouth</t>
  </si>
  <si>
    <t>Laurel</t>
  </si>
  <si>
    <t>Scripps College</t>
  </si>
  <si>
    <t>Austin College</t>
  </si>
  <si>
    <t>Sherman</t>
  </si>
  <si>
    <t>Hampden-Sydney College</t>
  </si>
  <si>
    <t>Hilo</t>
  </si>
  <si>
    <t>Reading</t>
  </si>
  <si>
    <t>Hickory</t>
  </si>
  <si>
    <t>Trenton</t>
  </si>
  <si>
    <t>St. Joseph</t>
  </si>
  <si>
    <t>Cedar Rapids</t>
  </si>
  <si>
    <t>Helena</t>
  </si>
  <si>
    <t>Dordt University</t>
  </si>
  <si>
    <t>Alma College</t>
  </si>
  <si>
    <t>Chambersburg</t>
  </si>
  <si>
    <t>Anchorage</t>
  </si>
  <si>
    <t>Saint Peter's University</t>
  </si>
  <si>
    <t>California State University Maritime Academy</t>
  </si>
  <si>
    <t>Vallejo</t>
  </si>
  <si>
    <t>Macon</t>
  </si>
  <si>
    <t>McAllen</t>
  </si>
  <si>
    <t>Bismarck</t>
  </si>
  <si>
    <t>Longview</t>
  </si>
  <si>
    <t>Knoxville</t>
  </si>
  <si>
    <t>Washington &amp; Jefferson College</t>
  </si>
  <si>
    <t>Sioux City</t>
  </si>
  <si>
    <t>Staunton</t>
  </si>
  <si>
    <t>Wagner College</t>
  </si>
  <si>
    <t>Dubuque</t>
  </si>
  <si>
    <t>Prescott</t>
  </si>
  <si>
    <t>California</t>
  </si>
  <si>
    <t>Loras College</t>
  </si>
  <si>
    <t>Lebanon</t>
  </si>
  <si>
    <t>Minot</t>
  </si>
  <si>
    <t>Dalton</t>
  </si>
  <si>
    <t>Elmira</t>
  </si>
  <si>
    <t>Harrisburg</t>
  </si>
  <si>
    <t>Elizabeth City</t>
  </si>
  <si>
    <t>Maine Maritime Academy</t>
  </si>
  <si>
    <t>Adrian</t>
  </si>
  <si>
    <t>Shawnee</t>
  </si>
  <si>
    <t>Presbyterian College</t>
  </si>
  <si>
    <t>Joplin</t>
  </si>
  <si>
    <t>Massachusetts Maritime Academy</t>
  </si>
  <si>
    <t>Soka University of America</t>
  </si>
  <si>
    <t>SUNY Maritime College</t>
  </si>
  <si>
    <t>Mansfield</t>
  </si>
  <si>
    <t>Woodbury University</t>
  </si>
  <si>
    <t>Pine Bluff</t>
  </si>
  <si>
    <t>Emmanuel College</t>
  </si>
  <si>
    <t>Wheeling</t>
  </si>
  <si>
    <t>Tempe</t>
  </si>
  <si>
    <t>Rome</t>
  </si>
  <si>
    <t>Quincy</t>
  </si>
  <si>
    <t>Talladega</t>
  </si>
  <si>
    <t>Greeneville</t>
  </si>
  <si>
    <t>Fort Smith</t>
  </si>
  <si>
    <t>Ocala</t>
  </si>
  <si>
    <t>Jamestown</t>
  </si>
  <si>
    <t>Panama City</t>
  </si>
  <si>
    <t>Fond du Lac</t>
  </si>
  <si>
    <t>Kokomo</t>
  </si>
  <si>
    <t>Alexandria</t>
  </si>
  <si>
    <t>Texarkana</t>
  </si>
  <si>
    <t>Midland</t>
  </si>
  <si>
    <t>Bluefield</t>
  </si>
  <si>
    <t>Wilson</t>
  </si>
  <si>
    <t>Carson City</t>
  </si>
  <si>
    <t>Pensacola</t>
  </si>
  <si>
    <t>Ann Arbor</t>
  </si>
  <si>
    <t>Morristown</t>
  </si>
  <si>
    <t>Great Falls</t>
  </si>
  <si>
    <t>LaGrange</t>
  </si>
  <si>
    <t>Daphne</t>
  </si>
  <si>
    <t>Menlo College</t>
  </si>
  <si>
    <t>Watertown</t>
  </si>
  <si>
    <t>Forest City</t>
  </si>
  <si>
    <t>Parkersburg</t>
  </si>
  <si>
    <t>Lima</t>
  </si>
  <si>
    <t>Tyler</t>
  </si>
  <si>
    <t>Owensboro</t>
  </si>
  <si>
    <t>Centralia</t>
  </si>
  <si>
    <t>Palatka</t>
  </si>
  <si>
    <t>Nevada</t>
  </si>
  <si>
    <t>Redding</t>
  </si>
  <si>
    <t>Eugene</t>
  </si>
  <si>
    <t>Sumter</t>
  </si>
  <si>
    <t>Lake City</t>
  </si>
  <si>
    <t>Muskogee</t>
  </si>
  <si>
    <t>Berkeley</t>
  </si>
  <si>
    <t>Waterloo</t>
  </si>
  <si>
    <t>Stockton</t>
  </si>
  <si>
    <t>Manhattan</t>
  </si>
  <si>
    <t>Wyoming</t>
  </si>
  <si>
    <t>Hobbs</t>
  </si>
  <si>
    <t>Concord</t>
  </si>
  <si>
    <t>Lansing</t>
  </si>
  <si>
    <t>Ukiah</t>
  </si>
  <si>
    <t>Santa Fe</t>
  </si>
  <si>
    <t>Farmington</t>
  </si>
  <si>
    <t>Rockford</t>
  </si>
  <si>
    <t>Chillicothe</t>
  </si>
  <si>
    <t>Massachusetts</t>
  </si>
  <si>
    <t>Stanford</t>
  </si>
  <si>
    <t>New York</t>
  </si>
  <si>
    <t>Michigan</t>
  </si>
  <si>
    <t>Connecticut</t>
  </si>
  <si>
    <t>Pennsylvania</t>
  </si>
  <si>
    <t>Wisconsin</t>
  </si>
  <si>
    <t>Texas</t>
  </si>
  <si>
    <t>Illinois</t>
  </si>
  <si>
    <t>New Jersey</t>
  </si>
  <si>
    <t>Minnesota</t>
  </si>
  <si>
    <t>Davis</t>
  </si>
  <si>
    <t>Maryland</t>
  </si>
  <si>
    <t>Florida</t>
  </si>
  <si>
    <t>North Carolina</t>
  </si>
  <si>
    <t>Arizona</t>
  </si>
  <si>
    <t>New Brunswick</t>
  </si>
  <si>
    <t>Champaign</t>
  </si>
  <si>
    <t>Ohio</t>
  </si>
  <si>
    <t>Colorado</t>
  </si>
  <si>
    <t>Evanston</t>
  </si>
  <si>
    <t>Charlottesville</t>
  </si>
  <si>
    <t>Virginia</t>
  </si>
  <si>
    <t>Utah</t>
  </si>
  <si>
    <t>District of Columbia</t>
  </si>
  <si>
    <t>Missouri</t>
  </si>
  <si>
    <t>Nebraska</t>
  </si>
  <si>
    <t>Corvallis</t>
  </si>
  <si>
    <t>Oregon</t>
  </si>
  <si>
    <t>Georgia</t>
  </si>
  <si>
    <t>Rhode Island</t>
  </si>
  <si>
    <t>Iowa City</t>
  </si>
  <si>
    <t>Iowa</t>
  </si>
  <si>
    <t>Tennessee</t>
  </si>
  <si>
    <t>Santa Cruz</t>
  </si>
  <si>
    <t>New Hampshire</t>
  </si>
  <si>
    <t>Storrs</t>
  </si>
  <si>
    <t>Kentucky</t>
  </si>
  <si>
    <t>Lawrence</t>
  </si>
  <si>
    <t>Kansas</t>
  </si>
  <si>
    <t>Delaware</t>
  </si>
  <si>
    <t>Albuquerque</t>
  </si>
  <si>
    <t>New Mexico</t>
  </si>
  <si>
    <t>Coral Gables</t>
  </si>
  <si>
    <t>Denton</t>
  </si>
  <si>
    <t>South Carolina</t>
  </si>
  <si>
    <t>Louisiana</t>
  </si>
  <si>
    <t>Vermont</t>
  </si>
  <si>
    <t>Logan</t>
  </si>
  <si>
    <t>Oklahoma</t>
  </si>
  <si>
    <t>Stillwater</t>
  </si>
  <si>
    <t>Alabama</t>
  </si>
  <si>
    <t>Morgantown</t>
  </si>
  <si>
    <t>West Virginia</t>
  </si>
  <si>
    <t>Arkansas</t>
  </si>
  <si>
    <t>Mississippi</t>
  </si>
  <si>
    <t>Montana</t>
  </si>
  <si>
    <t>Kingston</t>
  </si>
  <si>
    <t>Idaho</t>
  </si>
  <si>
    <t>Flagstaff</t>
  </si>
  <si>
    <t>Maine</t>
  </si>
  <si>
    <t>Fairbanks</t>
  </si>
  <si>
    <t>Alaska</t>
  </si>
  <si>
    <t>Carbondale</t>
  </si>
  <si>
    <t>North Dakota</t>
  </si>
  <si>
    <t>Akron</t>
  </si>
  <si>
    <t>Pocatello</t>
  </si>
  <si>
    <t>Merced</t>
  </si>
  <si>
    <t>Statesboro</t>
  </si>
  <si>
    <t>Johnson City</t>
  </si>
  <si>
    <t>South Dakota</t>
  </si>
  <si>
    <t>Ogden</t>
  </si>
  <si>
    <t>Hawaii</t>
  </si>
  <si>
    <t>Type</t>
  </si>
  <si>
    <t>Av. Grant Aid</t>
  </si>
  <si>
    <t>Av. Debt</t>
  </si>
  <si>
    <t>Median 10-year Salary</t>
  </si>
  <si>
    <t>Financial Grade</t>
  </si>
  <si>
    <t>NJ</t>
  </si>
  <si>
    <t>Private not-for-profit</t>
  </si>
  <si>
    <t>$59,792</t>
  </si>
  <si>
    <t>$7,559</t>
  </si>
  <si>
    <t>$1,89,400</t>
  </si>
  <si>
    <t>A-</t>
  </si>
  <si>
    <t>CA</t>
  </si>
  <si>
    <t>$60,619</t>
  </si>
  <si>
    <t>$12,999</t>
  </si>
  <si>
    <t>$1,77,500</t>
  </si>
  <si>
    <t>A+</t>
  </si>
  <si>
    <t>MA</t>
  </si>
  <si>
    <t>$45,591</t>
  </si>
  <si>
    <t>$13,792</t>
  </si>
  <si>
    <t>A</t>
  </si>
  <si>
    <t>CT</t>
  </si>
  <si>
    <t>$63,523</t>
  </si>
  <si>
    <t>$4,926</t>
  </si>
  <si>
    <t>$1,68,300</t>
  </si>
  <si>
    <t>Public</t>
  </si>
  <si>
    <t>$21,669</t>
  </si>
  <si>
    <t>$7,238</t>
  </si>
  <si>
    <t>$1,67,000</t>
  </si>
  <si>
    <t>Columbia University</t>
  </si>
  <si>
    <t>NY</t>
  </si>
  <si>
    <t>$61,061</t>
  </si>
  <si>
    <t>$16,849</t>
  </si>
  <si>
    <t>$1,56,000</t>
  </si>
  <si>
    <t>PA</t>
  </si>
  <si>
    <t>$57,175</t>
  </si>
  <si>
    <t>$12,499</t>
  </si>
  <si>
    <t>$1,71,800</t>
  </si>
  <si>
    <t>$61,801</t>
  </si>
  <si>
    <t>$9,004</t>
  </si>
  <si>
    <t>$1,71,400</t>
  </si>
  <si>
    <t>TX</t>
  </si>
  <si>
    <t>$51,955</t>
  </si>
  <si>
    <t>$10,818</t>
  </si>
  <si>
    <t>$1,52,100</t>
  </si>
  <si>
    <t>$54,219</t>
  </si>
  <si>
    <t>$8,309</t>
  </si>
  <si>
    <t>$1,55,400</t>
  </si>
  <si>
    <t>IL</t>
  </si>
  <si>
    <t>$61,716</t>
  </si>
  <si>
    <t>$6,973</t>
  </si>
  <si>
    <t>$1,41,300</t>
  </si>
  <si>
    <t>MD</t>
  </si>
  <si>
    <t>$54,405</t>
  </si>
  <si>
    <t>$9,843</t>
  </si>
  <si>
    <t>$1,42,300</t>
  </si>
  <si>
    <t>$21,766</t>
  </si>
  <si>
    <t>$6,418</t>
  </si>
  <si>
    <t>$1,44,400</t>
  </si>
  <si>
    <t>$48,422</t>
  </si>
  <si>
    <t>$12,150</t>
  </si>
  <si>
    <t>$1,50,600</t>
  </si>
  <si>
    <t>TN</t>
  </si>
  <si>
    <t>$53,932</t>
  </si>
  <si>
    <t>$8,872</t>
  </si>
  <si>
    <t>$1,48,000</t>
  </si>
  <si>
    <t>NH</t>
  </si>
  <si>
    <t>$62,293</t>
  </si>
  <si>
    <t>$6,404</t>
  </si>
  <si>
    <t>$1,73,300</t>
  </si>
  <si>
    <t>$57,121</t>
  </si>
  <si>
    <t>$4,143</t>
  </si>
  <si>
    <t>$1,69,200</t>
  </si>
  <si>
    <t>RI</t>
  </si>
  <si>
    <t>$55,847</t>
  </si>
  <si>
    <t>$10,059</t>
  </si>
  <si>
    <t>$1,55,000</t>
  </si>
  <si>
    <t>$50,020</t>
  </si>
  <si>
    <t>$7,631</t>
  </si>
  <si>
    <t>NC</t>
  </si>
  <si>
    <t>$57,444</t>
  </si>
  <si>
    <t>$6,351</t>
  </si>
  <si>
    <t>$1,58,700</t>
  </si>
  <si>
    <t>$20,782</t>
  </si>
  <si>
    <t>$6,437</t>
  </si>
  <si>
    <t>$1,51,500</t>
  </si>
  <si>
    <t>$59,192</t>
  </si>
  <si>
    <t>$12,553</t>
  </si>
  <si>
    <t>$1,68,600</t>
  </si>
  <si>
    <t>B+</t>
  </si>
  <si>
    <t>$61,328</t>
  </si>
  <si>
    <t>$5,608</t>
  </si>
  <si>
    <t>$1,34,100</t>
  </si>
  <si>
    <t>$58,693</t>
  </si>
  <si>
    <t>$9,293</t>
  </si>
  <si>
    <t>$1,39,700</t>
  </si>
  <si>
    <t>ME</t>
  </si>
  <si>
    <t>$53,534</t>
  </si>
  <si>
    <t>$10,512</t>
  </si>
  <si>
    <t>$1,52,900</t>
  </si>
  <si>
    <t>FL</t>
  </si>
  <si>
    <t>$10,555</t>
  </si>
  <si>
    <t>$6,122</t>
  </si>
  <si>
    <t>$1,23,700</t>
  </si>
  <si>
    <t>$47,703</t>
  </si>
  <si>
    <t>$7,705</t>
  </si>
  <si>
    <t>$1,54,900</t>
  </si>
  <si>
    <t>$45,262</t>
  </si>
  <si>
    <t>$7,526</t>
  </si>
  <si>
    <t>$1,50,100</t>
  </si>
  <si>
    <t>B-</t>
  </si>
  <si>
    <t>University of Michigan, Ann Arbor</t>
  </si>
  <si>
    <t>MI</t>
  </si>
  <si>
    <t>$15,121</t>
  </si>
  <si>
    <t>$8,470</t>
  </si>
  <si>
    <t>$1,37,500</t>
  </si>
  <si>
    <t>MO</t>
  </si>
  <si>
    <t>$58,188</t>
  </si>
  <si>
    <t>$9,495</t>
  </si>
  <si>
    <t>$1,42,800</t>
  </si>
  <si>
    <t>University of North Carolina, Chapel Hill</t>
  </si>
  <si>
    <t>$18,066</t>
  </si>
  <si>
    <t>$7,953</t>
  </si>
  <si>
    <t>$1,18,200</t>
  </si>
  <si>
    <t>DC</t>
  </si>
  <si>
    <t>$45,949</t>
  </si>
  <si>
    <t>$8,982</t>
  </si>
  <si>
    <t>$1,63,400</t>
  </si>
  <si>
    <t>B</t>
  </si>
  <si>
    <t>GA</t>
  </si>
  <si>
    <t>$48,914</t>
  </si>
  <si>
    <t>$7,280</t>
  </si>
  <si>
    <t>$1,38,600</t>
  </si>
  <si>
    <t>VA</t>
  </si>
  <si>
    <t>$26,818</t>
  </si>
  <si>
    <t>$8,639</t>
  </si>
  <si>
    <t>$1,49,100</t>
  </si>
  <si>
    <t>$20,389</t>
  </si>
  <si>
    <t>$7,453</t>
  </si>
  <si>
    <t>$1,48,600</t>
  </si>
  <si>
    <t>UT</t>
  </si>
  <si>
    <t>$6,325</t>
  </si>
  <si>
    <t>$5,457</t>
  </si>
  <si>
    <t>$1,33,900</t>
  </si>
  <si>
    <t>$57,848</t>
  </si>
  <si>
    <t>$9,049</t>
  </si>
  <si>
    <t>$1,38,900</t>
  </si>
  <si>
    <t>$13,992</t>
  </si>
  <si>
    <t>$7,027</t>
  </si>
  <si>
    <t>$1,63,500</t>
  </si>
  <si>
    <t>$17,411</t>
  </si>
  <si>
    <t>$6,561</t>
  </si>
  <si>
    <t>$1,48,400</t>
  </si>
  <si>
    <t>University of Illinois, Urbana-Champaign</t>
  </si>
  <si>
    <t>$16,552</t>
  </si>
  <si>
    <t>$6,697</t>
  </si>
  <si>
    <t>$1,39,900</t>
  </si>
  <si>
    <t>University of Maryland, College Park</t>
  </si>
  <si>
    <t>$11,232</t>
  </si>
  <si>
    <t>$10,201</t>
  </si>
  <si>
    <t>$1,34,700</t>
  </si>
  <si>
    <t>IN</t>
  </si>
  <si>
    <t>$49,859</t>
  </si>
  <si>
    <t>$7,390</t>
  </si>
  <si>
    <t>$1,60,200</t>
  </si>
  <si>
    <t>$20,548</t>
  </si>
  <si>
    <t>$5,965</t>
  </si>
  <si>
    <t>$1,42,700</t>
  </si>
  <si>
    <t>University of Washington, Seattle</t>
  </si>
  <si>
    <t>WA</t>
  </si>
  <si>
    <t>$14,731</t>
  </si>
  <si>
    <t>$6,169</t>
  </si>
  <si>
    <t>$1,36,800</t>
  </si>
  <si>
    <t>$54,647</t>
  </si>
  <si>
    <t>$9,018</t>
  </si>
  <si>
    <t>$1,73,800</t>
  </si>
  <si>
    <t>University of Texas, Austin</t>
  </si>
  <si>
    <t>$8,321</t>
  </si>
  <si>
    <t>$5,851</t>
  </si>
  <si>
    <t>$1,37,000</t>
  </si>
  <si>
    <t>$55,567</t>
  </si>
  <si>
    <t>$7,714</t>
  </si>
  <si>
    <t>$1,62,500</t>
  </si>
  <si>
    <t>$46,496</t>
  </si>
  <si>
    <t>$8,422</t>
  </si>
  <si>
    <t>$1,40,300</t>
  </si>
  <si>
    <t>$47,096</t>
  </si>
  <si>
    <t>$8,550</t>
  </si>
  <si>
    <t>$1,47,100</t>
  </si>
  <si>
    <t>University of Wisconsin, Madison</t>
  </si>
  <si>
    <t>WI</t>
  </si>
  <si>
    <t>$11,171</t>
  </si>
  <si>
    <t>$9,299</t>
  </si>
  <si>
    <t>$1,25,900</t>
  </si>
  <si>
    <t>VT</t>
  </si>
  <si>
    <t>$56,639</t>
  </si>
  <si>
    <t>$8,541</t>
  </si>
  <si>
    <t>$139,500</t>
  </si>
  <si>
    <t>$51,613</t>
  </si>
  <si>
    <t>$7,034</t>
  </si>
  <si>
    <t>$144,400</t>
  </si>
  <si>
    <t>$51,565</t>
  </si>
  <si>
    <t>$10,425</t>
  </si>
  <si>
    <t>$59,825</t>
  </si>
  <si>
    <t>$9,716</t>
  </si>
  <si>
    <t>$149,200</t>
  </si>
  <si>
    <t>William &amp; Mary</t>
  </si>
  <si>
    <t>$15,134</t>
  </si>
  <si>
    <t>$8,882</t>
  </si>
  <si>
    <t>$134,200</t>
  </si>
  <si>
    <t>$53,817</t>
  </si>
  <si>
    <t>$7,339</t>
  </si>
  <si>
    <t>$149,300</t>
  </si>
  <si>
    <t>$10,065</t>
  </si>
  <si>
    <t>$6,132</t>
  </si>
  <si>
    <t>$148,600</t>
  </si>
  <si>
    <t>$43,966</t>
  </si>
  <si>
    <t>$6,525</t>
  </si>
  <si>
    <t>$162,100</t>
  </si>
  <si>
    <t>$49,992</t>
  </si>
  <si>
    <t>$3,588</t>
  </si>
  <si>
    <t>$142,200</t>
  </si>
  <si>
    <t>$24,981</t>
  </si>
  <si>
    <t>$8,349</t>
  </si>
  <si>
    <t>$158,700</t>
  </si>
  <si>
    <t>$25,295</t>
  </si>
  <si>
    <t>$7,778</t>
  </si>
  <si>
    <t>$173,100</t>
  </si>
  <si>
    <t>$11,559</t>
  </si>
  <si>
    <t>$6,778</t>
  </si>
  <si>
    <t>$124,800</t>
  </si>
  <si>
    <t>$8,950</t>
  </si>
  <si>
    <t>$9,125</t>
  </si>
  <si>
    <t>$126,300</t>
  </si>
  <si>
    <t>$44,116</t>
  </si>
  <si>
    <t>$9,603</t>
  </si>
  <si>
    <t>$168,200</t>
  </si>
  <si>
    <t>$10,169</t>
  </si>
  <si>
    <t>$6,953</t>
  </si>
  <si>
    <t>$111,900</t>
  </si>
  <si>
    <t>$52,497</t>
  </si>
  <si>
    <t>$4,749</t>
  </si>
  <si>
    <t>$125,400</t>
  </si>
  <si>
    <t>$35,257</t>
  </si>
  <si>
    <t>$10,893</t>
  </si>
  <si>
    <t>$148,300</t>
  </si>
  <si>
    <t>North Carolina State University, Raleigh</t>
  </si>
  <si>
    <t>$9,181</t>
  </si>
  <si>
    <t>$7,194</t>
  </si>
  <si>
    <t>$128,600</t>
  </si>
  <si>
    <t>Franklin W Olin College of Engineering</t>
  </si>
  <si>
    <t>$40,522</t>
  </si>
  <si>
    <t>$9,042</t>
  </si>
  <si>
    <t>Texas A&amp;M University, College Station</t>
  </si>
  <si>
    <t>$12,278</t>
  </si>
  <si>
    <t>$8,518</t>
  </si>
  <si>
    <t>$139,700</t>
  </si>
  <si>
    <t>Trinity College (CT)</t>
  </si>
  <si>
    <t>$46,929</t>
  </si>
  <si>
    <t>$7,819</t>
  </si>
  <si>
    <t>$141,600</t>
  </si>
  <si>
    <t>$57,999</t>
  </si>
  <si>
    <t>$10,152</t>
  </si>
  <si>
    <t>$146,900</t>
  </si>
  <si>
    <t>$42,331</t>
  </si>
  <si>
    <t>$8,278</t>
  </si>
  <si>
    <t>$130,300</t>
  </si>
  <si>
    <t>CUNY, Baruch College</t>
  </si>
  <si>
    <t>$9,423</t>
  </si>
  <si>
    <t>$5,495</t>
  </si>
  <si>
    <t>$132,100</t>
  </si>
  <si>
    <t>University of Minnesota, Twin Cities</t>
  </si>
  <si>
    <t>MN</t>
  </si>
  <si>
    <t>$11,388</t>
  </si>
  <si>
    <t>$9,722</t>
  </si>
  <si>
    <t>$125,700</t>
  </si>
  <si>
    <t>Binghamton University, SUNY</t>
  </si>
  <si>
    <t>$11,305</t>
  </si>
  <si>
    <t>$7,783</t>
  </si>
  <si>
    <t>$136,600</t>
  </si>
  <si>
    <t>$9,934</t>
  </si>
  <si>
    <t>$8,240</t>
  </si>
  <si>
    <t>$124,100</t>
  </si>
  <si>
    <t>Cooper Union</t>
  </si>
  <si>
    <t>$39,305</t>
  </si>
  <si>
    <t>$8,310</t>
  </si>
  <si>
    <t>$156,500</t>
  </si>
  <si>
    <t>Rutgers University</t>
  </si>
  <si>
    <t>$12,785</t>
  </si>
  <si>
    <t>$8,040</t>
  </si>
  <si>
    <t>$137,000</t>
  </si>
  <si>
    <t>$51,414</t>
  </si>
  <si>
    <t>$8,728</t>
  </si>
  <si>
    <t>$150,500</t>
  </si>
  <si>
    <t>IA</t>
  </si>
  <si>
    <t>$42,231</t>
  </si>
  <si>
    <t>$7,707</t>
  </si>
  <si>
    <t>$121,900</t>
  </si>
  <si>
    <t>University of Miami (FL)</t>
  </si>
  <si>
    <t>$37,322</t>
  </si>
  <si>
    <t>$8,432</t>
  </si>
  <si>
    <t>$120,000</t>
  </si>
  <si>
    <t>Virginia Tech</t>
  </si>
  <si>
    <t>$7,649</t>
  </si>
  <si>
    <t>$10,100</t>
  </si>
  <si>
    <t>$136,000</t>
  </si>
  <si>
    <t>Stony Brook University, SUNY</t>
  </si>
  <si>
    <t>$11,584</t>
  </si>
  <si>
    <t>$7,068</t>
  </si>
  <si>
    <t>$129,700</t>
  </si>
  <si>
    <t>$14,678</t>
  </si>
  <si>
    <t>$8,108</t>
  </si>
  <si>
    <t>$126,000</t>
  </si>
  <si>
    <t>Ohio State University</t>
  </si>
  <si>
    <t>OH</t>
  </si>
  <si>
    <t>$10,993</t>
  </si>
  <si>
    <t>$7,842</t>
  </si>
  <si>
    <t>$116,900</t>
  </si>
  <si>
    <t>$42,834</t>
  </si>
  <si>
    <t>$10,781</t>
  </si>
  <si>
    <t>$140,400</t>
  </si>
  <si>
    <t>$54,233</t>
  </si>
  <si>
    <t>$10,075</t>
  </si>
  <si>
    <t>$145,200</t>
  </si>
  <si>
    <t>$9,478</t>
  </si>
  <si>
    <t>$5,404</t>
  </si>
  <si>
    <t>$121,700</t>
  </si>
  <si>
    <t>$8,684</t>
  </si>
  <si>
    <t>$8,138</t>
  </si>
  <si>
    <t>$118,800</t>
  </si>
  <si>
    <t>$39,715</t>
  </si>
  <si>
    <t>$7,198</t>
  </si>
  <si>
    <t>$140,900</t>
  </si>
  <si>
    <t>Indiana University, Bloomington</t>
  </si>
  <si>
    <t>$10,336</t>
  </si>
  <si>
    <t>$9,757</t>
  </si>
  <si>
    <t>$117,300</t>
  </si>
  <si>
    <t>$37,775</t>
  </si>
  <si>
    <t>$11,397</t>
  </si>
  <si>
    <t>$155,500</t>
  </si>
  <si>
    <t>University of Utah</t>
  </si>
  <si>
    <t>$9,696</t>
  </si>
  <si>
    <t>$8,287</t>
  </si>
  <si>
    <t>$125,900</t>
  </si>
  <si>
    <t>Trinity University (TX)</t>
  </si>
  <si>
    <t>$33,614</t>
  </si>
  <si>
    <t>$9,574</t>
  </si>
  <si>
    <t>$130,600</t>
  </si>
  <si>
    <t>$30,513</t>
  </si>
  <si>
    <t>$9,137</t>
  </si>
  <si>
    <t>$175,200</t>
  </si>
  <si>
    <t>$22,042</t>
  </si>
  <si>
    <t>$5,140</t>
  </si>
  <si>
    <t>$128,800</t>
  </si>
  <si>
    <t>SC</t>
  </si>
  <si>
    <t>$10,430</t>
  </si>
  <si>
    <t>$11,748</t>
  </si>
  <si>
    <t>$125,200</t>
  </si>
  <si>
    <t>$35,344</t>
  </si>
  <si>
    <t>$12,369</t>
  </si>
  <si>
    <t>$139,000</t>
  </si>
  <si>
    <t>$9,194</t>
  </si>
  <si>
    <t>$5,834</t>
  </si>
  <si>
    <t>$118,200</t>
  </si>
  <si>
    <t>$46,385</t>
  </si>
  <si>
    <t>$8,250</t>
  </si>
  <si>
    <t>$129,800</t>
  </si>
  <si>
    <t>$50,193</t>
  </si>
  <si>
    <t>$6,177</t>
  </si>
  <si>
    <t>$39,615</t>
  </si>
  <si>
    <t>$5,896</t>
  </si>
  <si>
    <t>$138,100</t>
  </si>
  <si>
    <t>University of Colorado, Boulder</t>
  </si>
  <si>
    <t>CO</t>
  </si>
  <si>
    <t>$10,477</t>
  </si>
  <si>
    <t>$10,614</t>
  </si>
  <si>
    <t>$136,500</t>
  </si>
  <si>
    <t>$33,733</t>
  </si>
  <si>
    <t>$7,017</t>
  </si>
  <si>
    <t>$153,600</t>
  </si>
  <si>
    <t>$36,408</t>
  </si>
  <si>
    <t>$7,044</t>
  </si>
  <si>
    <t>$11,066</t>
  </si>
  <si>
    <t>$8,261</t>
  </si>
  <si>
    <t>$110,100</t>
  </si>
  <si>
    <t>$34,737</t>
  </si>
  <si>
    <t>$10,986</t>
  </si>
  <si>
    <t>$130,100</t>
  </si>
  <si>
    <t>Arizona State University, Tempe</t>
  </si>
  <si>
    <t>AZ</t>
  </si>
  <si>
    <t>$12,381</t>
  </si>
  <si>
    <t>$8,002</t>
  </si>
  <si>
    <t>$118,000</t>
  </si>
  <si>
    <t>$9,986</t>
  </si>
  <si>
    <t>$6,526</t>
  </si>
  <si>
    <t>$105,500</t>
  </si>
  <si>
    <t>$46,160</t>
  </si>
  <si>
    <t>$6,626</t>
  </si>
  <si>
    <t>$121,800</t>
  </si>
  <si>
    <t>University of Arizona</t>
  </si>
  <si>
    <t>$15,279</t>
  </si>
  <si>
    <t>$6,934</t>
  </si>
  <si>
    <t>$119,300</t>
  </si>
  <si>
    <t>University of Oklahoma, Norman</t>
  </si>
  <si>
    <t>OK</t>
  </si>
  <si>
    <t>$10,561</t>
  </si>
  <si>
    <t>$9,429</t>
  </si>
  <si>
    <t>$116,700</t>
  </si>
  <si>
    <t>$29,102</t>
  </si>
  <si>
    <t>$9,058</t>
  </si>
  <si>
    <t>$128,000</t>
  </si>
  <si>
    <t>C+</t>
  </si>
  <si>
    <t>$11,457</t>
  </si>
  <si>
    <t>$6,375</t>
  </si>
  <si>
    <t>$123,300</t>
  </si>
  <si>
    <t>University of Missouri, Columbia</t>
  </si>
  <si>
    <t>$11,545</t>
  </si>
  <si>
    <t>$9,167</t>
  </si>
  <si>
    <t>$119,500</t>
  </si>
  <si>
    <t>AL</t>
  </si>
  <si>
    <t>$9,791</t>
  </si>
  <si>
    <t>$9,579</t>
  </si>
  <si>
    <t>$33,129</t>
  </si>
  <si>
    <t>$9,406</t>
  </si>
  <si>
    <t>$138,500</t>
  </si>
  <si>
    <t>C-</t>
  </si>
  <si>
    <t>OR</t>
  </si>
  <si>
    <t>$9,260</t>
  </si>
  <si>
    <t>$7,622</t>
  </si>
  <si>
    <t>$124,000</t>
  </si>
  <si>
    <t>CUNY, The City College of New York</t>
  </si>
  <si>
    <t>$9,822</t>
  </si>
  <si>
    <t>$8,089</t>
  </si>
  <si>
    <t>$110,500</t>
  </si>
  <si>
    <t>$35,712</t>
  </si>
  <si>
    <t>$7,444</t>
  </si>
  <si>
    <t>$128,200</t>
  </si>
  <si>
    <t>$45,748</t>
  </si>
  <si>
    <t>$7,660</t>
  </si>
  <si>
    <t>College of New Jersey</t>
  </si>
  <si>
    <t>$11,826</t>
  </si>
  <si>
    <t>$10,030</t>
  </si>
  <si>
    <t>$122,400</t>
  </si>
  <si>
    <t>$38,636</t>
  </si>
  <si>
    <t>$10,092</t>
  </si>
  <si>
    <t>$159,100</t>
  </si>
  <si>
    <t>$32,348</t>
  </si>
  <si>
    <t>$8,440</t>
  </si>
  <si>
    <t>$123,400</t>
  </si>
  <si>
    <t>University of Texas, Dallas</t>
  </si>
  <si>
    <t>$14,858</t>
  </si>
  <si>
    <t>$6,970</t>
  </si>
  <si>
    <t>$117,400</t>
  </si>
  <si>
    <t>DE</t>
  </si>
  <si>
    <t>$12,375</t>
  </si>
  <si>
    <t>$10,580</t>
  </si>
  <si>
    <t>$127,600</t>
  </si>
  <si>
    <t>University of Massachusetts, Amherst</t>
  </si>
  <si>
    <t>$12,350</t>
  </si>
  <si>
    <t>$8,481</t>
  </si>
  <si>
    <t>$122,300</t>
  </si>
  <si>
    <t>$39,554</t>
  </si>
  <si>
    <t>$7,388</t>
  </si>
  <si>
    <t>$115,700</t>
  </si>
  <si>
    <t>CUNY, Hunter College</t>
  </si>
  <si>
    <t>$9,325</t>
  </si>
  <si>
    <t>$7,182</t>
  </si>
  <si>
    <t>$113,100</t>
  </si>
  <si>
    <t>University of Illinois at Chicago</t>
  </si>
  <si>
    <t>$13,813</t>
  </si>
  <si>
    <t>$7,514</t>
  </si>
  <si>
    <t>$121,600</t>
  </si>
  <si>
    <t>$20,901</t>
  </si>
  <si>
    <t>$8,634</t>
  </si>
  <si>
    <t>$144,000</t>
  </si>
  <si>
    <t>$33,657</t>
  </si>
  <si>
    <t>$7,658</t>
  </si>
  <si>
    <t>$128,400</t>
  </si>
  <si>
    <t>University at Buffalo</t>
  </si>
  <si>
    <t>$8,521</t>
  </si>
  <si>
    <t>$7,839</t>
  </si>
  <si>
    <t>$114,500</t>
  </si>
  <si>
    <t>$49,109</t>
  </si>
  <si>
    <t>$4,482</t>
  </si>
  <si>
    <t>$119,900</t>
  </si>
  <si>
    <t>$10,081</t>
  </si>
  <si>
    <t>$9,063</t>
  </si>
  <si>
    <t>$9,830</t>
  </si>
  <si>
    <t>$5,550</t>
  </si>
  <si>
    <t>$118,700</t>
  </si>
  <si>
    <t>$11,087</t>
  </si>
  <si>
    <t>$5,614</t>
  </si>
  <si>
    <t>$106,900</t>
  </si>
  <si>
    <t>LA</t>
  </si>
  <si>
    <t>$12,374</t>
  </si>
  <si>
    <t>$8,404</t>
  </si>
  <si>
    <t>$37,226</t>
  </si>
  <si>
    <t>$7,029</t>
  </si>
  <si>
    <t>$132,500</t>
  </si>
  <si>
    <t>$27,138</t>
  </si>
  <si>
    <t>$9,129</t>
  </si>
  <si>
    <t>$129,900</t>
  </si>
  <si>
    <t>University of Tennessee, Knoxville</t>
  </si>
  <si>
    <t>$10,593</t>
  </si>
  <si>
    <t>$10,094</t>
  </si>
  <si>
    <t>$10,919</t>
  </si>
  <si>
    <t>$121,200</t>
  </si>
  <si>
    <t>$10,689</t>
  </si>
  <si>
    <t>$6,714</t>
  </si>
  <si>
    <t>$61,714</t>
  </si>
  <si>
    <t>$8,426</t>
  </si>
  <si>
    <t>$128,500</t>
  </si>
  <si>
    <t>$33,861</t>
  </si>
  <si>
    <t>$10,865</t>
  </si>
  <si>
    <t>$132,600</t>
  </si>
  <si>
    <t>$30,747</t>
  </si>
  <si>
    <t>$8,283</t>
  </si>
  <si>
    <t>$133,200</t>
  </si>
  <si>
    <t>$9,767</t>
  </si>
  <si>
    <t>$7,821</t>
  </si>
  <si>
    <t>$36,384</t>
  </si>
  <si>
    <t>$7,962</t>
  </si>
  <si>
    <t>$121,000</t>
  </si>
  <si>
    <t>$31,949</t>
  </si>
  <si>
    <t>$10,599</t>
  </si>
  <si>
    <t>$168,700</t>
  </si>
  <si>
    <t>C</t>
  </si>
  <si>
    <t>$22,553</t>
  </si>
  <si>
    <t>$14,404</t>
  </si>
  <si>
    <t>$27,601</t>
  </si>
  <si>
    <t>$8,172</t>
  </si>
  <si>
    <t>$133,500</t>
  </si>
  <si>
    <t>$11,043</t>
  </si>
  <si>
    <t>$7,620</t>
  </si>
  <si>
    <t>$9,959</t>
  </si>
  <si>
    <t>$8,853</t>
  </si>
  <si>
    <t>$119,800</t>
  </si>
  <si>
    <t>SUNY, Geneseo</t>
  </si>
  <si>
    <t>$7,088</t>
  </si>
  <si>
    <t>$116,500</t>
  </si>
  <si>
    <t>$30,954</t>
  </si>
  <si>
    <t>$7,961</t>
  </si>
  <si>
    <t>AR</t>
  </si>
  <si>
    <t>$8,474</t>
  </si>
  <si>
    <t>$8,350</t>
  </si>
  <si>
    <t>$114,800</t>
  </si>
  <si>
    <t>$13,880</t>
  </si>
  <si>
    <t>$9,977</t>
  </si>
  <si>
    <t>KY</t>
  </si>
  <si>
    <t>$14,114</t>
  </si>
  <si>
    <t>$8,420</t>
  </si>
  <si>
    <t>$111,700</t>
  </si>
  <si>
    <t>$36,355</t>
  </si>
  <si>
    <t>$9,595</t>
  </si>
  <si>
    <t>$37,006</t>
  </si>
  <si>
    <t>$6,880</t>
  </si>
  <si>
    <t>$9,631</t>
  </si>
  <si>
    <t>$104,900</t>
  </si>
  <si>
    <t>CUNY, Brooklyn College</t>
  </si>
  <si>
    <t>$9,411</t>
  </si>
  <si>
    <t>$5,422</t>
  </si>
  <si>
    <t>$118,600</t>
  </si>
  <si>
    <t>$30,916</t>
  </si>
  <si>
    <t>$9,671</t>
  </si>
  <si>
    <t>$133,600</t>
  </si>
  <si>
    <t>$27,059</t>
  </si>
  <si>
    <t>$14,168</t>
  </si>
  <si>
    <t>$161,000</t>
  </si>
  <si>
    <t>University of Nevada-Reno</t>
  </si>
  <si>
    <t>NV</t>
  </si>
  <si>
    <t>$7,829</t>
  </si>
  <si>
    <t>$6,624</t>
  </si>
  <si>
    <t>$111,200</t>
  </si>
  <si>
    <t>$7,287</t>
  </si>
  <si>
    <t>$6,350</t>
  </si>
  <si>
    <t>$31,920</t>
  </si>
  <si>
    <t>$10,921</t>
  </si>
  <si>
    <t>$127,300</t>
  </si>
  <si>
    <t>$41,067</t>
  </si>
  <si>
    <t>$5,055</t>
  </si>
  <si>
    <t>$120,200</t>
  </si>
  <si>
    <t>$10,621</t>
  </si>
  <si>
    <t>$7,170</t>
  </si>
  <si>
    <t>$117,200</t>
  </si>
  <si>
    <t>University of Hawaii, Manoa</t>
  </si>
  <si>
    <t>HI</t>
  </si>
  <si>
    <t>$7,954</t>
  </si>
  <si>
    <t>$6,943</t>
  </si>
  <si>
    <t>$110,800</t>
  </si>
  <si>
    <t>Manhattan University</t>
  </si>
  <si>
    <t>$31,882</t>
  </si>
  <si>
    <t>$7,319</t>
  </si>
  <si>
    <t>$152,400</t>
  </si>
  <si>
    <t>$11,415</t>
  </si>
  <si>
    <t>$6,906</t>
  </si>
  <si>
    <t>$39,139</t>
  </si>
  <si>
    <t>$144,600</t>
  </si>
  <si>
    <t>$44,093</t>
  </si>
  <si>
    <t>$7,932</t>
  </si>
  <si>
    <t>$130,900</t>
  </si>
  <si>
    <t>$47,864</t>
  </si>
  <si>
    <t>$6,315</t>
  </si>
  <si>
    <t>$138,400</t>
  </si>
  <si>
    <t>$41,855</t>
  </si>
  <si>
    <t>$7,426</t>
  </si>
  <si>
    <t>$129,500</t>
  </si>
  <si>
    <t>NE</t>
  </si>
  <si>
    <t>$26,918</t>
  </si>
  <si>
    <t>$8,720</t>
  </si>
  <si>
    <t>$112,500</t>
  </si>
  <si>
    <t>$36,618</t>
  </si>
  <si>
    <t>$6,470</t>
  </si>
  <si>
    <t>$19,189</t>
  </si>
  <si>
    <t>$9,995</t>
  </si>
  <si>
    <t>$120,400</t>
  </si>
  <si>
    <t>University of Alabama</t>
  </si>
  <si>
    <t>$15,683</t>
  </si>
  <si>
    <t>$10,694</t>
  </si>
  <si>
    <t>KS</t>
  </si>
  <si>
    <t>$8,537</t>
  </si>
  <si>
    <t>$6,911</t>
  </si>
  <si>
    <t>$42,386</t>
  </si>
  <si>
    <t>$7,481</t>
  </si>
  <si>
    <t>$179,600</t>
  </si>
  <si>
    <t>$9,968</t>
  </si>
  <si>
    <t>$5,178</t>
  </si>
  <si>
    <t>$30,733</t>
  </si>
  <si>
    <t>$11,610</t>
  </si>
  <si>
    <t>$144,800</t>
  </si>
  <si>
    <t>$21,202</t>
  </si>
  <si>
    <t>$6,519</t>
  </si>
  <si>
    <t>$132,000</t>
  </si>
  <si>
    <t>$10,334</t>
  </si>
  <si>
    <t>$6,926</t>
  </si>
  <si>
    <t>$106,300</t>
  </si>
  <si>
    <t>WY</t>
  </si>
  <si>
    <t>$8,942</t>
  </si>
  <si>
    <t>$8,184</t>
  </si>
  <si>
    <t>$109,800</t>
  </si>
  <si>
    <t>$36,005</t>
  </si>
  <si>
    <t>$8,264</t>
  </si>
  <si>
    <t>$129,400</t>
  </si>
  <si>
    <t>University of Nebraska, Lincoln</t>
  </si>
  <si>
    <t>$10,941</t>
  </si>
  <si>
    <t>$6,553</t>
  </si>
  <si>
    <t>$117,000</t>
  </si>
  <si>
    <t>$11,575</t>
  </si>
  <si>
    <t>$10,571</t>
  </si>
  <si>
    <t>$113,900</t>
  </si>
  <si>
    <t>$15,959</t>
  </si>
  <si>
    <t>$7,478</t>
  </si>
  <si>
    <t>$146,500</t>
  </si>
  <si>
    <t>$19,111</t>
  </si>
  <si>
    <t>$6,390</t>
  </si>
  <si>
    <t>$145,300</t>
  </si>
  <si>
    <t>$44,331</t>
  </si>
  <si>
    <t>$8,228</t>
  </si>
  <si>
    <t>$132,900</t>
  </si>
  <si>
    <t>Pennsylvania State University-Main Campus</t>
  </si>
  <si>
    <t>$10,066</t>
  </si>
  <si>
    <t>$13,414</t>
  </si>
  <si>
    <t>$35,040</t>
  </si>
  <si>
    <t>$5,013</t>
  </si>
  <si>
    <t>$116,100</t>
  </si>
  <si>
    <t>Miami University (OH)</t>
  </si>
  <si>
    <t>$14,752</t>
  </si>
  <si>
    <t>$8,909</t>
  </si>
  <si>
    <t>$132,800</t>
  </si>
  <si>
    <t>CUNY, Queens College</t>
  </si>
  <si>
    <t>$7,927</t>
  </si>
  <si>
    <t>$5,089</t>
  </si>
  <si>
    <t>$114,300</t>
  </si>
  <si>
    <t>$33,510</t>
  </si>
  <si>
    <t>$7,312</t>
  </si>
  <si>
    <t>$116,400</t>
  </si>
  <si>
    <t>$11,140</t>
  </si>
  <si>
    <t>$118,100</t>
  </si>
  <si>
    <t>The Citadel</t>
  </si>
  <si>
    <t>$11,428</t>
  </si>
  <si>
    <t>$13,093</t>
  </si>
  <si>
    <t>$132,300</t>
  </si>
  <si>
    <t>St. John's University (NY)</t>
  </si>
  <si>
    <t>$32,626</t>
  </si>
  <si>
    <t>$7,990</t>
  </si>
  <si>
    <t>$127,100</t>
  </si>
  <si>
    <t>$21,483</t>
  </si>
  <si>
    <t>$6,320</t>
  </si>
  <si>
    <t>$107,000</t>
  </si>
  <si>
    <t>D</t>
  </si>
  <si>
    <t>$9,162</t>
  </si>
  <si>
    <t>$5,538</t>
  </si>
  <si>
    <t>$9,359</t>
  </si>
  <si>
    <t>$8,346</t>
  </si>
  <si>
    <t>$24,697</t>
  </si>
  <si>
    <t>$12,071</t>
  </si>
  <si>
    <t>$10,511</t>
  </si>
  <si>
    <t>$5,462</t>
  </si>
  <si>
    <t>$37,480</t>
  </si>
  <si>
    <t>$7,148</t>
  </si>
  <si>
    <t>$122,100</t>
  </si>
  <si>
    <t>$9,159</t>
  </si>
  <si>
    <t>$6,289</t>
  </si>
  <si>
    <t>$110,000</t>
  </si>
  <si>
    <t>$8,889</t>
  </si>
  <si>
    <t>$6,654</t>
  </si>
  <si>
    <t>$26,796</t>
  </si>
  <si>
    <t>$9,442</t>
  </si>
  <si>
    <t>University of Washington Bothell</t>
  </si>
  <si>
    <t>$15,474</t>
  </si>
  <si>
    <t>$4,651</t>
  </si>
  <si>
    <t>$26,448</t>
  </si>
  <si>
    <t>$7,486</t>
  </si>
  <si>
    <t>$110,300</t>
  </si>
  <si>
    <t>$37,119</t>
  </si>
  <si>
    <t>$7,844</t>
  </si>
  <si>
    <t>$6,522</t>
  </si>
  <si>
    <t>$6,936</t>
  </si>
  <si>
    <t>$123,600</t>
  </si>
  <si>
    <t>$20,711</t>
  </si>
  <si>
    <t>$7,815</t>
  </si>
  <si>
    <t>$104,600</t>
  </si>
  <si>
    <t>MS</t>
  </si>
  <si>
    <t>$13,720</t>
  </si>
  <si>
    <t>$10,144</t>
  </si>
  <si>
    <t>$102,800</t>
  </si>
  <si>
    <t>$21,143</t>
  </si>
  <si>
    <t>$5,351</t>
  </si>
  <si>
    <t>$111,300</t>
  </si>
  <si>
    <t>$26,004</t>
  </si>
  <si>
    <t>$7,204</t>
  </si>
  <si>
    <t>$126,700</t>
  </si>
  <si>
    <t>$28,048</t>
  </si>
  <si>
    <t>$14,299</t>
  </si>
  <si>
    <t>$119,600</t>
  </si>
  <si>
    <t>$29,443</t>
  </si>
  <si>
    <t>$11,822</t>
  </si>
  <si>
    <t>$122,900</t>
  </si>
  <si>
    <t>$46,821</t>
  </si>
  <si>
    <t>$4,492</t>
  </si>
  <si>
    <t>$141,500</t>
  </si>
  <si>
    <t>$31,274</t>
  </si>
  <si>
    <t>$8,953</t>
  </si>
  <si>
    <t>Wheaton College (IL)</t>
  </si>
  <si>
    <t>$24,272</t>
  </si>
  <si>
    <t>$6,429</t>
  </si>
  <si>
    <t>$127,200</t>
  </si>
  <si>
    <t>University of North Carolina, Charlotte</t>
  </si>
  <si>
    <t>$7,907</t>
  </si>
  <si>
    <t>$7,127</t>
  </si>
  <si>
    <t>Embry-Riddle Aeronautical University, Daytona Beach</t>
  </si>
  <si>
    <t>$20,372</t>
  </si>
  <si>
    <t>$15,475</t>
  </si>
  <si>
    <t>$129,100</t>
  </si>
  <si>
    <t>$10,907</t>
  </si>
  <si>
    <t>$5,227</t>
  </si>
  <si>
    <t>$111,600</t>
  </si>
  <si>
    <t>$10,760</t>
  </si>
  <si>
    <t>$8,079</t>
  </si>
  <si>
    <t>$30,973</t>
  </si>
  <si>
    <t>$12,038</t>
  </si>
  <si>
    <t>$161,500</t>
  </si>
  <si>
    <t>$26,693</t>
  </si>
  <si>
    <t>$7,299</t>
  </si>
  <si>
    <t>$123,500</t>
  </si>
  <si>
    <t>$8,866</t>
  </si>
  <si>
    <t>$165,700</t>
  </si>
  <si>
    <t>$32,808</t>
  </si>
  <si>
    <t>$9,438</t>
  </si>
  <si>
    <t>$118,900</t>
  </si>
  <si>
    <t>$36,435</t>
  </si>
  <si>
    <t>$7,547</t>
  </si>
  <si>
    <t>$120,600</t>
  </si>
  <si>
    <t>ND</t>
  </si>
  <si>
    <t>$6,387</t>
  </si>
  <si>
    <t>$11,927</t>
  </si>
  <si>
    <t>$114,700</t>
  </si>
  <si>
    <t>San Jose State University</t>
  </si>
  <si>
    <t>$9,210</t>
  </si>
  <si>
    <t>$5,592</t>
  </si>
  <si>
    <t>$137,200</t>
  </si>
  <si>
    <t>WV</t>
  </si>
  <si>
    <t>$11,685</t>
  </si>
  <si>
    <t>$9,613</t>
  </si>
  <si>
    <t>$9,808</t>
  </si>
  <si>
    <t>$6,445</t>
  </si>
  <si>
    <t>$112,300</t>
  </si>
  <si>
    <t>$35,452</t>
  </si>
  <si>
    <t>$6,836</t>
  </si>
  <si>
    <t>$142,300</t>
  </si>
  <si>
    <t>Union College (NY)</t>
  </si>
  <si>
    <t>$37,530</t>
  </si>
  <si>
    <t>$8,270</t>
  </si>
  <si>
    <t>$153,300</t>
  </si>
  <si>
    <t>$49,177</t>
  </si>
  <si>
    <t>$8,059</t>
  </si>
  <si>
    <t>$144,300</t>
  </si>
  <si>
    <t>$12,583</t>
  </si>
  <si>
    <t>$7,807</t>
  </si>
  <si>
    <t>$104,800</t>
  </si>
  <si>
    <t>$40,243</t>
  </si>
  <si>
    <t>$7,227</t>
  </si>
  <si>
    <t>$142,900</t>
  </si>
  <si>
    <t>$41,285</t>
  </si>
  <si>
    <t>$9,150</t>
  </si>
  <si>
    <t>$157,700</t>
  </si>
  <si>
    <t>$39,304</t>
  </si>
  <si>
    <t>$6,098</t>
  </si>
  <si>
    <t>$113,600</t>
  </si>
  <si>
    <t>$8,733</t>
  </si>
  <si>
    <t>$8,696</t>
  </si>
  <si>
    <t>$11,983</t>
  </si>
  <si>
    <t>$7,166</t>
  </si>
  <si>
    <t>$7,268</t>
  </si>
  <si>
    <t>$9,405</t>
  </si>
  <si>
    <t>$102,600</t>
  </si>
  <si>
    <t>$30,917</t>
  </si>
  <si>
    <t>$7,347</t>
  </si>
  <si>
    <t>$139,600</t>
  </si>
  <si>
    <t>$33,025</t>
  </si>
  <si>
    <t>$8,272</t>
  </si>
  <si>
    <t>$141,100</t>
  </si>
  <si>
    <t>$14,252</t>
  </si>
  <si>
    <t>$7,253</t>
  </si>
  <si>
    <t>$111,000</t>
  </si>
  <si>
    <t>$9,961</t>
  </si>
  <si>
    <t>$6,246</t>
  </si>
  <si>
    <t>$106,800</t>
  </si>
  <si>
    <t>$12,216</t>
  </si>
  <si>
    <t>$7,490</t>
  </si>
  <si>
    <t>$100,700</t>
  </si>
  <si>
    <t>University of Texas, Arlington</t>
  </si>
  <si>
    <t>$11,370</t>
  </si>
  <si>
    <t>$5,959</t>
  </si>
  <si>
    <t>$117,700</t>
  </si>
  <si>
    <t>$11,619</t>
  </si>
  <si>
    <t>$7,247</t>
  </si>
  <si>
    <t>$112,700</t>
  </si>
  <si>
    <t>$9,040</t>
  </si>
  <si>
    <t>$6,028</t>
  </si>
  <si>
    <t>$133,900</t>
  </si>
  <si>
    <t>$7,443</t>
  </si>
  <si>
    <t>$7,207</t>
  </si>
  <si>
    <t>$99,800</t>
  </si>
  <si>
    <t>Clark University (MA)</t>
  </si>
  <si>
    <t>$29,716</t>
  </si>
  <si>
    <t>$6,917</t>
  </si>
  <si>
    <t>$103,000</t>
  </si>
  <si>
    <t>University of Wisconsin, Eau Claire</t>
  </si>
  <si>
    <t>$4,251</t>
  </si>
  <si>
    <t>$7,354</t>
  </si>
  <si>
    <t>$108,900</t>
  </si>
  <si>
    <t>$24,880</t>
  </si>
  <si>
    <t>$7,428</t>
  </si>
  <si>
    <t>$108,000</t>
  </si>
  <si>
    <t>$25,615</t>
  </si>
  <si>
    <t>$13,242</t>
  </si>
  <si>
    <t>Sewanee—University of the South</t>
  </si>
  <si>
    <t>$34,241</t>
  </si>
  <si>
    <t>$5,059</t>
  </si>
  <si>
    <t>$38,167</t>
  </si>
  <si>
    <t>$6,265</t>
  </si>
  <si>
    <t>$115,600</t>
  </si>
  <si>
    <t>$39,594</t>
  </si>
  <si>
    <t>$4,829</t>
  </si>
  <si>
    <t>$121,400</t>
  </si>
  <si>
    <t>$8,376</t>
  </si>
  <si>
    <t>$6,521</t>
  </si>
  <si>
    <t>$105,700</t>
  </si>
  <si>
    <t>NM</t>
  </si>
  <si>
    <t>$10,293</t>
  </si>
  <si>
    <t>$4,925</t>
  </si>
  <si>
    <t>$10,605</t>
  </si>
  <si>
    <t>$103,100</t>
  </si>
  <si>
    <t>Rutgers University, Newark</t>
  </si>
  <si>
    <t>$13,168</t>
  </si>
  <si>
    <t>$6,475</t>
  </si>
  <si>
    <t>$123,100</t>
  </si>
  <si>
    <t>$40,399</t>
  </si>
  <si>
    <t>$6,527</t>
  </si>
  <si>
    <t>$24,235</t>
  </si>
  <si>
    <t>$13,929</t>
  </si>
  <si>
    <t>$28,826</t>
  </si>
  <si>
    <t>$8,635</t>
  </si>
  <si>
    <t>University of Texas at San Antonio</t>
  </si>
  <si>
    <t>$8,934</t>
  </si>
  <si>
    <t>$5,390</t>
  </si>
  <si>
    <t>$105,800</t>
  </si>
  <si>
    <t>$20,063</t>
  </si>
  <si>
    <t>$7,415</t>
  </si>
  <si>
    <t>$11,142</t>
  </si>
  <si>
    <t>$6,382</t>
  </si>
  <si>
    <t>$101,100</t>
  </si>
  <si>
    <t>$5,732</t>
  </si>
  <si>
    <t>$9,555</t>
  </si>
  <si>
    <t>$117,100</t>
  </si>
  <si>
    <t>$27,474</t>
  </si>
  <si>
    <t>$6,713</t>
  </si>
  <si>
    <t>MT</t>
  </si>
  <si>
    <t>$5,749</t>
  </si>
  <si>
    <t>$7,375</t>
  </si>
  <si>
    <t>$11,104</t>
  </si>
  <si>
    <t>$6,746</t>
  </si>
  <si>
    <t>$107,900</t>
  </si>
  <si>
    <t>$42,251</t>
  </si>
  <si>
    <t>$9,108</t>
  </si>
  <si>
    <t>$124,500</t>
  </si>
  <si>
    <t>University of Texas, El Paso</t>
  </si>
  <si>
    <t>$10,564</t>
  </si>
  <si>
    <t>$4,735</t>
  </si>
  <si>
    <t>$106,500</t>
  </si>
  <si>
    <t>ID</t>
  </si>
  <si>
    <t>$11,105</t>
  </si>
  <si>
    <t>$5,572</t>
  </si>
  <si>
    <t>$35,256</t>
  </si>
  <si>
    <t>$6,551</t>
  </si>
  <si>
    <t>$114,400</t>
  </si>
  <si>
    <t>$26,291</t>
  </si>
  <si>
    <t>$6,902</t>
  </si>
  <si>
    <t>$30,609</t>
  </si>
  <si>
    <t>$7,269</t>
  </si>
  <si>
    <t>$33,740</t>
  </si>
  <si>
    <t>$8,484</t>
  </si>
  <si>
    <t>$98,400</t>
  </si>
  <si>
    <t>$6,346</t>
  </si>
  <si>
    <t>$5,722</t>
  </si>
  <si>
    <t>$107,300</t>
  </si>
  <si>
    <t>$32,047</t>
  </si>
  <si>
    <t>$6,438</t>
  </si>
  <si>
    <t>$135,400</t>
  </si>
  <si>
    <t>$29,025</t>
  </si>
  <si>
    <t>$11,265</t>
  </si>
  <si>
    <t>$30,955</t>
  </si>
  <si>
    <t>$6,369</t>
  </si>
  <si>
    <t>$145,600</t>
  </si>
  <si>
    <t>$9,750</t>
  </si>
  <si>
    <t>$5,868</t>
  </si>
  <si>
    <t>$109,000</t>
  </si>
  <si>
    <t>$18,237</t>
  </si>
  <si>
    <t>$10,226</t>
  </si>
  <si>
    <t>$134,000</t>
  </si>
  <si>
    <t>$43,239</t>
  </si>
  <si>
    <t>$8,110</t>
  </si>
  <si>
    <t>$40,262</t>
  </si>
  <si>
    <t>$9,499</t>
  </si>
  <si>
    <t>$102,700</t>
  </si>
  <si>
    <t>California State University-Bakersfield</t>
  </si>
  <si>
    <t>$10,750</t>
  </si>
  <si>
    <t>$5,006</t>
  </si>
  <si>
    <t>University of the Pacific (CA)</t>
  </si>
  <si>
    <t>$38,322</t>
  </si>
  <si>
    <t>$6,817</t>
  </si>
  <si>
    <t>$11,865</t>
  </si>
  <si>
    <t>$6,397</t>
  </si>
  <si>
    <t>$106,700</t>
  </si>
  <si>
    <t>$11,791</t>
  </si>
  <si>
    <t>$5,703</t>
  </si>
  <si>
    <t>$105,600</t>
  </si>
  <si>
    <t>$8,357</t>
  </si>
  <si>
    <t>$27,897</t>
  </si>
  <si>
    <t>$8,988</t>
  </si>
  <si>
    <t>$112,900</t>
  </si>
  <si>
    <t>$29,122</t>
  </si>
  <si>
    <t>$9,891</t>
  </si>
  <si>
    <t>$126,100</t>
  </si>
  <si>
    <t>$30,958</t>
  </si>
  <si>
    <t>$10,202</t>
  </si>
  <si>
    <t>$8,260</t>
  </si>
  <si>
    <t>$8,716</t>
  </si>
  <si>
    <t>University of Saint Thomas (MN)</t>
  </si>
  <si>
    <t>$32,284</t>
  </si>
  <si>
    <t>$10,539</t>
  </si>
  <si>
    <t>$135,200</t>
  </si>
  <si>
    <t>$6,412</t>
  </si>
  <si>
    <t>$6,606</t>
  </si>
  <si>
    <t>$99,100</t>
  </si>
  <si>
    <t>University at Albany, SUNY</t>
  </si>
  <si>
    <t>$11,485</t>
  </si>
  <si>
    <t>$6,785</t>
  </si>
  <si>
    <t>$125,100</t>
  </si>
  <si>
    <t>University of Tulsa</t>
  </si>
  <si>
    <t>$36,877</t>
  </si>
  <si>
    <t>$7,505</t>
  </si>
  <si>
    <t>$40,914</t>
  </si>
  <si>
    <t>$9,772</t>
  </si>
  <si>
    <t>California State University-Monterey Bay</t>
  </si>
  <si>
    <t>$8,702</t>
  </si>
  <si>
    <t>$5,210</t>
  </si>
  <si>
    <t>$36,621</t>
  </si>
  <si>
    <t>$9,532</t>
  </si>
  <si>
    <t>$13,779</t>
  </si>
  <si>
    <t>$6,920</t>
  </si>
  <si>
    <t>New School</t>
  </si>
  <si>
    <t>$21,504</t>
  </si>
  <si>
    <t>$10,379</t>
  </si>
  <si>
    <t>$130,700</t>
  </si>
  <si>
    <t>$9,020</t>
  </si>
  <si>
    <t>$7,654</t>
  </si>
  <si>
    <t>$100,500</t>
  </si>
  <si>
    <t>$8,012</t>
  </si>
  <si>
    <t>$8,647</t>
  </si>
  <si>
    <t>$165,400</t>
  </si>
  <si>
    <t>$13,257</t>
  </si>
  <si>
    <t>$11,356</t>
  </si>
  <si>
    <t>$120,800</t>
  </si>
  <si>
    <t>Wheaton College (MA)</t>
  </si>
  <si>
    <t>$41,665</t>
  </si>
  <si>
    <t>$7,647</t>
  </si>
  <si>
    <t>$115,400</t>
  </si>
  <si>
    <t>Art Center College of Design</t>
  </si>
  <si>
    <t>$16,665</t>
  </si>
  <si>
    <t>$7,458</t>
  </si>
  <si>
    <t>$128,900</t>
  </si>
  <si>
    <t>$30,971</t>
  </si>
  <si>
    <t>$9,247</t>
  </si>
  <si>
    <t>$135,100</t>
  </si>
  <si>
    <t>Tennessee Technological University</t>
  </si>
  <si>
    <t>$8,471</t>
  </si>
  <si>
    <t>$6,766</t>
  </si>
  <si>
    <t>$109,400</t>
  </si>
  <si>
    <t>$16,114</t>
  </si>
  <si>
    <t>$8,372</t>
  </si>
  <si>
    <t>$135,600</t>
  </si>
  <si>
    <t>$11,515</t>
  </si>
  <si>
    <t>$6,174</t>
  </si>
  <si>
    <t>$96,700</t>
  </si>
  <si>
    <t>$37,116</t>
  </si>
  <si>
    <t>$7,650</t>
  </si>
  <si>
    <t>$98,600</t>
  </si>
  <si>
    <t>California State University-San Marcos</t>
  </si>
  <si>
    <t>$8,922</t>
  </si>
  <si>
    <t>$5,606</t>
  </si>
  <si>
    <t>$112,000</t>
  </si>
  <si>
    <t>University of California-Merced</t>
  </si>
  <si>
    <t>$25,868</t>
  </si>
  <si>
    <t>$4,754</t>
  </si>
  <si>
    <t>University of Alabama in Huntsville</t>
  </si>
  <si>
    <t>$8,983</t>
  </si>
  <si>
    <t>$7,054</t>
  </si>
  <si>
    <t>$127,000</t>
  </si>
  <si>
    <t>$8,742</t>
  </si>
  <si>
    <t>$5,825</t>
  </si>
  <si>
    <t>$103,300</t>
  </si>
  <si>
    <t>$9,046</t>
  </si>
  <si>
    <t>$8,468</t>
  </si>
  <si>
    <t>$117,500</t>
  </si>
  <si>
    <t>$26,280</t>
  </si>
  <si>
    <t>$10,671</t>
  </si>
  <si>
    <t>$53,584</t>
  </si>
  <si>
    <t>$6,006</t>
  </si>
  <si>
    <t>$107,100</t>
  </si>
  <si>
    <t>Colorado State University, Fort Collins</t>
  </si>
  <si>
    <t>$10,727</t>
  </si>
  <si>
    <t>$8,773</t>
  </si>
  <si>
    <t>$116,300</t>
  </si>
  <si>
    <t>$25,728</t>
  </si>
  <si>
    <t>$11,152</t>
  </si>
  <si>
    <t>$121,100</t>
  </si>
  <si>
    <t>$33,957</t>
  </si>
  <si>
    <t>$9,120</t>
  </si>
  <si>
    <t>$119,400</t>
  </si>
  <si>
    <t>$23,303</t>
  </si>
  <si>
    <t>$7,530</t>
  </si>
  <si>
    <t>$121,500</t>
  </si>
  <si>
    <t>$29,677</t>
  </si>
  <si>
    <t>$5,364</t>
  </si>
  <si>
    <t>$26,521</t>
  </si>
  <si>
    <t>$7,941</t>
  </si>
  <si>
    <t>$116,800</t>
  </si>
  <si>
    <t>SUNY, Farmingdale State College</t>
  </si>
  <si>
    <t>$10,382</t>
  </si>
  <si>
    <t>$5,276</t>
  </si>
  <si>
    <t>$9,529</t>
  </si>
  <si>
    <t>$6,511</t>
  </si>
  <si>
    <t>$156,200</t>
  </si>
  <si>
    <t>Charter Oak State College</t>
  </si>
  <si>
    <t>$8,195</t>
  </si>
  <si>
    <t>$9,500</t>
  </si>
  <si>
    <t>$98,900</t>
  </si>
  <si>
    <t>$12,552</t>
  </si>
  <si>
    <t>$6,377</t>
  </si>
  <si>
    <t>$115,100</t>
  </si>
  <si>
    <t>$34,200</t>
  </si>
  <si>
    <t>$9,590</t>
  </si>
  <si>
    <t>$4,958</t>
  </si>
  <si>
    <t>$36,421</t>
  </si>
  <si>
    <t>$7,218</t>
  </si>
  <si>
    <t>University of Puerto Rico-Rio Piedras</t>
  </si>
  <si>
    <t>PR</t>
  </si>
  <si>
    <t>$3,532</t>
  </si>
  <si>
    <t>$98,700</t>
  </si>
  <si>
    <t>$14,102</t>
  </si>
  <si>
    <t>$4,856</t>
  </si>
  <si>
    <t>$33,911</t>
  </si>
  <si>
    <t>$9,879</t>
  </si>
  <si>
    <t>University of Alaska, Fairbanks</t>
  </si>
  <si>
    <t>AK</t>
  </si>
  <si>
    <t>$8,704</t>
  </si>
  <si>
    <t>$5,705</t>
  </si>
  <si>
    <t>$36,497</t>
  </si>
  <si>
    <t>$7,089</t>
  </si>
  <si>
    <t>$140,800</t>
  </si>
  <si>
    <t>University of Washington, Tacoma Campus</t>
  </si>
  <si>
    <t>$12,961</t>
  </si>
  <si>
    <t>$4,891</t>
  </si>
  <si>
    <t>$34,449</t>
  </si>
  <si>
    <t>CUNY, Lehman College</t>
  </si>
  <si>
    <t>$10,412</t>
  </si>
  <si>
    <t>$5,384</t>
  </si>
  <si>
    <t>$94,900</t>
  </si>
  <si>
    <t>$32,842</t>
  </si>
  <si>
    <t>$6,403</t>
  </si>
  <si>
    <t>$31,988</t>
  </si>
  <si>
    <t>$9,901</t>
  </si>
  <si>
    <t>$9,892</t>
  </si>
  <si>
    <t>$7,335</t>
  </si>
  <si>
    <t>Rutgers University, Camden</t>
  </si>
  <si>
    <t>$15,670</t>
  </si>
  <si>
    <t>$6,495</t>
  </si>
  <si>
    <t>$33,900</t>
  </si>
  <si>
    <t>$7,897</t>
  </si>
  <si>
    <t>Saint John's University</t>
  </si>
  <si>
    <t>$37,533</t>
  </si>
  <si>
    <t>$9,006</t>
  </si>
  <si>
    <t>$131,700</t>
  </si>
  <si>
    <t>Embry-Riddle Aeronautical University, Prescott</t>
  </si>
  <si>
    <t>$20,536</t>
  </si>
  <si>
    <t>$15,653</t>
  </si>
  <si>
    <t>$146,800</t>
  </si>
  <si>
    <t>$10,629</t>
  </si>
  <si>
    <t>$7,997</t>
  </si>
  <si>
    <t>$32,482</t>
  </si>
  <si>
    <t>$7,519</t>
  </si>
  <si>
    <t>$5,076</t>
  </si>
  <si>
    <t>$38,412</t>
  </si>
  <si>
    <t>$8,149</t>
  </si>
  <si>
    <t>$120,900</t>
  </si>
  <si>
    <t>$10,265</t>
  </si>
  <si>
    <t>$7,459</t>
  </si>
  <si>
    <t>$28,273</t>
  </si>
  <si>
    <t>$9,536</t>
  </si>
  <si>
    <t>D'Youville University</t>
  </si>
  <si>
    <t>$22,053</t>
  </si>
  <si>
    <t>$10,292</t>
  </si>
  <si>
    <t>$96,200</t>
  </si>
  <si>
    <t>$11,563</t>
  </si>
  <si>
    <t>$5,857</t>
  </si>
  <si>
    <t>$108,800</t>
  </si>
  <si>
    <t>$8,022</t>
  </si>
  <si>
    <t>$8,879</t>
  </si>
  <si>
    <t>$103,800</t>
  </si>
  <si>
    <t>$13,577</t>
  </si>
  <si>
    <t>$8,374</t>
  </si>
  <si>
    <t>$124,200</t>
  </si>
  <si>
    <t>$10,761</t>
  </si>
  <si>
    <t>$5,720</t>
  </si>
  <si>
    <t>$117,800</t>
  </si>
  <si>
    <t>$8,659</t>
  </si>
  <si>
    <t>$5,669</t>
  </si>
  <si>
    <t>$31,901</t>
  </si>
  <si>
    <t>$9,988</t>
  </si>
  <si>
    <t>$13,573</t>
  </si>
  <si>
    <t>$10,862</t>
  </si>
  <si>
    <t>$29,952</t>
  </si>
  <si>
    <t>$9,340</t>
  </si>
  <si>
    <t>$122,600</t>
  </si>
  <si>
    <t>Concordia College—Moorhead</t>
  </si>
  <si>
    <t>$17,756</t>
  </si>
  <si>
    <t>$10,219</t>
  </si>
  <si>
    <t>$97,700</t>
  </si>
  <si>
    <t>$6,212</t>
  </si>
  <si>
    <t>$6,772</t>
  </si>
  <si>
    <t>$31,850</t>
  </si>
  <si>
    <t>$7,464</t>
  </si>
  <si>
    <t>$8,049</t>
  </si>
  <si>
    <t>$7,209</t>
  </si>
  <si>
    <t>$106,400</t>
  </si>
  <si>
    <t>University of Minnesota, Duluth</t>
  </si>
  <si>
    <t>$7,345</t>
  </si>
  <si>
    <t>California State University, Channel Islands</t>
  </si>
  <si>
    <t>$9,412</t>
  </si>
  <si>
    <t>$5,440</t>
  </si>
  <si>
    <t>$109,200</t>
  </si>
  <si>
    <t>Saint Joseph's University (PA)</t>
  </si>
  <si>
    <t>$29,822</t>
  </si>
  <si>
    <t>$9,723</t>
  </si>
  <si>
    <t>$124,600</t>
  </si>
  <si>
    <t>LIU Post</t>
  </si>
  <si>
    <t>$27,862</t>
  </si>
  <si>
    <t>$7,749</t>
  </si>
  <si>
    <t>$119,100</t>
  </si>
  <si>
    <t>SD</t>
  </si>
  <si>
    <t>$4,551</t>
  </si>
  <si>
    <t>$7,998</t>
  </si>
  <si>
    <t>$104,000</t>
  </si>
  <si>
    <t>SUNY, College at New Paltz</t>
  </si>
  <si>
    <t>$6,619</t>
  </si>
  <si>
    <t>$99,600</t>
  </si>
  <si>
    <t>$34,379</t>
  </si>
  <si>
    <t>$7,610</t>
  </si>
  <si>
    <t>$100,200</t>
  </si>
  <si>
    <t>$9,790</t>
  </si>
  <si>
    <t>$5,750</t>
  </si>
  <si>
    <t>$94,500</t>
  </si>
  <si>
    <t>$19,300</t>
  </si>
  <si>
    <t>$17,737</t>
  </si>
  <si>
    <t>$109,600</t>
  </si>
  <si>
    <t>$11,771</t>
  </si>
  <si>
    <t>$7,904</t>
  </si>
  <si>
    <t>$118,400</t>
  </si>
  <si>
    <t>$17,194</t>
  </si>
  <si>
    <t>$4,151</t>
  </si>
  <si>
    <t>$103,400</t>
  </si>
  <si>
    <t>$9,280</t>
  </si>
  <si>
    <t>$5,724</t>
  </si>
  <si>
    <t>$111,400</t>
  </si>
  <si>
    <t>$19,422</t>
  </si>
  <si>
    <t>$7,511</t>
  </si>
  <si>
    <t>$49,183</t>
  </si>
  <si>
    <t>$6,846</t>
  </si>
  <si>
    <t>$109,700</t>
  </si>
  <si>
    <t>$37,012</t>
  </si>
  <si>
    <t>$6,857</t>
  </si>
  <si>
    <t>$99,900</t>
  </si>
  <si>
    <t>$40,075</t>
  </si>
  <si>
    <t>$10,636</t>
  </si>
  <si>
    <t>$131,400</t>
  </si>
  <si>
    <t>$8,302</t>
  </si>
  <si>
    <t>$6,402</t>
  </si>
  <si>
    <t>$121,300</t>
  </si>
  <si>
    <t>$36,614</t>
  </si>
  <si>
    <t>$8,859</t>
  </si>
  <si>
    <t>$30,597</t>
  </si>
  <si>
    <t>$7,577</t>
  </si>
  <si>
    <t>$122,000</t>
  </si>
  <si>
    <t>$27,843</t>
  </si>
  <si>
    <t>$8,273</t>
  </si>
  <si>
    <t>$12,191</t>
  </si>
  <si>
    <t>$5,747</t>
  </si>
  <si>
    <t>$96,900</t>
  </si>
  <si>
    <t>$4,866</t>
  </si>
  <si>
    <t>$30,218</t>
  </si>
  <si>
    <t>$10,565</t>
  </si>
  <si>
    <t>$35,604</t>
  </si>
  <si>
    <t>$6,516</t>
  </si>
  <si>
    <t>$106,000</t>
  </si>
  <si>
    <t>$9,497</t>
  </si>
  <si>
    <t>CUNY, John Jay College of Criminal Justice</t>
  </si>
  <si>
    <t>$9,043</t>
  </si>
  <si>
    <t>$11,622</t>
  </si>
  <si>
    <t>$29,744</t>
  </si>
  <si>
    <t>$9,184</t>
  </si>
  <si>
    <t>$9,421</t>
  </si>
  <si>
    <t>$5,944</t>
  </si>
  <si>
    <t>$95,700</t>
  </si>
  <si>
    <t>$25,279</t>
  </si>
  <si>
    <t>$9,262</t>
  </si>
  <si>
    <t>$36,954</t>
  </si>
  <si>
    <t>$8,643</t>
  </si>
  <si>
    <t>The University of Tennessee-Chattanooga</t>
  </si>
  <si>
    <t>$9,309</t>
  </si>
  <si>
    <t>$6,850</t>
  </si>
  <si>
    <t>$100,800</t>
  </si>
  <si>
    <t>$11,314</t>
  </si>
  <si>
    <t>$7,099</t>
  </si>
  <si>
    <t>$97,200</t>
  </si>
  <si>
    <t>William Paterson University of New Jersey</t>
  </si>
  <si>
    <t>$6,173</t>
  </si>
  <si>
    <t>$108,600</t>
  </si>
  <si>
    <t>$5,431</t>
  </si>
  <si>
    <t>$7,854</t>
  </si>
  <si>
    <t>$131,500</t>
  </si>
  <si>
    <t>$4,450</t>
  </si>
  <si>
    <t>$6,250</t>
  </si>
  <si>
    <t>$29,898</t>
  </si>
  <si>
    <t>$8,860</t>
  </si>
  <si>
    <t>$9,358</t>
  </si>
  <si>
    <t>$12,526</t>
  </si>
  <si>
    <t>$143,100</t>
  </si>
  <si>
    <t>$24,360</t>
  </si>
  <si>
    <t>$12,551</t>
  </si>
  <si>
    <t>$25,359</t>
  </si>
  <si>
    <t>$6,894</t>
  </si>
  <si>
    <t>$25,767</t>
  </si>
  <si>
    <t>$9,965</t>
  </si>
  <si>
    <t>$99,300</t>
  </si>
  <si>
    <t>College of Wooster</t>
  </si>
  <si>
    <t>$42,315</t>
  </si>
  <si>
    <t>$6,703</t>
  </si>
  <si>
    <t>$120,700</t>
  </si>
  <si>
    <t>$4,431</t>
  </si>
  <si>
    <t>$110,700</t>
  </si>
  <si>
    <t>University of Puerto Rico, Mayaguez</t>
  </si>
  <si>
    <t>$8,087</t>
  </si>
  <si>
    <t>$3,472</t>
  </si>
  <si>
    <t>$42,150</t>
  </si>
  <si>
    <t>$8,121</t>
  </si>
  <si>
    <t>$109,500</t>
  </si>
  <si>
    <t>$10,499</t>
  </si>
  <si>
    <t>$5,658</t>
  </si>
  <si>
    <t>$34,710</t>
  </si>
  <si>
    <t>$8,547</t>
  </si>
  <si>
    <t>$126,600</t>
  </si>
  <si>
    <t>$9,755</t>
  </si>
  <si>
    <t>$5,672</t>
  </si>
  <si>
    <t>$110,900</t>
  </si>
  <si>
    <t>$13,123</t>
  </si>
  <si>
    <t>$6,569</t>
  </si>
  <si>
    <t>$101,400</t>
  </si>
  <si>
    <t>$9,871</t>
  </si>
  <si>
    <t>$4,827</t>
  </si>
  <si>
    <t>$101,200</t>
  </si>
  <si>
    <t>$11,246</t>
  </si>
  <si>
    <t>$9,044</t>
  </si>
  <si>
    <t>$107,400</t>
  </si>
  <si>
    <t>Saint Cloud State University</t>
  </si>
  <si>
    <t>$6,042</t>
  </si>
  <si>
    <t>$8,170</t>
  </si>
  <si>
    <t>University of Memphis</t>
  </si>
  <si>
    <t>$9,625</t>
  </si>
  <si>
    <t>$5,886</t>
  </si>
  <si>
    <t>$97,300</t>
  </si>
  <si>
    <t>$36,231</t>
  </si>
  <si>
    <t>$7,796</t>
  </si>
  <si>
    <t>$124,300</t>
  </si>
  <si>
    <t>$38,963</t>
  </si>
  <si>
    <t>$7,761</t>
  </si>
  <si>
    <t>$30,398</t>
  </si>
  <si>
    <t>$6,530</t>
  </si>
  <si>
    <t>$119,200</t>
  </si>
  <si>
    <t>$21,920</t>
  </si>
  <si>
    <t>$9,946</t>
  </si>
  <si>
    <t>$103,600</t>
  </si>
  <si>
    <t>$29,956</t>
  </si>
  <si>
    <t>$9,663</t>
  </si>
  <si>
    <t>North Carolina A&amp;T State University</t>
  </si>
  <si>
    <t>$10,082</t>
  </si>
  <si>
    <t>$6,617</t>
  </si>
  <si>
    <t>University of Florida, Online</t>
  </si>
  <si>
    <t>$6,997</t>
  </si>
  <si>
    <t>$5,756</t>
  </si>
  <si>
    <t>SUNY at Purchase College</t>
  </si>
  <si>
    <t>$10,312</t>
  </si>
  <si>
    <t>$6,613</t>
  </si>
  <si>
    <t>$38,787</t>
  </si>
  <si>
    <t>$8,160</t>
  </si>
  <si>
    <t>$115,500</t>
  </si>
  <si>
    <t>$11,804</t>
  </si>
  <si>
    <t>$10,859</t>
  </si>
  <si>
    <t>SUNY, College of Environmental Science and Forestry</t>
  </si>
  <si>
    <t>$8,713</t>
  </si>
  <si>
    <t>$7,196</t>
  </si>
  <si>
    <t>$27,700</t>
  </si>
  <si>
    <t>$7,750</t>
  </si>
  <si>
    <t>University of Missouri, Saint Louis</t>
  </si>
  <si>
    <t>$12,205</t>
  </si>
  <si>
    <t>$6,118</t>
  </si>
  <si>
    <t>$101,900</t>
  </si>
  <si>
    <t>University of St. Thomas (TX)</t>
  </si>
  <si>
    <t>$23,181</t>
  </si>
  <si>
    <t>$6,194</t>
  </si>
  <si>
    <t>$22,904</t>
  </si>
  <si>
    <t>$8,839</t>
  </si>
  <si>
    <t>University of Wisconsin, La Crosse</t>
  </si>
  <si>
    <t>$3,395</t>
  </si>
  <si>
    <t>$6,861</t>
  </si>
  <si>
    <t>$35,187</t>
  </si>
  <si>
    <t>$8,035</t>
  </si>
  <si>
    <t>$4,489</t>
  </si>
  <si>
    <t>$7,028</t>
  </si>
  <si>
    <t>$34,946</t>
  </si>
  <si>
    <t>$8,033</t>
  </si>
  <si>
    <t>Fairleigh Dickinson University-Florham Campus</t>
  </si>
  <si>
    <t>$28,436</t>
  </si>
  <si>
    <t>$8,747</t>
  </si>
  <si>
    <t>$118,500</t>
  </si>
  <si>
    <t>University of Maryland Global Campus</t>
  </si>
  <si>
    <t>$4,213</t>
  </si>
  <si>
    <t>$6,102</t>
  </si>
  <si>
    <t>$26,800</t>
  </si>
  <si>
    <t>$13,104</t>
  </si>
  <si>
    <t>$37,162</t>
  </si>
  <si>
    <t>$12,115</t>
  </si>
  <si>
    <t>$35,837</t>
  </si>
  <si>
    <t>$7,794</t>
  </si>
  <si>
    <t>$103,500</t>
  </si>
  <si>
    <t>$34,267</t>
  </si>
  <si>
    <t>$7,909</t>
  </si>
  <si>
    <t>$99,400</t>
  </si>
  <si>
    <t>$42,599</t>
  </si>
  <si>
    <t>$9,085</t>
  </si>
  <si>
    <t>$119,000</t>
  </si>
  <si>
    <t>$20,925</t>
  </si>
  <si>
    <t>$7,652</t>
  </si>
  <si>
    <t>$55,298</t>
  </si>
  <si>
    <t>$2,559</t>
  </si>
  <si>
    <t>$81,600</t>
  </si>
  <si>
    <t>$12,577</t>
  </si>
  <si>
    <t>$5,947</t>
  </si>
  <si>
    <t>$112,800</t>
  </si>
  <si>
    <t>$46,725</t>
  </si>
  <si>
    <t>$6,892</t>
  </si>
  <si>
    <t>$105,000</t>
  </si>
  <si>
    <t>$34,632</t>
  </si>
  <si>
    <t>$6,460</t>
  </si>
  <si>
    <t>$135,000</t>
  </si>
  <si>
    <t>$35,683</t>
  </si>
  <si>
    <t>$7,659</t>
  </si>
  <si>
    <t>$5,831</t>
  </si>
  <si>
    <t>$5,693</t>
  </si>
  <si>
    <t>$108,100</t>
  </si>
  <si>
    <t>$33,033</t>
  </si>
  <si>
    <t>$8,486</t>
  </si>
  <si>
    <t>$8,806</t>
  </si>
  <si>
    <t>$6,469</t>
  </si>
  <si>
    <t>$3,070</t>
  </si>
  <si>
    <t>$3,197</t>
  </si>
  <si>
    <t>$101,000</t>
  </si>
  <si>
    <t>$36,606</t>
  </si>
  <si>
    <t>$8,393</t>
  </si>
  <si>
    <t>$107,600</t>
  </si>
  <si>
    <t>$34,736</t>
  </si>
  <si>
    <t>$9,882</t>
  </si>
  <si>
    <t>Concordia University-Wisconsin</t>
  </si>
  <si>
    <t>$23,477</t>
  </si>
  <si>
    <t>$8,213</t>
  </si>
  <si>
    <t>$95,400</t>
  </si>
  <si>
    <t>$13,710</t>
  </si>
  <si>
    <t>$12,966</t>
  </si>
  <si>
    <t>$108,400</t>
  </si>
  <si>
    <t>College of Saint Benedict</t>
  </si>
  <si>
    <t>$37,252</t>
  </si>
  <si>
    <t>$10,148</t>
  </si>
  <si>
    <t>$6,308</t>
  </si>
  <si>
    <t>$7,340</t>
  </si>
  <si>
    <t>$105,200</t>
  </si>
  <si>
    <t>$8,020</t>
  </si>
  <si>
    <t>$14,541</t>
  </si>
  <si>
    <t>$34,706</t>
  </si>
  <si>
    <t>$8,025</t>
  </si>
  <si>
    <t>$112,400</t>
  </si>
  <si>
    <t>$40,089</t>
  </si>
  <si>
    <t>$7,322</t>
  </si>
  <si>
    <t>$126,900</t>
  </si>
  <si>
    <t>$23,816</t>
  </si>
  <si>
    <t>$6,252</t>
  </si>
  <si>
    <t>$112,200</t>
  </si>
  <si>
    <t>$15,181</t>
  </si>
  <si>
    <t>$5,652</t>
  </si>
  <si>
    <t>$113,200</t>
  </si>
  <si>
    <t>$25,538</t>
  </si>
  <si>
    <t>$8,092</t>
  </si>
  <si>
    <t>$114,900</t>
  </si>
  <si>
    <t>$11,773</t>
  </si>
  <si>
    <t>$6,041</t>
  </si>
  <si>
    <t>$34,485</t>
  </si>
  <si>
    <t>$9,443</t>
  </si>
  <si>
    <t>University of Management and Technology</t>
  </si>
  <si>
    <t>Private for-profit</t>
  </si>
  <si>
    <t>$4,050</t>
  </si>
  <si>
    <t>$10,999</t>
  </si>
  <si>
    <t>$8,126</t>
  </si>
  <si>
    <t>$107,200</t>
  </si>
  <si>
    <t>$8,811</t>
  </si>
  <si>
    <t>$6,572</t>
  </si>
  <si>
    <t>$98,500</t>
  </si>
  <si>
    <t>University of North Carolina, Wilmington</t>
  </si>
  <si>
    <t>$6,217</t>
  </si>
  <si>
    <t>$7,110</t>
  </si>
  <si>
    <t>$8,200</t>
  </si>
  <si>
    <t>$9,436</t>
  </si>
  <si>
    <t>$5,999</t>
  </si>
  <si>
    <t>Mount St. Mary's University (MD)</t>
  </si>
  <si>
    <t>$36,155</t>
  </si>
  <si>
    <t>$9,136</t>
  </si>
  <si>
    <t>$21,335</t>
  </si>
  <si>
    <t>$6,386</t>
  </si>
  <si>
    <t>Georgia College &amp; State University</t>
  </si>
  <si>
    <t>$8,610</t>
  </si>
  <si>
    <t>$6,446</t>
  </si>
  <si>
    <t>$93,700</t>
  </si>
  <si>
    <t>University of Puerto Rico-Humacao</t>
  </si>
  <si>
    <t>$7,826</t>
  </si>
  <si>
    <t>$3,333</t>
  </si>
  <si>
    <t>Montana Tech of the University of Montana</t>
  </si>
  <si>
    <t>$5,917</t>
  </si>
  <si>
    <t>$5,686</t>
  </si>
  <si>
    <t>$26,423</t>
  </si>
  <si>
    <t>$8,377</t>
  </si>
  <si>
    <t>$105,900</t>
  </si>
  <si>
    <t>$37,907</t>
  </si>
  <si>
    <t>$7,013</t>
  </si>
  <si>
    <t>$122,700</t>
  </si>
  <si>
    <t>$28,650</t>
  </si>
  <si>
    <t>$2,452</t>
  </si>
  <si>
    <t>$7,544</t>
  </si>
  <si>
    <t>$5,118</t>
  </si>
  <si>
    <t>$100,400</t>
  </si>
  <si>
    <t>$10,260</t>
  </si>
  <si>
    <t>$5,499</t>
  </si>
  <si>
    <t>University of Nebraska, Omaha</t>
  </si>
  <si>
    <t>$8,180</t>
  </si>
  <si>
    <t>$5,904</t>
  </si>
  <si>
    <t>$104,300</t>
  </si>
  <si>
    <t>Molloy College</t>
  </si>
  <si>
    <t>$20,822</t>
  </si>
  <si>
    <t>$7,387</t>
  </si>
  <si>
    <t>$106,100</t>
  </si>
  <si>
    <t>University of Colorado, Denver</t>
  </si>
  <si>
    <t>$9,384</t>
  </si>
  <si>
    <t>$6,942</t>
  </si>
  <si>
    <t>$115,000</t>
  </si>
  <si>
    <t>$30,091</t>
  </si>
  <si>
    <t>$9,101</t>
  </si>
  <si>
    <t>$32,486</t>
  </si>
  <si>
    <t>$7,588</t>
  </si>
  <si>
    <t>$107,500</t>
  </si>
  <si>
    <t>University of Houston, Clear Lake</t>
  </si>
  <si>
    <t>$16,973</t>
  </si>
  <si>
    <t>$5,035</t>
  </si>
  <si>
    <t>$113,800</t>
  </si>
  <si>
    <t>Rank_Forbes</t>
  </si>
  <si>
    <t>State_ab</t>
  </si>
  <si>
    <t>Crime Index ▲</t>
  </si>
  <si>
    <t xml:space="preserve">State </t>
  </si>
  <si>
    <t xml:space="preserve"> Population</t>
  </si>
  <si>
    <t>Republican/lean Rep.</t>
  </si>
  <si>
    <t>No lean</t>
  </si>
  <si>
    <t>Democrat/lean Dem.</t>
  </si>
  <si>
    <t>Sample size</t>
  </si>
  <si>
    <t>state</t>
  </si>
  <si>
    <t>https://worldpopulationreview.com/state-rankings/safest-states</t>
  </si>
  <si>
    <t>https://www.forbes.com/top-colleges/</t>
  </si>
  <si>
    <t>Forbes</t>
  </si>
  <si>
    <t>https://www.4icu.org/us/</t>
  </si>
  <si>
    <t>Top US Universities</t>
  </si>
  <si>
    <t>http://www.usa.com/rank/us--crime-index--state-rank.htm?hl=&amp;hlst=&amp;wist=&amp;yr=&amp;dis=&amp;sb=ASC&amp;plow=&amp;phigh=&amp;ps=</t>
  </si>
  <si>
    <t>Safety Score by States</t>
  </si>
  <si>
    <t>Crime Rate Index by States</t>
  </si>
  <si>
    <t>https://www.pewresearch.org/religious-landscape-study/database/compare/party-affiliation/by/state/</t>
  </si>
  <si>
    <t>Party Affliation by States</t>
  </si>
  <si>
    <t>California Polytechnic State University</t>
  </si>
  <si>
    <t>Stony Brook University, State University of New York</t>
  </si>
  <si>
    <t>Total Score</t>
  </si>
  <si>
    <t>Financial Safety</t>
  </si>
  <si>
    <t>Residential Safety</t>
  </si>
  <si>
    <t>Workplace Safety</t>
  </si>
  <si>
    <t>Road Safety</t>
  </si>
  <si>
    <t>Emergency Preparedness</t>
  </si>
  <si>
    <t>Normailzed Safety Score</t>
  </si>
  <si>
    <t>Normalized Crime Index</t>
  </si>
  <si>
    <t>City</t>
  </si>
  <si>
    <t>Cost of Living Index</t>
  </si>
  <si>
    <t>Normalized Cost of Living</t>
  </si>
  <si>
    <t>Albertville</t>
  </si>
  <si>
    <t>Cullman</t>
  </si>
  <si>
    <t>Dothan</t>
  </si>
  <si>
    <t>Gadsden</t>
  </si>
  <si>
    <t>Anniston</t>
  </si>
  <si>
    <t>Hot Springs</t>
  </si>
  <si>
    <t>Searcy</t>
  </si>
  <si>
    <t>Show Low</t>
  </si>
  <si>
    <t>Lake Havasu City</t>
  </si>
  <si>
    <t>Yuma</t>
  </si>
  <si>
    <t>Sierra Vista</t>
  </si>
  <si>
    <t>Napa</t>
  </si>
  <si>
    <t>Santa Maria</t>
  </si>
  <si>
    <t>Santa Rosa</t>
  </si>
  <si>
    <t>Salinas</t>
  </si>
  <si>
    <t>Truckee</t>
  </si>
  <si>
    <t>Ventura</t>
  </si>
  <si>
    <t>Eureka</t>
  </si>
  <si>
    <t>Modesto</t>
  </si>
  <si>
    <t>Madera</t>
  </si>
  <si>
    <t>Clearlake</t>
  </si>
  <si>
    <t>Yuba City</t>
  </si>
  <si>
    <t>Hanford</t>
  </si>
  <si>
    <t>Visalia</t>
  </si>
  <si>
    <t>El Centro</t>
  </si>
  <si>
    <t>Glenwood Springs</t>
  </si>
  <si>
    <t>Pueblo</t>
  </si>
  <si>
    <t>Stamford</t>
  </si>
  <si>
    <t>Torrington</t>
  </si>
  <si>
    <t>Key West</t>
  </si>
  <si>
    <t>Naples</t>
  </si>
  <si>
    <t>Crestview</t>
  </si>
  <si>
    <t>Port St. Lucie</t>
  </si>
  <si>
    <t>The Villages</t>
  </si>
  <si>
    <t>Punta Gorda</t>
  </si>
  <si>
    <t>Vero Beach</t>
  </si>
  <si>
    <t>Homosassa Springs</t>
  </si>
  <si>
    <t>Sebring</t>
  </si>
  <si>
    <t>Jefferson</t>
  </si>
  <si>
    <t>Hinesville</t>
  </si>
  <si>
    <t>Warner Robins</t>
  </si>
  <si>
    <t>Kapaa</t>
  </si>
  <si>
    <t>Kahului</t>
  </si>
  <si>
    <t>Coeur d'Alene</t>
  </si>
  <si>
    <t>Boise City</t>
  </si>
  <si>
    <t>Idaho Falls</t>
  </si>
  <si>
    <t>Twin Falls</t>
  </si>
  <si>
    <t>Kankakee</t>
  </si>
  <si>
    <t>Ottawa</t>
  </si>
  <si>
    <t>Warsaw</t>
  </si>
  <si>
    <t>Elkhart</t>
  </si>
  <si>
    <t>Michigan City</t>
  </si>
  <si>
    <t>South Bend</t>
  </si>
  <si>
    <t>Hutchinson</t>
  </si>
  <si>
    <t>Paducah</t>
  </si>
  <si>
    <t>London</t>
  </si>
  <si>
    <t>Houma</t>
  </si>
  <si>
    <t>Opelousas</t>
  </si>
  <si>
    <t>Barnstable Town</t>
  </si>
  <si>
    <t>Pittsfield</t>
  </si>
  <si>
    <t>Greenfield Town</t>
  </si>
  <si>
    <t>Hagerstown</t>
  </si>
  <si>
    <t>Cumberland</t>
  </si>
  <si>
    <t>Traverse City</t>
  </si>
  <si>
    <t>Niles</t>
  </si>
  <si>
    <t>Muskegon</t>
  </si>
  <si>
    <t>Battle Creek</t>
  </si>
  <si>
    <t>Duluth</t>
  </si>
  <si>
    <t>Branson</t>
  </si>
  <si>
    <t>Tupelo</t>
  </si>
  <si>
    <t>Gulfport</t>
  </si>
  <si>
    <t>Meridian</t>
  </si>
  <si>
    <t>Kalispell</t>
  </si>
  <si>
    <t>Morehead City</t>
  </si>
  <si>
    <t>Dunn</t>
  </si>
  <si>
    <t>North Wilkesboro</t>
  </si>
  <si>
    <t>New Bern</t>
  </si>
  <si>
    <t>Mount Airy</t>
  </si>
  <si>
    <t>Goldsboro</t>
  </si>
  <si>
    <t>Rocky Mount</t>
  </si>
  <si>
    <t>Shelby</t>
  </si>
  <si>
    <t>Lumberton</t>
  </si>
  <si>
    <t>Roanoke Rapids</t>
  </si>
  <si>
    <t>Grand Island</t>
  </si>
  <si>
    <t>Ocean City</t>
  </si>
  <si>
    <t>Atlantic City</t>
  </si>
  <si>
    <t>Vineland</t>
  </si>
  <si>
    <t>Gallup</t>
  </si>
  <si>
    <t>Roswell</t>
  </si>
  <si>
    <t>Alamogordo</t>
  </si>
  <si>
    <t>Glens Falls</t>
  </si>
  <si>
    <t>Plattsburgh</t>
  </si>
  <si>
    <t>Binghamton</t>
  </si>
  <si>
    <t>Corning</t>
  </si>
  <si>
    <t>Olean</t>
  </si>
  <si>
    <t>Ogdensburg</t>
  </si>
  <si>
    <t>Sandusky</t>
  </si>
  <si>
    <t>New Philadelphia</t>
  </si>
  <si>
    <t>Zanesville</t>
  </si>
  <si>
    <t>Ashtabula</t>
  </si>
  <si>
    <t>Enid</t>
  </si>
  <si>
    <t>Lawton</t>
  </si>
  <si>
    <t>Bend</t>
  </si>
  <si>
    <t>Grants Pass</t>
  </si>
  <si>
    <t>Coos Bay</t>
  </si>
  <si>
    <t>Roseburg</t>
  </si>
  <si>
    <t>Hermiston</t>
  </si>
  <si>
    <t>State College</t>
  </si>
  <si>
    <t>Altoona</t>
  </si>
  <si>
    <t>Somerset</t>
  </si>
  <si>
    <t>Sunbury</t>
  </si>
  <si>
    <t>DuBois</t>
  </si>
  <si>
    <t>New Castle</t>
  </si>
  <si>
    <t>Johnstown</t>
  </si>
  <si>
    <t>Pottsville</t>
  </si>
  <si>
    <t>Hilton Head Island</t>
  </si>
  <si>
    <t>Myrtle Beach</t>
  </si>
  <si>
    <t>Seneca</t>
  </si>
  <si>
    <t>Sevierville</t>
  </si>
  <si>
    <t>Tullahoma</t>
  </si>
  <si>
    <t>Kingsport</t>
  </si>
  <si>
    <t>Killeen</t>
  </si>
  <si>
    <t>Amarillo</t>
  </si>
  <si>
    <t>Lufkin</t>
  </si>
  <si>
    <t>Brownsville</t>
  </si>
  <si>
    <t>Martinsville</t>
  </si>
  <si>
    <t>Oak Harbor</t>
  </si>
  <si>
    <t>Bremerton</t>
  </si>
  <si>
    <t>Shelton</t>
  </si>
  <si>
    <t>Port Angeles</t>
  </si>
  <si>
    <t>Wenatchee</t>
  </si>
  <si>
    <t>Kennewick</t>
  </si>
  <si>
    <t>Yakima</t>
  </si>
  <si>
    <t>Moses Lake</t>
  </si>
  <si>
    <t>Beaver Dam</t>
  </si>
  <si>
    <t>Racine</t>
  </si>
  <si>
    <t>Janesville</t>
  </si>
  <si>
    <t>Sheboygan</t>
  </si>
  <si>
    <t>Wausau</t>
  </si>
  <si>
    <t>Manitowoc</t>
  </si>
  <si>
    <t>Wisconsin Rapids</t>
  </si>
  <si>
    <t>Marinette</t>
  </si>
  <si>
    <t>Clarksburg</t>
  </si>
  <si>
    <t>Weirton</t>
  </si>
  <si>
    <t>Beckley</t>
  </si>
  <si>
    <t>Cheyenne</t>
  </si>
  <si>
    <t>Casper</t>
  </si>
  <si>
    <t>Cost of Living</t>
  </si>
  <si>
    <t>https://www.bestplaces.net/cost-of-living/</t>
  </si>
  <si>
    <t>Average 10 year Median Salary</t>
  </si>
  <si>
    <t>$143,000</t>
  </si>
  <si>
    <t>Average Grant Aid (ALL)</t>
  </si>
  <si>
    <t>Average Debt (All)</t>
  </si>
  <si>
    <t>Row Labels</t>
  </si>
  <si>
    <t>Crime Rate</t>
  </si>
  <si>
    <t>Safety Score</t>
  </si>
  <si>
    <t>Democrat Lean</t>
  </si>
  <si>
    <t>No Lean</t>
  </si>
  <si>
    <t>Republican Lean</t>
  </si>
  <si>
    <t>Safety Scores</t>
  </si>
  <si>
    <t>Crime Rate Index</t>
  </si>
  <si>
    <t>Republican</t>
  </si>
  <si>
    <t>Not Taking Sides</t>
  </si>
  <si>
    <t>Democrats</t>
  </si>
  <si>
    <t>Normalized Cost of Living Index</t>
  </si>
  <si>
    <t>Normalized Crime Rate Index</t>
  </si>
  <si>
    <t>Normalized Safety Score</t>
  </si>
  <si>
    <t>Overall Score</t>
  </si>
  <si>
    <t>Weightage</t>
  </si>
  <si>
    <t xml:space="preserve">Stanford </t>
  </si>
  <si>
    <t>1st Choice:</t>
  </si>
  <si>
    <t>2nd Choice:</t>
  </si>
  <si>
    <t>3rd Choice:</t>
  </si>
  <si>
    <t>4th Choice:</t>
  </si>
  <si>
    <t>5th Choice:</t>
  </si>
  <si>
    <t>Vivek Vikram Singh</t>
  </si>
  <si>
    <t>Prathna Bhanushali</t>
  </si>
  <si>
    <t>Ayush Kanungo</t>
  </si>
  <si>
    <t>Group 8</t>
  </si>
  <si>
    <t>Datasets From</t>
  </si>
  <si>
    <t>Topic -Top Student-Friendly Cities in the USA for Those Attending Top 100 Universities</t>
  </si>
  <si>
    <t>How to Navigate and Use Our Dashboard Effectively</t>
  </si>
  <si>
    <t>Paste video link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</si>
</sst>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00"/>
    <numFmt numFmtId="165" formatCode="&quot;$&quot;#,##0"/>
    <numFmt numFmtId="166" formatCode="0.000_);[Red]\(0.000\)"/>
    <numFmt numFmtId="167" formatCode="0.00_);[Red]\(0.00\)"/>
    <numFmt numFmtId="168" formatCode="0.000_);\(0.000\)"/>
    <numFmt numFmtId="169" formatCode="0.0"/>
    <numFmt numFmtId="170" formatCode="[$$-409]#,##0_);[Red]\([$$-409]#,##0\)"/>
    <numFmt numFmtId="171" formatCode="[$$-409]#,##0"/>
    <numFmt numFmtId="172" formatCode="0.000"/>
  </numFmts>
  <fonts count="27">
    <font>
      <sz val="11"/>
      <color theme="1"/>
      <name val="Calibri"/>
      <family val="2"/>
      <scheme val="minor"/>
    </font>
    <font>
      <b/>
      <sz val="11"/>
      <color rgb="FF000000"/>
      <name val="Calibri"/>
      <family val="2"/>
      <scheme val="minor"/>
    </font>
    <font>
      <sz val="11"/>
      <color rgb="FF000000"/>
      <name val="Calibri"/>
      <family val="2"/>
      <scheme val="minor"/>
    </font>
    <font>
      <sz val="12"/>
      <color rgb="FF000000"/>
      <name val="Graphik"/>
    </font>
    <font>
      <sz val="12"/>
      <color rgb="FF000000"/>
      <name val="Graphik"/>
    </font>
    <font>
      <u/>
      <sz val="11"/>
      <color theme="10"/>
      <name val="Calibri"/>
      <family val="2"/>
      <scheme val="minor"/>
    </font>
    <font>
      <sz val="8"/>
      <name val="Calibri"/>
      <family val="2"/>
      <scheme val="minor"/>
    </font>
    <font>
      <sz val="12"/>
      <color theme="1"/>
      <name val="Arial"/>
      <family val="2"/>
    </font>
    <font>
      <b/>
      <sz val="12"/>
      <color theme="1"/>
      <name val="Arial"/>
      <family val="2"/>
    </font>
    <font>
      <b/>
      <sz val="11"/>
      <color rgb="FF2A2A2A"/>
      <name val="Var(--wp--preset--font-family--"/>
    </font>
    <font>
      <sz val="11"/>
      <color rgb="FF2A2A2A"/>
      <name val="Var(--wp--preset--font-family--"/>
    </font>
    <font>
      <sz val="10"/>
      <color theme="1"/>
      <name val="Arial"/>
      <family val="2"/>
    </font>
    <font>
      <sz val="14"/>
      <color theme="1"/>
      <name val="Albanny AMT"/>
    </font>
    <font>
      <sz val="14"/>
      <color rgb="FF404040"/>
      <name val="Albanny AMT"/>
    </font>
    <font>
      <sz val="11"/>
      <color theme="1"/>
      <name val="Calibri"/>
      <family val="2"/>
      <scheme val="minor"/>
    </font>
    <font>
      <b/>
      <sz val="10"/>
      <color theme="0"/>
      <name val="Arial"/>
      <family val="2"/>
    </font>
    <font>
      <i/>
      <sz val="11"/>
      <color theme="1"/>
      <name val="Calibri"/>
      <family val="2"/>
      <scheme val="minor"/>
    </font>
    <font>
      <b/>
      <sz val="20"/>
      <color theme="1"/>
      <name val="Calibri"/>
      <family val="2"/>
      <scheme val="minor"/>
    </font>
    <font>
      <b/>
      <sz val="20"/>
      <color theme="0"/>
      <name val="Calibri"/>
      <family val="2"/>
      <scheme val="minor"/>
    </font>
    <font>
      <sz val="11"/>
      <color theme="0"/>
      <name val="Calibri"/>
      <family val="2"/>
      <scheme val="minor"/>
    </font>
    <font>
      <sz val="11"/>
      <name val="Georgia Pro Black"/>
      <family val="1"/>
    </font>
    <font>
      <b/>
      <sz val="11"/>
      <color theme="4"/>
      <name val="Calibri"/>
      <family val="2"/>
      <scheme val="minor"/>
    </font>
    <font>
      <b/>
      <sz val="14"/>
      <color theme="0"/>
      <name val="Calibri"/>
      <family val="2"/>
      <scheme val="minor"/>
    </font>
    <font>
      <b/>
      <sz val="14"/>
      <color theme="3"/>
      <name val="Calibri"/>
      <family val="2"/>
      <scheme val="minor"/>
    </font>
    <font>
      <sz val="14"/>
      <color theme="3"/>
      <name val="Calibri"/>
      <family val="2"/>
      <scheme val="minor"/>
    </font>
    <font>
      <b/>
      <sz val="11"/>
      <color theme="1"/>
      <name val="Calibri"/>
      <family val="2"/>
      <scheme val="minor"/>
    </font>
    <font>
      <b/>
      <sz val="15"/>
      <color theme="1"/>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4" tint="0.79998168889431442"/>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4" tint="-0.499984740745262"/>
        <bgColor indexed="64"/>
      </patternFill>
    </fill>
    <fill>
      <patternFill patternType="solid">
        <fgColor theme="7" tint="-0.249977111117893"/>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3"/>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slantDashDot">
        <color indexed="64"/>
      </left>
      <right style="slantDashDot">
        <color theme="1" tint="0.499984740745262"/>
      </right>
      <top style="slantDashDot">
        <color indexed="64"/>
      </top>
      <bottom style="slantDashDot">
        <color theme="1" tint="0.499984740745262"/>
      </bottom>
      <diagonal/>
    </border>
    <border>
      <left style="slantDashDot">
        <color theme="1" tint="0.499984740745262"/>
      </left>
      <right style="slantDashDot">
        <color theme="1" tint="0.499984740745262"/>
      </right>
      <top style="slantDashDot">
        <color indexed="64"/>
      </top>
      <bottom style="slantDashDot">
        <color theme="1" tint="0.499984740745262"/>
      </bottom>
      <diagonal/>
    </border>
    <border>
      <left style="slantDashDot">
        <color theme="1" tint="0.499984740745262"/>
      </left>
      <right style="slantDashDot">
        <color indexed="64"/>
      </right>
      <top style="slantDashDot">
        <color indexed="64"/>
      </top>
      <bottom style="slantDashDot">
        <color theme="1" tint="0.499984740745262"/>
      </bottom>
      <diagonal/>
    </border>
    <border>
      <left style="slantDashDot">
        <color indexed="64"/>
      </left>
      <right style="slantDashDot">
        <color theme="1" tint="0.499984740745262"/>
      </right>
      <top style="slantDashDot">
        <color theme="1" tint="0.499984740745262"/>
      </top>
      <bottom style="slantDashDot">
        <color theme="1" tint="0.499984740745262"/>
      </bottom>
      <diagonal/>
    </border>
    <border>
      <left style="slantDashDot">
        <color theme="1" tint="0.499984740745262"/>
      </left>
      <right style="slantDashDot">
        <color theme="1" tint="0.499984740745262"/>
      </right>
      <top style="slantDashDot">
        <color theme="1" tint="0.499984740745262"/>
      </top>
      <bottom style="slantDashDot">
        <color theme="1" tint="0.499984740745262"/>
      </bottom>
      <diagonal/>
    </border>
    <border>
      <left style="slantDashDot">
        <color theme="1" tint="0.499984740745262"/>
      </left>
      <right style="slantDashDot">
        <color indexed="64"/>
      </right>
      <top style="slantDashDot">
        <color theme="1" tint="0.499984740745262"/>
      </top>
      <bottom style="slantDashDot">
        <color theme="1" tint="0.499984740745262"/>
      </bottom>
      <diagonal/>
    </border>
    <border>
      <left style="slantDashDot">
        <color theme="1" tint="0.499984740745262"/>
      </left>
      <right style="slantDashDot">
        <color theme="1" tint="0.499984740745262"/>
      </right>
      <top style="slantDashDot">
        <color theme="1" tint="0.499984740745262"/>
      </top>
      <bottom style="slantDashDot">
        <color indexed="64"/>
      </bottom>
      <diagonal/>
    </border>
    <border>
      <left style="slantDashDot">
        <color theme="1" tint="0.499984740745262"/>
      </left>
      <right style="slantDashDot">
        <color indexed="64"/>
      </right>
      <top style="slantDashDot">
        <color theme="1" tint="0.499984740745262"/>
      </top>
      <bottom style="slantDashDot">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dashDotDot">
        <color indexed="64"/>
      </left>
      <right/>
      <top style="dashDotDot">
        <color indexed="64"/>
      </top>
      <bottom/>
      <diagonal/>
    </border>
    <border>
      <left/>
      <right/>
      <top style="dashDotDot">
        <color indexed="64"/>
      </top>
      <bottom/>
      <diagonal/>
    </border>
    <border>
      <left/>
      <right style="dashDotDot">
        <color indexed="64"/>
      </right>
      <top style="dashDotDot">
        <color indexed="64"/>
      </top>
      <bottom/>
      <diagonal/>
    </border>
    <border>
      <left style="dashDotDot">
        <color indexed="64"/>
      </left>
      <right/>
      <top/>
      <bottom/>
      <diagonal/>
    </border>
    <border>
      <left/>
      <right style="dashDotDot">
        <color indexed="64"/>
      </right>
      <top/>
      <bottom/>
      <diagonal/>
    </border>
    <border>
      <left style="dashDotDot">
        <color indexed="64"/>
      </left>
      <right/>
      <top/>
      <bottom style="dashDotDot">
        <color indexed="64"/>
      </bottom>
      <diagonal/>
    </border>
    <border>
      <left/>
      <right/>
      <top/>
      <bottom style="dashDotDot">
        <color indexed="64"/>
      </bottom>
      <diagonal/>
    </border>
    <border>
      <left/>
      <right style="dashDotDot">
        <color indexed="64"/>
      </right>
      <top/>
      <bottom style="dashDotDot">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5" fillId="0" borderId="0" applyNumberFormat="0" applyFill="0" applyBorder="0" applyAlignment="0" applyProtection="0"/>
    <xf numFmtId="9" fontId="14" fillId="0" borderId="0" applyFont="0" applyFill="0" applyBorder="0" applyAlignment="0" applyProtection="0"/>
    <xf numFmtId="0" fontId="14" fillId="3" borderId="0" applyNumberFormat="0" applyBorder="0" applyAlignment="0" applyProtection="0"/>
    <xf numFmtId="0" fontId="19"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cellStyleXfs>
  <cellXfs count="125">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1"/>
    <xf numFmtId="164" fontId="0" fillId="0" borderId="0" xfId="0" applyNumberFormat="1"/>
    <xf numFmtId="3" fontId="0" fillId="0" borderId="0" xfId="0" applyNumberFormat="1"/>
    <xf numFmtId="1" fontId="4" fillId="0" borderId="0" xfId="0" applyNumberFormat="1" applyFont="1"/>
    <xf numFmtId="1" fontId="0" fillId="0" borderId="0" xfId="0" applyNumberFormat="1"/>
    <xf numFmtId="49" fontId="2" fillId="0" borderId="0" xfId="0" applyNumberFormat="1" applyFont="1"/>
    <xf numFmtId="49" fontId="3" fillId="0" borderId="0" xfId="0" applyNumberFormat="1" applyFont="1"/>
    <xf numFmtId="49" fontId="4" fillId="0" borderId="0" xfId="0" applyNumberFormat="1" applyFont="1"/>
    <xf numFmtId="49" fontId="0" fillId="0" borderId="0" xfId="0" applyNumberFormat="1"/>
    <xf numFmtId="38" fontId="3" fillId="0" borderId="0" xfId="0" applyNumberFormat="1" applyFont="1"/>
    <xf numFmtId="38" fontId="4" fillId="0" borderId="0" xfId="0" applyNumberFormat="1" applyFont="1"/>
    <xf numFmtId="38" fontId="0" fillId="0" borderId="0" xfId="0" applyNumberFormat="1"/>
    <xf numFmtId="49" fontId="4" fillId="0" borderId="0" xfId="0" applyNumberFormat="1" applyFont="1">
      <extLst>
        <ext xmlns:xfpb="http://schemas.microsoft.com/office/spreadsheetml/2022/featurepropertybag" uri="{C7286773-470A-42A8-94C5-96B5CB345126}">
          <xfpb:xfComplement i="0"/>
        </ext>
      </extLst>
    </xf>
    <xf numFmtId="0" fontId="8" fillId="0" borderId="0" xfId="0" applyFont="1"/>
    <xf numFmtId="0" fontId="7" fillId="0" borderId="0" xfId="0" applyFont="1"/>
    <xf numFmtId="3" fontId="7" fillId="0" borderId="0" xfId="0" applyNumberFormat="1" applyFont="1"/>
    <xf numFmtId="0" fontId="9" fillId="0" borderId="0" xfId="0" applyFont="1"/>
    <xf numFmtId="0" fontId="10" fillId="0" borderId="0" xfId="0" applyFont="1"/>
    <xf numFmtId="9" fontId="10" fillId="0" borderId="0" xfId="0" applyNumberFormat="1" applyFont="1"/>
    <xf numFmtId="3" fontId="10" fillId="0" borderId="0" xfId="0" applyNumberFormat="1" applyFont="1"/>
    <xf numFmtId="0" fontId="11" fillId="0" borderId="0" xfId="0" applyFont="1"/>
    <xf numFmtId="1" fontId="3" fillId="0" borderId="0" xfId="0" applyNumberFormat="1" applyFont="1"/>
    <xf numFmtId="165" fontId="3" fillId="0" borderId="0" xfId="0" applyNumberFormat="1" applyFont="1"/>
    <xf numFmtId="165" fontId="4" fillId="0" borderId="0" xfId="0" applyNumberFormat="1" applyFont="1"/>
    <xf numFmtId="165" fontId="0" fillId="0" borderId="0" xfId="0" applyNumberFormat="1"/>
    <xf numFmtId="165" fontId="1" fillId="0" borderId="0" xfId="0" applyNumberFormat="1" applyFont="1"/>
    <xf numFmtId="165" fontId="2" fillId="0" borderId="0" xfId="0" applyNumberFormat="1" applyFont="1"/>
    <xf numFmtId="166" fontId="11" fillId="0" borderId="0" xfId="0" applyNumberFormat="1" applyFont="1"/>
    <xf numFmtId="166" fontId="0" fillId="0" borderId="0" xfId="0" applyNumberFormat="1"/>
    <xf numFmtId="0" fontId="12" fillId="0" borderId="0" xfId="0" applyFont="1"/>
    <xf numFmtId="167" fontId="12" fillId="0" borderId="0" xfId="0" applyNumberFormat="1" applyFont="1"/>
    <xf numFmtId="0" fontId="13" fillId="0" borderId="0" xfId="0" applyFont="1"/>
    <xf numFmtId="167" fontId="13" fillId="0" borderId="0" xfId="0" applyNumberFormat="1" applyFont="1"/>
    <xf numFmtId="168" fontId="12" fillId="0" borderId="0" xfId="0" applyNumberFormat="1" applyFont="1"/>
    <xf numFmtId="168" fontId="13" fillId="0" borderId="0" xfId="0" applyNumberFormat="1" applyFont="1"/>
    <xf numFmtId="169" fontId="1" fillId="0" borderId="0" xfId="0" applyNumberFormat="1" applyFont="1"/>
    <xf numFmtId="169" fontId="2" fillId="0" borderId="0" xfId="0" applyNumberFormat="1" applyFont="1"/>
    <xf numFmtId="169" fontId="0" fillId="0" borderId="0" xfId="0" applyNumberFormat="1"/>
    <xf numFmtId="0" fontId="1" fillId="2" borderId="11" xfId="0" applyFont="1" applyFill="1" applyBorder="1" applyAlignment="1">
      <alignment horizontal="center" vertical="center"/>
    </xf>
    <xf numFmtId="0" fontId="0" fillId="0" borderId="0" xfId="0" applyAlignment="1">
      <alignment wrapText="1"/>
    </xf>
    <xf numFmtId="165" fontId="2" fillId="0" borderId="0" xfId="0" applyNumberFormat="1" applyFont="1" applyAlignment="1">
      <alignment horizontal="right"/>
    </xf>
    <xf numFmtId="171" fontId="0" fillId="0" borderId="0" xfId="0" applyNumberFormat="1"/>
    <xf numFmtId="0" fontId="1" fillId="2" borderId="0" xfId="0" applyFont="1" applyFill="1" applyAlignment="1">
      <alignment horizontal="center" vertical="center"/>
    </xf>
    <xf numFmtId="0" fontId="0" fillId="0" borderId="0" xfId="0" pivotButton="1"/>
    <xf numFmtId="0" fontId="0" fillId="0" borderId="0" xfId="0" applyAlignment="1">
      <alignment horizontal="left"/>
    </xf>
    <xf numFmtId="0" fontId="15" fillId="5" borderId="16" xfId="0" applyFont="1" applyFill="1" applyBorder="1"/>
    <xf numFmtId="0" fontId="15" fillId="5" borderId="17" xfId="0" applyFont="1" applyFill="1" applyBorder="1"/>
    <xf numFmtId="0" fontId="11" fillId="6" borderId="18" xfId="0" applyFont="1" applyFill="1" applyBorder="1"/>
    <xf numFmtId="0" fontId="11" fillId="6" borderId="19" xfId="0" applyFont="1" applyFill="1" applyBorder="1"/>
    <xf numFmtId="0" fontId="11" fillId="4" borderId="18" xfId="0" applyFont="1" applyFill="1" applyBorder="1"/>
    <xf numFmtId="0" fontId="11" fillId="4" borderId="19" xfId="0" applyFont="1" applyFill="1" applyBorder="1"/>
    <xf numFmtId="0" fontId="11" fillId="4" borderId="20" xfId="0" applyFont="1" applyFill="1" applyBorder="1"/>
    <xf numFmtId="0" fontId="11" fillId="4" borderId="21" xfId="0" applyFont="1" applyFill="1" applyBorder="1"/>
    <xf numFmtId="9" fontId="11" fillId="6" borderId="19" xfId="2" applyFont="1" applyFill="1" applyBorder="1"/>
    <xf numFmtId="9" fontId="11" fillId="4" borderId="19" xfId="2" applyFont="1" applyFill="1" applyBorder="1"/>
    <xf numFmtId="9" fontId="11" fillId="4" borderId="21" xfId="2" applyFont="1" applyFill="1" applyBorder="1"/>
    <xf numFmtId="9" fontId="0" fillId="0" borderId="0" xfId="0" applyNumberFormat="1"/>
    <xf numFmtId="172" fontId="1" fillId="0" borderId="0" xfId="0" applyNumberFormat="1" applyFont="1"/>
    <xf numFmtId="172" fontId="2" fillId="0" borderId="0" xfId="0" applyNumberFormat="1" applyFont="1"/>
    <xf numFmtId="172" fontId="0" fillId="0" borderId="0" xfId="0" applyNumberFormat="1"/>
    <xf numFmtId="0" fontId="16" fillId="0" borderId="22" xfId="0" applyFont="1" applyBorder="1"/>
    <xf numFmtId="9" fontId="16" fillId="0" borderId="22" xfId="0" applyNumberFormat="1" applyFont="1" applyBorder="1"/>
    <xf numFmtId="0" fontId="21" fillId="0" borderId="22" xfId="0" applyFont="1" applyBorder="1" applyAlignment="1">
      <alignment horizontal="center" vertical="center"/>
    </xf>
    <xf numFmtId="0" fontId="22" fillId="12" borderId="8" xfId="0" applyFont="1" applyFill="1" applyBorder="1" applyAlignment="1">
      <alignment horizontal="center" vertical="center"/>
    </xf>
    <xf numFmtId="0" fontId="22" fillId="12" borderId="11" xfId="0" applyFont="1" applyFill="1" applyBorder="1" applyAlignment="1">
      <alignment horizontal="center" vertical="center"/>
    </xf>
    <xf numFmtId="0" fontId="23" fillId="0" borderId="9" xfId="0" applyFont="1" applyBorder="1" applyAlignment="1">
      <alignment horizontal="center" vertical="center"/>
    </xf>
    <xf numFmtId="0" fontId="23" fillId="0" borderId="10" xfId="0" applyFont="1" applyBorder="1" applyAlignment="1">
      <alignment horizontal="center" vertical="center"/>
    </xf>
    <xf numFmtId="0" fontId="23" fillId="0" borderId="12" xfId="0" applyFont="1" applyBorder="1" applyAlignment="1">
      <alignment horizontal="center" vertical="center" wrapText="1"/>
    </xf>
    <xf numFmtId="0" fontId="23" fillId="0" borderId="13" xfId="0" applyFont="1" applyBorder="1" applyAlignment="1">
      <alignment horizontal="center" vertical="center" wrapText="1"/>
    </xf>
    <xf numFmtId="0" fontId="24" fillId="0" borderId="12" xfId="0" applyFont="1" applyBorder="1" applyAlignment="1">
      <alignment horizontal="center" vertical="center"/>
    </xf>
    <xf numFmtId="0" fontId="24" fillId="0" borderId="13" xfId="0" applyFont="1" applyBorder="1" applyAlignment="1">
      <alignment horizontal="center" vertical="center"/>
    </xf>
    <xf numFmtId="170" fontId="24" fillId="0" borderId="12" xfId="0" applyNumberFormat="1" applyFont="1" applyBorder="1" applyAlignment="1">
      <alignment horizontal="center" vertical="center"/>
    </xf>
    <xf numFmtId="170" fontId="24" fillId="0" borderId="13" xfId="0" applyNumberFormat="1" applyFont="1" applyBorder="1" applyAlignment="1">
      <alignment horizontal="center" vertical="center"/>
    </xf>
    <xf numFmtId="0" fontId="24" fillId="0" borderId="14" xfId="0" applyFont="1" applyBorder="1" applyAlignment="1">
      <alignment horizontal="center" vertical="center"/>
    </xf>
    <xf numFmtId="0" fontId="24" fillId="0" borderId="15" xfId="0" applyFont="1" applyBorder="1" applyAlignment="1">
      <alignment horizontal="center" vertical="center"/>
    </xf>
    <xf numFmtId="0" fontId="26" fillId="0" borderId="22" xfId="0" applyFont="1" applyBorder="1" applyAlignment="1">
      <alignment vertical="center" wrapText="1"/>
    </xf>
    <xf numFmtId="0" fontId="25" fillId="0" borderId="22" xfId="0" applyFont="1" applyBorder="1"/>
    <xf numFmtId="0" fontId="0" fillId="0" borderId="0" xfId="0" applyAlignment="1">
      <alignment vertical="center" wrapText="1"/>
    </xf>
    <xf numFmtId="0" fontId="25" fillId="0" borderId="0" xfId="0" applyFont="1"/>
    <xf numFmtId="0" fontId="5" fillId="0" borderId="22" xfId="1" applyBorder="1"/>
    <xf numFmtId="0" fontId="26" fillId="0" borderId="0" xfId="0" applyFont="1"/>
    <xf numFmtId="0" fontId="26" fillId="0" borderId="22" xfId="0" applyFont="1" applyBorder="1"/>
    <xf numFmtId="0" fontId="26" fillId="0" borderId="39" xfId="0" applyFont="1" applyBorder="1"/>
    <xf numFmtId="0" fontId="21" fillId="0" borderId="34" xfId="0" applyFont="1" applyBorder="1" applyAlignment="1">
      <alignment horizontal="center"/>
    </xf>
    <xf numFmtId="0" fontId="21" fillId="0" borderId="0" xfId="0" applyFont="1" applyAlignment="1">
      <alignment horizontal="center"/>
    </xf>
    <xf numFmtId="0" fontId="21" fillId="0" borderId="35" xfId="0" applyFont="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0" fillId="10" borderId="0" xfId="0" applyFill="1" applyAlignment="1">
      <alignment horizontal="center"/>
    </xf>
    <xf numFmtId="0" fontId="0" fillId="10" borderId="5" xfId="0" applyFill="1" applyBorder="1" applyAlignment="1">
      <alignment horizontal="center"/>
    </xf>
    <xf numFmtId="0" fontId="0" fillId="10" borderId="6" xfId="0" applyFill="1" applyBorder="1" applyAlignment="1">
      <alignment horizontal="center"/>
    </xf>
    <xf numFmtId="0" fontId="0" fillId="10" borderId="7" xfId="0" applyFill="1" applyBorder="1" applyAlignment="1">
      <alignment horizontal="center"/>
    </xf>
    <xf numFmtId="0" fontId="0" fillId="10" borderId="1" xfId="0" applyFill="1" applyBorder="1" applyAlignment="1">
      <alignment horizontal="center"/>
    </xf>
    <xf numFmtId="0" fontId="0" fillId="10" borderId="4" xfId="0" applyFill="1" applyBorder="1" applyAlignment="1">
      <alignment horizontal="center"/>
    </xf>
    <xf numFmtId="0" fontId="0" fillId="10" borderId="38" xfId="0" applyFill="1" applyBorder="1" applyAlignment="1">
      <alignment horizontal="center"/>
    </xf>
    <xf numFmtId="0" fontId="0" fillId="10" borderId="2" xfId="0" applyFill="1" applyBorder="1" applyAlignment="1">
      <alignment horizontal="center"/>
    </xf>
    <xf numFmtId="0" fontId="0" fillId="10" borderId="3" xfId="0" applyFill="1" applyBorder="1" applyAlignment="1">
      <alignment horizontal="center"/>
    </xf>
    <xf numFmtId="0" fontId="21" fillId="0" borderId="22" xfId="4" applyFont="1" applyFill="1" applyBorder="1" applyAlignment="1">
      <alignment horizontal="center"/>
    </xf>
    <xf numFmtId="0" fontId="21" fillId="0" borderId="22" xfId="6" applyFont="1" applyFill="1" applyBorder="1" applyAlignment="1">
      <alignment horizontal="center"/>
    </xf>
    <xf numFmtId="0" fontId="21" fillId="0" borderId="22" xfId="5" applyFont="1" applyFill="1" applyBorder="1" applyAlignment="1">
      <alignment horizontal="center"/>
    </xf>
    <xf numFmtId="0" fontId="21" fillId="0" borderId="22" xfId="3" applyFont="1" applyFill="1" applyBorder="1" applyAlignment="1">
      <alignment horizontal="center"/>
    </xf>
    <xf numFmtId="0" fontId="0" fillId="11" borderId="22" xfId="0" applyFill="1" applyBorder="1" applyAlignment="1">
      <alignment horizontal="center"/>
    </xf>
    <xf numFmtId="0" fontId="16" fillId="0" borderId="22" xfId="0" applyFont="1" applyBorder="1" applyAlignment="1">
      <alignment horizontal="center"/>
    </xf>
    <xf numFmtId="0" fontId="20" fillId="13" borderId="27" xfId="3" applyFont="1" applyFill="1" applyBorder="1" applyAlignment="1">
      <alignment horizontal="center" vertical="center"/>
    </xf>
    <xf numFmtId="0" fontId="20" fillId="13" borderId="28" xfId="3" applyFont="1" applyFill="1" applyBorder="1" applyAlignment="1">
      <alignment horizontal="center" vertical="center"/>
    </xf>
    <xf numFmtId="0" fontId="20" fillId="13" borderId="29" xfId="3" applyFont="1" applyFill="1" applyBorder="1" applyAlignment="1">
      <alignment horizontal="center" vertical="center"/>
    </xf>
    <xf numFmtId="0" fontId="20" fillId="13" borderId="31" xfId="3" applyFont="1" applyFill="1" applyBorder="1" applyAlignment="1">
      <alignment horizontal="center" vertical="center"/>
    </xf>
    <xf numFmtId="9" fontId="20" fillId="13" borderId="0" xfId="3" applyNumberFormat="1" applyFont="1" applyFill="1" applyBorder="1" applyAlignment="1">
      <alignment horizontal="center" vertical="center"/>
    </xf>
    <xf numFmtId="0" fontId="20" fillId="13" borderId="30" xfId="3" applyFont="1" applyFill="1" applyBorder="1" applyAlignment="1">
      <alignment horizontal="center" vertical="center"/>
    </xf>
    <xf numFmtId="0" fontId="18" fillId="14" borderId="23" xfId="0" applyFont="1" applyFill="1" applyBorder="1" applyAlignment="1">
      <alignment horizontal="center"/>
    </xf>
    <xf numFmtId="0" fontId="20" fillId="13" borderId="24" xfId="3" applyFont="1" applyFill="1" applyBorder="1" applyAlignment="1">
      <alignment horizontal="center" vertical="center"/>
    </xf>
    <xf numFmtId="0" fontId="20" fillId="13" borderId="26" xfId="3" applyFont="1" applyFill="1" applyBorder="1" applyAlignment="1">
      <alignment horizontal="center" vertical="center"/>
    </xf>
    <xf numFmtId="0" fontId="20" fillId="13" borderId="25" xfId="3" applyFont="1" applyFill="1" applyBorder="1" applyAlignment="1">
      <alignment horizontal="center" vertical="center"/>
    </xf>
    <xf numFmtId="0" fontId="17" fillId="0" borderId="23" xfId="0" applyFont="1" applyBorder="1" applyAlignment="1">
      <alignment horizontal="center"/>
    </xf>
    <xf numFmtId="172" fontId="17" fillId="0" borderId="23" xfId="0" applyNumberFormat="1" applyFont="1" applyBorder="1" applyAlignment="1">
      <alignment horizontal="center"/>
    </xf>
    <xf numFmtId="0" fontId="0" fillId="0" borderId="0" xfId="0" applyNumberFormat="1"/>
  </cellXfs>
  <cellStyles count="7">
    <cellStyle name="20% - Accent1" xfId="3" builtinId="30"/>
    <cellStyle name="40% - Accent1" xfId="5" builtinId="31"/>
    <cellStyle name="60% - Accent1" xfId="6" builtinId="32"/>
    <cellStyle name="Accent1" xfId="4" builtinId="29"/>
    <cellStyle name="Hyperlink" xfId="1" builtinId="8"/>
    <cellStyle name="Normal" xfId="0" builtinId="0"/>
    <cellStyle name="Percent" xfId="2" builtinId="5"/>
  </cellStyles>
  <dxfs count="93">
    <dxf>
      <numFmt numFmtId="13" formatCode="0%"/>
    </dxf>
    <dxf>
      <numFmt numFmtId="13" formatCode="0%"/>
    </dxf>
    <dxf>
      <numFmt numFmtId="13" formatCode="0%"/>
    </dxf>
    <dxf>
      <numFmt numFmtId="13" formatCode="0%"/>
    </dxf>
    <dxf>
      <numFmt numFmtId="13" formatCode="0%"/>
    </dxf>
    <dxf>
      <numFmt numFmtId="13" formatCode="0%"/>
    </dxf>
    <dxf>
      <numFmt numFmtId="13" formatCode="0%"/>
    </dxf>
    <dxf>
      <fill>
        <patternFill>
          <bgColor rgb="FF92D050"/>
        </patternFill>
      </fill>
    </dxf>
    <dxf>
      <numFmt numFmtId="172" formatCode="0.000"/>
    </dxf>
    <dxf>
      <font>
        <b val="0"/>
        <i val="0"/>
        <strike val="0"/>
        <condense val="0"/>
        <extend val="0"/>
        <outline val="0"/>
        <shadow val="0"/>
        <u val="none"/>
        <vertAlign val="baseline"/>
        <sz val="10"/>
        <color theme="1"/>
        <name val="Arial"/>
        <family val="2"/>
        <scheme val="none"/>
      </font>
      <numFmt numFmtId="13" formatCode="0%"/>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numFmt numFmtId="13" formatCode="0%"/>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numFmt numFmtId="13" formatCode="0%"/>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style="thin">
          <color theme="0"/>
        </right>
        <top style="thin">
          <color theme="0"/>
        </top>
        <bottom style="thin">
          <color theme="0"/>
        </bottom>
        <vertical/>
        <horizontal/>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3" formatCode="0%"/>
    </dxf>
    <dxf>
      <font>
        <b val="0"/>
        <i val="0"/>
        <strike val="0"/>
        <condense val="0"/>
        <extend val="0"/>
        <outline val="0"/>
        <shadow val="0"/>
        <u val="none"/>
        <vertAlign val="baseline"/>
        <sz val="14"/>
        <color rgb="FF404040"/>
        <name val="Albanny AMT"/>
        <scheme val="none"/>
      </font>
      <numFmt numFmtId="168" formatCode="0.000_);\(0.000\)"/>
    </dxf>
    <dxf>
      <font>
        <b val="0"/>
        <i val="0"/>
        <strike val="0"/>
        <condense val="0"/>
        <extend val="0"/>
        <outline val="0"/>
        <shadow val="0"/>
        <u val="none"/>
        <vertAlign val="baseline"/>
        <sz val="14"/>
        <color rgb="FF404040"/>
        <name val="Albanny AMT"/>
        <scheme val="none"/>
      </font>
      <numFmt numFmtId="167" formatCode="0.00_);[Red]\(0.00\)"/>
    </dxf>
    <dxf>
      <font>
        <b val="0"/>
        <i val="0"/>
        <strike val="0"/>
        <condense val="0"/>
        <extend val="0"/>
        <outline val="0"/>
        <shadow val="0"/>
        <u val="none"/>
        <vertAlign val="baseline"/>
        <sz val="14"/>
        <color rgb="FF404040"/>
        <name val="Albanny AMT"/>
        <scheme val="none"/>
      </font>
    </dxf>
    <dxf>
      <font>
        <b val="0"/>
        <i val="0"/>
        <strike val="0"/>
        <condense val="0"/>
        <extend val="0"/>
        <outline val="0"/>
        <shadow val="0"/>
        <u val="none"/>
        <vertAlign val="baseline"/>
        <sz val="14"/>
        <color rgb="FF404040"/>
        <name val="Albanny AMT"/>
        <scheme val="none"/>
      </font>
    </dxf>
    <dxf>
      <font>
        <b val="0"/>
        <i val="0"/>
        <strike val="0"/>
        <condense val="0"/>
        <extend val="0"/>
        <outline val="0"/>
        <shadow val="0"/>
        <u val="none"/>
        <vertAlign val="baseline"/>
        <sz val="14"/>
        <color rgb="FF404040"/>
        <name val="Albanny AMT"/>
        <scheme val="none"/>
      </font>
    </dxf>
    <dxf>
      <font>
        <b val="0"/>
        <i val="0"/>
        <strike val="0"/>
        <condense val="0"/>
        <extend val="0"/>
        <outline val="0"/>
        <shadow val="0"/>
        <u val="none"/>
        <vertAlign val="baseline"/>
        <sz val="14"/>
        <color theme="1"/>
        <name val="Albanny AMT"/>
        <scheme val="none"/>
      </font>
    </dxf>
    <dxf>
      <font>
        <b val="0"/>
        <i val="0"/>
        <strike val="0"/>
        <condense val="0"/>
        <extend val="0"/>
        <outline val="0"/>
        <shadow val="0"/>
        <u val="none"/>
        <vertAlign val="baseline"/>
        <sz val="11"/>
        <color rgb="FF2A2A2A"/>
        <name val="Var(--wp--preset--font-family--"/>
        <scheme val="none"/>
      </font>
    </dxf>
    <dxf>
      <font>
        <b val="0"/>
        <i val="0"/>
        <strike val="0"/>
        <condense val="0"/>
        <extend val="0"/>
        <outline val="0"/>
        <shadow val="0"/>
        <u val="none"/>
        <vertAlign val="baseline"/>
        <sz val="11"/>
        <color rgb="FF2A2A2A"/>
        <name val="Var(--wp--preset--font-family--"/>
        <scheme val="none"/>
      </font>
      <numFmt numFmtId="13" formatCode="0%"/>
    </dxf>
    <dxf>
      <font>
        <b val="0"/>
        <i val="0"/>
        <strike val="0"/>
        <condense val="0"/>
        <extend val="0"/>
        <outline val="0"/>
        <shadow val="0"/>
        <u val="none"/>
        <vertAlign val="baseline"/>
        <sz val="11"/>
        <color rgb="FF2A2A2A"/>
        <name val="Var(--wp--preset--font-family--"/>
        <scheme val="none"/>
      </font>
      <numFmt numFmtId="13" formatCode="0%"/>
    </dxf>
    <dxf>
      <font>
        <b val="0"/>
        <i val="0"/>
        <strike val="0"/>
        <condense val="0"/>
        <extend val="0"/>
        <outline val="0"/>
        <shadow val="0"/>
        <u val="none"/>
        <vertAlign val="baseline"/>
        <sz val="11"/>
        <color rgb="FF2A2A2A"/>
        <name val="Var(--wp--preset--font-family--"/>
        <scheme val="none"/>
      </font>
      <numFmt numFmtId="13" formatCode="0%"/>
    </dxf>
    <dxf>
      <font>
        <b val="0"/>
        <i val="0"/>
        <strike val="0"/>
        <condense val="0"/>
        <extend val="0"/>
        <outline val="0"/>
        <shadow val="0"/>
        <u val="none"/>
        <vertAlign val="baseline"/>
        <sz val="11"/>
        <color rgb="FF2A2A2A"/>
        <name val="Var(--wp--preset--font-family--"/>
        <scheme val="none"/>
      </font>
    </dxf>
    <dxf>
      <font>
        <b val="0"/>
        <i val="0"/>
        <strike val="0"/>
        <condense val="0"/>
        <extend val="0"/>
        <outline val="0"/>
        <shadow val="0"/>
        <u val="none"/>
        <vertAlign val="baseline"/>
        <sz val="11"/>
        <color rgb="FF2A2A2A"/>
        <name val="Var(--wp--preset--font-family--"/>
        <scheme val="none"/>
      </font>
    </dxf>
    <dxf>
      <font>
        <b/>
        <i val="0"/>
        <strike val="0"/>
        <condense val="0"/>
        <extend val="0"/>
        <outline val="0"/>
        <shadow val="0"/>
        <u val="none"/>
        <vertAlign val="baseline"/>
        <sz val="11"/>
        <color rgb="FF2A2A2A"/>
        <name val="Var(--wp--preset--font-family--"/>
        <scheme val="none"/>
      </font>
    </dxf>
    <dxf>
      <numFmt numFmtId="0" formatCode="General"/>
    </dxf>
    <dxf>
      <numFmt numFmtId="3" formatCode="#,##0"/>
    </dxf>
    <dxf>
      <font>
        <b val="0"/>
        <i val="0"/>
        <strike val="0"/>
        <condense val="0"/>
        <extend val="0"/>
        <outline val="0"/>
        <shadow val="0"/>
        <u val="none"/>
        <vertAlign val="baseline"/>
        <sz val="12"/>
        <color theme="1"/>
        <name val="Arial"/>
        <family val="2"/>
        <scheme val="none"/>
      </font>
      <numFmt numFmtId="3" formatCode="#,##0"/>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0.000_);[Red]\(0.00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rgb="FF000000"/>
        <name val="Graphik"/>
        <scheme val="none"/>
      </font>
      <numFmt numFmtId="6" formatCode="#,##0_);[Red]\(#,##0\)"/>
    </dxf>
    <dxf>
      <font>
        <b val="0"/>
        <i val="0"/>
        <strike val="0"/>
        <condense val="0"/>
        <extend val="0"/>
        <outline val="0"/>
        <shadow val="0"/>
        <u val="none"/>
        <vertAlign val="baseline"/>
        <sz val="12"/>
        <color rgb="FF000000"/>
        <name val="Graphik"/>
        <scheme val="none"/>
      </font>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1" formatCode="0"/>
    </dxf>
    <dxf>
      <font>
        <b val="0"/>
        <i val="0"/>
        <strike val="0"/>
        <condense val="0"/>
        <extend val="0"/>
        <outline val="0"/>
        <shadow val="0"/>
        <u val="none"/>
        <vertAlign val="baseline"/>
        <sz val="12"/>
        <color rgb="FF000000"/>
        <name val="Graphik"/>
        <scheme val="none"/>
      </font>
      <numFmt numFmtId="1" formatCode="0"/>
    </dxf>
    <dxf>
      <font>
        <b val="0"/>
        <i val="0"/>
        <strike val="0"/>
        <condense val="0"/>
        <extend val="0"/>
        <outline val="0"/>
        <shadow val="0"/>
        <u val="none"/>
        <vertAlign val="baseline"/>
        <sz val="12"/>
        <color rgb="FF000000"/>
        <name val="Graphik"/>
        <scheme val="none"/>
      </font>
    </dxf>
    <dxf>
      <font>
        <b val="0"/>
        <i val="0"/>
        <strike val="0"/>
        <condense val="0"/>
        <extend val="0"/>
        <outline val="0"/>
        <shadow val="0"/>
        <u val="none"/>
        <vertAlign val="baseline"/>
        <sz val="12"/>
        <color rgb="FF000000"/>
        <name val="Graphik"/>
        <scheme val="none"/>
      </font>
      <numFmt numFmtId="6" formatCode="#,##0_);[Red]\(#,##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69" formatCode="0.0"/>
    </dxf>
    <dxf>
      <font>
        <b val="0"/>
        <i val="0"/>
        <strike val="0"/>
        <condense val="0"/>
        <extend val="0"/>
        <outline val="0"/>
        <shadow val="0"/>
        <u val="none"/>
        <vertAlign val="baseline"/>
        <sz val="11"/>
        <color rgb="FF000000"/>
        <name val="Calibri"/>
        <family val="2"/>
        <scheme val="minor"/>
      </font>
      <numFmt numFmtId="165" formatCode="&quot;$&quot;#,##0"/>
    </dxf>
    <dxf>
      <font>
        <b val="0"/>
        <i val="0"/>
        <strike val="0"/>
        <condense val="0"/>
        <extend val="0"/>
        <outline val="0"/>
        <shadow val="0"/>
        <u val="none"/>
        <vertAlign val="baseline"/>
        <sz val="11"/>
        <color rgb="FF000000"/>
        <name val="Calibri"/>
        <family val="2"/>
        <scheme val="minor"/>
      </font>
      <numFmt numFmtId="165" formatCode="&quot;$&quot;#,##0"/>
    </dxf>
    <dxf>
      <font>
        <b val="0"/>
        <i val="0"/>
        <strike val="0"/>
        <condense val="0"/>
        <extend val="0"/>
        <outline val="0"/>
        <shadow val="0"/>
        <u val="none"/>
        <vertAlign val="baseline"/>
        <sz val="11"/>
        <color rgb="FF000000"/>
        <name val="Calibri"/>
        <family val="2"/>
        <scheme val="minor"/>
      </font>
      <numFmt numFmtId="165" formatCode="&quot;$&quot;#,##0"/>
    </dxf>
    <dxf>
      <font>
        <b val="0"/>
        <i val="0"/>
        <strike val="0"/>
        <condense val="0"/>
        <extend val="0"/>
        <outline val="0"/>
        <shadow val="0"/>
        <u val="none"/>
        <vertAlign val="baseline"/>
        <sz val="11"/>
        <color rgb="FF000000"/>
        <name val="Calibri"/>
        <family val="2"/>
        <scheme val="minor"/>
      </font>
      <numFmt numFmtId="0" formatCode="General"/>
    </dxf>
    <dxf>
      <font>
        <b val="0"/>
        <i val="0"/>
        <strike val="0"/>
        <condense val="0"/>
        <extend val="0"/>
        <outline val="0"/>
        <shadow val="0"/>
        <u val="none"/>
        <vertAlign val="baseline"/>
        <sz val="11"/>
        <color rgb="FF000000"/>
        <name val="Calibri"/>
        <family val="2"/>
        <scheme val="minor"/>
      </font>
      <numFmt numFmtId="30" formatCode="@"/>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i val="0"/>
        <strike val="0"/>
        <condense val="0"/>
        <extend val="0"/>
        <outline val="0"/>
        <shadow val="0"/>
        <u val="none"/>
        <vertAlign val="baseline"/>
        <sz val="11"/>
        <color rgb="FF000000"/>
        <name val="Calibri"/>
        <family val="2"/>
        <scheme val="minor"/>
      </font>
    </dxf>
    <dxf>
      <font>
        <color rgb="FF9C0006"/>
      </font>
      <fill>
        <patternFill>
          <bgColor rgb="FFFFC7CE"/>
        </patternFill>
      </fill>
    </dxf>
  </dxfs>
  <tableStyles count="0" defaultTableStyle="TableStyleMedium9" defaultPivotStyle="PivotStyleLight16"/>
  <colors>
    <mruColors>
      <color rgb="FF51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connections" Target="connections.xml"/><Relationship Id="rId34" Type="http://schemas.openxmlformats.org/officeDocument/2006/relationships/customXml" Target="../customXml/item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17/10/relationships/person" Target="persons/person.xml"/><Relationship Id="rId33"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32"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1.xml"/><Relationship Id="rId36"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bubbleChart>
        <c:varyColors val="0"/>
        <c:ser>
          <c:idx val="0"/>
          <c:order val="0"/>
          <c:tx>
            <c:strRef>
              <c:f>'Reference Sheet for Uni spec'!$H$1</c:f>
              <c:strCache>
                <c:ptCount val="1"/>
                <c:pt idx="0">
                  <c:v>Median 10-year Salary</c:v>
                </c:pt>
              </c:strCache>
            </c:strRef>
          </c:tx>
          <c:spPr>
            <a:pattFill prst="ltUpDiag">
              <a:fgClr>
                <a:schemeClr val="accent1"/>
              </a:fgClr>
              <a:bgClr>
                <a:schemeClr val="accent1">
                  <a:lumMod val="60000"/>
                  <a:lumOff val="40000"/>
                </a:schemeClr>
              </a:bgClr>
            </a:pattFill>
            <a:ln w="19050">
              <a:solidFill>
                <a:schemeClr val="lt1">
                  <a:alpha val="70000"/>
                </a:schemeClr>
              </a:solidFill>
            </a:ln>
            <a:effectLst/>
          </c:spPr>
          <c:invertIfNegative val="0"/>
          <c:dPt>
            <c:idx val="0"/>
            <c:invertIfNegative val="0"/>
            <c:bubble3D val="0"/>
            <c:extLst>
              <c:ext xmlns:c16="http://schemas.microsoft.com/office/drawing/2014/chart" uri="{C3380CC4-5D6E-409C-BE32-E72D297353CC}">
                <c16:uniqueId val="{00000001-DC00-7849-8A47-31E263518045}"/>
              </c:ext>
            </c:extLst>
          </c:dPt>
          <c:dPt>
            <c:idx val="1"/>
            <c:invertIfNegative val="0"/>
            <c:bubble3D val="0"/>
            <c:extLst>
              <c:ext xmlns:c16="http://schemas.microsoft.com/office/drawing/2014/chart" uri="{C3380CC4-5D6E-409C-BE32-E72D297353CC}">
                <c16:uniqueId val="{00000003-DC00-7849-8A47-31E263518045}"/>
              </c:ext>
            </c:extLst>
          </c:dPt>
          <c:dPt>
            <c:idx val="2"/>
            <c:invertIfNegative val="0"/>
            <c:bubble3D val="0"/>
            <c:extLst>
              <c:ext xmlns:c16="http://schemas.microsoft.com/office/drawing/2014/chart" uri="{C3380CC4-5D6E-409C-BE32-E72D297353CC}">
                <c16:uniqueId val="{00000005-DC00-7849-8A47-31E263518045}"/>
              </c:ext>
            </c:extLst>
          </c:dPt>
          <c:dPt>
            <c:idx val="3"/>
            <c:invertIfNegative val="0"/>
            <c:bubble3D val="0"/>
            <c:extLst>
              <c:ext xmlns:c16="http://schemas.microsoft.com/office/drawing/2014/chart" uri="{C3380CC4-5D6E-409C-BE32-E72D297353CC}">
                <c16:uniqueId val="{00000007-DC00-7849-8A47-31E263518045}"/>
              </c:ext>
            </c:extLst>
          </c:dPt>
          <c:dPt>
            <c:idx val="4"/>
            <c:invertIfNegative val="0"/>
            <c:bubble3D val="0"/>
            <c:extLst>
              <c:ext xmlns:c16="http://schemas.microsoft.com/office/drawing/2014/chart" uri="{C3380CC4-5D6E-409C-BE32-E72D297353CC}">
                <c16:uniqueId val="{00000009-DC00-7849-8A47-31E263518045}"/>
              </c:ext>
            </c:extLst>
          </c:dPt>
          <c:dPt>
            <c:idx val="5"/>
            <c:invertIfNegative val="0"/>
            <c:bubble3D val="0"/>
            <c:extLst>
              <c:ext xmlns:c16="http://schemas.microsoft.com/office/drawing/2014/chart" uri="{C3380CC4-5D6E-409C-BE32-E72D297353CC}">
                <c16:uniqueId val="{0000000B-DC00-7849-8A47-31E263518045}"/>
              </c:ext>
            </c:extLst>
          </c:dPt>
          <c:dLbls>
            <c:dLbl>
              <c:idx val="0"/>
              <c:layout>
                <c:manualLayout>
                  <c:x val="-7.291412495873463E-2"/>
                  <c:y val="6.5800365834961655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1-DC00-7849-8A47-31E263518045}"/>
                </c:ext>
              </c:extLst>
            </c:dLbl>
            <c:dLbl>
              <c:idx val="1"/>
              <c:layout>
                <c:manualLayout>
                  <c:x val="-0.17731389478601378"/>
                  <c:y val="-8.9727771593129529E-3"/>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3-DC00-7849-8A47-31E263518045}"/>
                </c:ext>
              </c:extLst>
            </c:dLbl>
            <c:dLbl>
              <c:idx val="2"/>
              <c:layout>
                <c:manualLayout>
                  <c:x val="-6.959984655151942E-2"/>
                  <c:y val="7.1782217274503582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5-DC00-7849-8A47-31E263518045}"/>
                </c:ext>
              </c:extLst>
            </c:dLbl>
            <c:dLbl>
              <c:idx val="3"/>
              <c:layout>
                <c:manualLayout>
                  <c:x val="-2.4857088054114077E-2"/>
                  <c:y val="-7.4773142994274636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7-DC00-7849-8A47-31E263518045}"/>
                </c:ext>
              </c:extLst>
            </c:dLbl>
            <c:dLbl>
              <c:idx val="4"/>
              <c:layout>
                <c:manualLayout>
                  <c:x val="-0.13422827549221603"/>
                  <c:y val="8.075499443381659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9-DC00-7849-8A47-31E263518045}"/>
                </c:ext>
              </c:extLst>
            </c:dLbl>
            <c:dLbl>
              <c:idx val="5"/>
              <c:layout>
                <c:manualLayout>
                  <c:x val="-3.1485644868544493E-2"/>
                  <c:y val="7.4773142994274608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B-DC00-7849-8A47-31E263518045}"/>
                </c:ext>
              </c:extLst>
            </c:dLbl>
            <c:spPr>
              <a:solidFill>
                <a:srgbClr val="156082">
                  <a:lumMod val="50000"/>
                </a:srgbClr>
              </a:solidFill>
              <a:ln>
                <a:solidFill>
                  <a:srgbClr val="156082"/>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'Reference Sheet for Uni spec'!$G$2:$G$7</c:f>
              <c:strCache>
                <c:ptCount val="6"/>
                <c:pt idx="0">
                  <c:v>University of Washington</c:v>
                </c:pt>
                <c:pt idx="1">
                  <c:v>University of Massachusetts Amherst</c:v>
                </c:pt>
                <c:pt idx="2">
                  <c:v>University of Washington</c:v>
                </c:pt>
                <c:pt idx="3">
                  <c:v>University of Chicago</c:v>
                </c:pt>
                <c:pt idx="4">
                  <c:v>Princeton University</c:v>
                </c:pt>
                <c:pt idx="5">
                  <c:v>Average 10 year Median Salary</c:v>
                </c:pt>
              </c:strCache>
            </c:strRef>
          </c:xVal>
          <c:yVal>
            <c:numRef>
              <c:f>'Reference Sheet for Uni spec'!$H$2:$H$7</c:f>
              <c:numCache>
                <c:formatCode>[$$-409]#,##0</c:formatCode>
                <c:ptCount val="6"/>
                <c:pt idx="0">
                  <c:v>136800</c:v>
                </c:pt>
                <c:pt idx="1">
                  <c:v>122300</c:v>
                </c:pt>
                <c:pt idx="2">
                  <c:v>136800</c:v>
                </c:pt>
                <c:pt idx="3">
                  <c:v>150600</c:v>
                </c:pt>
                <c:pt idx="4">
                  <c:v>150600</c:v>
                </c:pt>
                <c:pt idx="5">
                  <c:v>135194.94949494948</c:v>
                </c:pt>
              </c:numCache>
            </c:numRef>
          </c:yVal>
          <c:bubbleSize>
            <c:numLit>
              <c:formatCode>General</c:formatCode>
              <c:ptCount val="6"/>
              <c:pt idx="0">
                <c:v>1</c:v>
              </c:pt>
              <c:pt idx="1">
                <c:v>1</c:v>
              </c:pt>
              <c:pt idx="2">
                <c:v>1</c:v>
              </c:pt>
              <c:pt idx="3">
                <c:v>1</c:v>
              </c:pt>
              <c:pt idx="4">
                <c:v>1</c:v>
              </c:pt>
              <c:pt idx="5">
                <c:v>1</c:v>
              </c:pt>
            </c:numLit>
          </c:bubbleSize>
          <c:bubble3D val="0"/>
          <c:extLst>
            <c:ext xmlns:c16="http://schemas.microsoft.com/office/drawing/2014/chart" uri="{C3380CC4-5D6E-409C-BE32-E72D297353CC}">
              <c16:uniqueId val="{0000000C-DC00-7849-8A47-31E263518045}"/>
            </c:ext>
          </c:extLst>
        </c:ser>
        <c:dLbls>
          <c:showLegendKey val="0"/>
          <c:showVal val="0"/>
          <c:showCatName val="0"/>
          <c:showSerName val="0"/>
          <c:showPercent val="0"/>
          <c:showBubbleSize val="0"/>
        </c:dLbls>
        <c:bubbleScale val="15"/>
        <c:showNegBubbles val="0"/>
        <c:sizeRepresents val="w"/>
        <c:axId val="1159067440"/>
        <c:axId val="1159077520"/>
      </c:bubbleChart>
      <c:valAx>
        <c:axId val="1159067440"/>
        <c:scaling>
          <c:orientation val="minMax"/>
        </c:scaling>
        <c:delete val="0"/>
        <c:axPos val="b"/>
        <c:majorGridlines>
          <c:spPr>
            <a:ln w="9525" cap="flat" cmpd="sng" algn="ctr">
              <a:solidFill>
                <a:schemeClr val="lt1">
                  <a:alpha val="24000"/>
                </a:schemeClr>
              </a:solidFill>
              <a:round/>
            </a:ln>
            <a:effectLst/>
          </c:spPr>
        </c:majorGridlines>
        <c:majorTickMark val="none"/>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59077520"/>
        <c:crosses val="autoZero"/>
        <c:crossBetween val="midCat"/>
      </c:valAx>
      <c:valAx>
        <c:axId val="1159077520"/>
        <c:scaling>
          <c:orientation val="minMax"/>
        </c:scaling>
        <c:delete val="0"/>
        <c:axPos val="l"/>
        <c:majorGridlines>
          <c:spPr>
            <a:ln w="9525" cap="flat" cmpd="sng" algn="ctr">
              <a:solidFill>
                <a:schemeClr val="lt1">
                  <a:alpha val="24000"/>
                </a:schemeClr>
              </a:solidFill>
              <a:round/>
            </a:ln>
            <a:effectLst/>
          </c:spPr>
        </c:majorGridlines>
        <c:numFmt formatCode="[$$-409]#,##0" sourceLinked="1"/>
        <c:majorTickMark val="none"/>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59067440"/>
        <c:crosses val="autoZero"/>
        <c:crossBetween val="midCat"/>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Average Debt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8.6296629994213295E-2"/>
          <c:y val="0.18309979945112942"/>
          <c:w val="0.82569758957340555"/>
          <c:h val="0.64819250316550547"/>
        </c:manualLayout>
      </c:layout>
      <c:barChart>
        <c:barDir val="col"/>
        <c:grouping val="clustered"/>
        <c:varyColors val="0"/>
        <c:ser>
          <c:idx val="0"/>
          <c:order val="0"/>
          <c:tx>
            <c:strRef>
              <c:f>'Reference Sheet for Uni spec'!$E$1</c:f>
              <c:strCache>
                <c:ptCount val="1"/>
                <c:pt idx="0">
                  <c:v>Av. Debt</c:v>
                </c:pt>
              </c:strCache>
            </c:strRef>
          </c:tx>
          <c:spPr>
            <a:solidFill>
              <a:schemeClr val="accent1">
                <a:alpha val="85000"/>
              </a:schemeClr>
            </a:solidFill>
            <a:ln w="9525" cap="flat" cmpd="sng" algn="ctr">
              <a:solidFill>
                <a:schemeClr val="lt1">
                  <a:alpha val="50000"/>
                </a:schemeClr>
              </a:solidFill>
              <a:round/>
            </a:ln>
            <a:effectLst/>
          </c:spPr>
          <c:invertIfNegative val="0"/>
          <c:dPt>
            <c:idx val="5"/>
            <c:invertIfNegative val="0"/>
            <c:bubble3D val="0"/>
            <c:spPr>
              <a:solidFill>
                <a:schemeClr val="accent3">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0-1C17-429E-B70C-A15B6BC7C601}"/>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'Reference Sheet for Uni spec'!$D$2:$D$7</c:f>
              <c:strCache>
                <c:ptCount val="6"/>
                <c:pt idx="0">
                  <c:v>University of Washington</c:v>
                </c:pt>
                <c:pt idx="1">
                  <c:v>University of Massachusetts Amherst</c:v>
                </c:pt>
                <c:pt idx="2">
                  <c:v>University of Washington</c:v>
                </c:pt>
                <c:pt idx="3">
                  <c:v>University of Chicago</c:v>
                </c:pt>
                <c:pt idx="4">
                  <c:v>Princeton University</c:v>
                </c:pt>
                <c:pt idx="5">
                  <c:v>Average Debt (All)</c:v>
                </c:pt>
              </c:strCache>
            </c:strRef>
          </c:cat>
          <c:val>
            <c:numRef>
              <c:f>'Reference Sheet for Uni spec'!$E$2:$E$7</c:f>
              <c:numCache>
                <c:formatCode>[$$-409]#,##0</c:formatCode>
                <c:ptCount val="6"/>
                <c:pt idx="0">
                  <c:v>6169</c:v>
                </c:pt>
                <c:pt idx="1">
                  <c:v>8481</c:v>
                </c:pt>
                <c:pt idx="2">
                  <c:v>6169</c:v>
                </c:pt>
                <c:pt idx="3">
                  <c:v>12150</c:v>
                </c:pt>
                <c:pt idx="4">
                  <c:v>7559</c:v>
                </c:pt>
                <c:pt idx="5">
                  <c:v>8372.4699999999993</c:v>
                </c:pt>
              </c:numCache>
            </c:numRef>
          </c:val>
          <c:extLst>
            <c:ext xmlns:c16="http://schemas.microsoft.com/office/drawing/2014/chart" uri="{C3380CC4-5D6E-409C-BE32-E72D297353CC}">
              <c16:uniqueId val="{00000000-5CB3-E343-902A-F16B4C9C3B0E}"/>
            </c:ext>
          </c:extLst>
        </c:ser>
        <c:dLbls>
          <c:dLblPos val="inEnd"/>
          <c:showLegendKey val="0"/>
          <c:showVal val="1"/>
          <c:showCatName val="0"/>
          <c:showSerName val="0"/>
          <c:showPercent val="0"/>
          <c:showBubbleSize val="0"/>
        </c:dLbls>
        <c:gapWidth val="65"/>
        <c:axId val="1842088112"/>
        <c:axId val="1791377520"/>
      </c:barChart>
      <c:catAx>
        <c:axId val="18420881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91377520"/>
        <c:crosses val="autoZero"/>
        <c:auto val="1"/>
        <c:lblAlgn val="ctr"/>
        <c:lblOffset val="100"/>
        <c:noMultiLvlLbl val="0"/>
      </c:catAx>
      <c:valAx>
        <c:axId val="179137752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409]#,##0" sourceLinked="1"/>
        <c:majorTickMark val="none"/>
        <c:minorTickMark val="none"/>
        <c:tickLblPos val="nextTo"/>
        <c:crossAx val="184208811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cked"/>
        <c:varyColors val="0"/>
        <c:ser>
          <c:idx val="0"/>
          <c:order val="0"/>
          <c:tx>
            <c:strRef>
              <c:f>'Reference Sheet for Uni spec'!$N$1</c:f>
              <c:strCache>
                <c:ptCount val="1"/>
                <c:pt idx="0">
                  <c:v>Cost of Living Index</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'Reference Sheet for Uni spec'!$M$2:$M$6</c:f>
              <c:strCache>
                <c:ptCount val="5"/>
                <c:pt idx="0">
                  <c:v>Seattle</c:v>
                </c:pt>
                <c:pt idx="1">
                  <c:v>Amherst</c:v>
                </c:pt>
                <c:pt idx="2">
                  <c:v>Seattle</c:v>
                </c:pt>
                <c:pt idx="3">
                  <c:v>Chicago</c:v>
                </c:pt>
                <c:pt idx="4">
                  <c:v>Princeton</c:v>
                </c:pt>
              </c:strCache>
            </c:strRef>
          </c:cat>
          <c:val>
            <c:numRef>
              <c:f>'Reference Sheet for Uni spec'!$N$2:$N$6</c:f>
              <c:numCache>
                <c:formatCode>General</c:formatCode>
                <c:ptCount val="5"/>
                <c:pt idx="0">
                  <c:v>124.6</c:v>
                </c:pt>
                <c:pt idx="1">
                  <c:v>89.2</c:v>
                </c:pt>
                <c:pt idx="2">
                  <c:v>124.6</c:v>
                </c:pt>
                <c:pt idx="3">
                  <c:v>100.1</c:v>
                </c:pt>
                <c:pt idx="4">
                  <c:v>84.8</c:v>
                </c:pt>
              </c:numCache>
            </c:numRef>
          </c:val>
          <c:smooth val="0"/>
          <c:extLst>
            <c:ext xmlns:c16="http://schemas.microsoft.com/office/drawing/2014/chart" uri="{C3380CC4-5D6E-409C-BE32-E72D297353CC}">
              <c16:uniqueId val="{00000000-FC3B-4F85-BF12-32E87135351F}"/>
            </c:ext>
          </c:extLst>
        </c:ser>
        <c:dLbls>
          <c:dLblPos val="t"/>
          <c:showLegendKey val="0"/>
          <c:showVal val="1"/>
          <c:showCatName val="0"/>
          <c:showSerName val="0"/>
          <c:showPercent val="0"/>
          <c:showBubbleSize val="0"/>
        </c:dLbls>
        <c:marker val="1"/>
        <c:smooth val="0"/>
        <c:axId val="863929424"/>
        <c:axId val="863930864"/>
      </c:lineChart>
      <c:catAx>
        <c:axId val="8639294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63930864"/>
        <c:crosses val="autoZero"/>
        <c:auto val="1"/>
        <c:lblAlgn val="ctr"/>
        <c:lblOffset val="100"/>
        <c:noMultiLvlLbl val="0"/>
      </c:catAx>
      <c:valAx>
        <c:axId val="863930864"/>
        <c:scaling>
          <c:orientation val="minMax"/>
          <c:min val="60"/>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6392942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[Group 8 Dashboard.xlsm]Safety, Crime, Party Comb.sheet!PivotTable1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latin typeface="+mn-lt"/>
              </a:rPr>
              <a:t>Safety Score and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'Safety, Crime, Party Comb.sheet'!$I$1</c:f>
              <c:strCache>
                <c:ptCount val="1"/>
                <c:pt idx="0">
                  <c:v>Total</c:v>
                </c:pt>
              </c:strCache>
            </c:strRef>
          </c:tx>
          <c:spPr>
            <a:solidFill>
              <a:schemeClr val="accent1"/>
            </a:solidFill>
            <a:ln>
              <a:noFill/>
            </a:ln>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Comb.sheet'!$H$2:$H$7</c:f>
              <c:strCache>
                <c:ptCount val="6"/>
                <c:pt idx="0">
                  <c:v>Alaska</c:v>
                </c:pt>
                <c:pt idx="1">
                  <c:v>Kansas</c:v>
                </c:pt>
                <c:pt idx="2">
                  <c:v>Louisiana</c:v>
                </c:pt>
                <c:pt idx="3">
                  <c:v>Maryland</c:v>
                </c:pt>
                <c:pt idx="4">
                  <c:v>New Hampshire</c:v>
                </c:pt>
                <c:pt idx="5">
                  <c:v>North Dakota</c:v>
                </c:pt>
              </c:strCache>
            </c:strRef>
          </c:cat>
          <c:val>
            <c:numRef>
              <c:f>'Safety, Crime, Party Comb.sheet'!$I$2:$I$7</c:f>
              <c:numCache>
                <c:formatCode>General</c:formatCode>
                <c:ptCount val="6"/>
                <c:pt idx="0">
                  <c:v>54.52</c:v>
                </c:pt>
                <c:pt idx="1">
                  <c:v>42.91</c:v>
                </c:pt>
                <c:pt idx="2">
                  <c:v>31.64</c:v>
                </c:pt>
                <c:pt idx="3">
                  <c:v>53.23</c:v>
                </c:pt>
                <c:pt idx="4">
                  <c:v>63.99</c:v>
                </c:pt>
                <c:pt idx="5">
                  <c:v>47.94</c:v>
                </c:pt>
              </c:numCache>
            </c:numRef>
          </c:val>
          <c:extLst>
            <c:ext xmlns:c16="http://schemas.microsoft.com/office/drawing/2014/chart" uri="{C3380CC4-5D6E-409C-BE32-E72D297353CC}">
              <c16:uniqueId val="{00000000-33DB-49D7-A413-7479F0D71547}"/>
            </c:ext>
          </c:extLst>
        </c:ser>
        <c:dLbls>
          <c:dLblPos val="outEnd"/>
          <c:showLegendKey val="0"/>
          <c:showVal val="1"/>
          <c:showCatName val="0"/>
          <c:showSerName val="0"/>
          <c:showPercent val="0"/>
          <c:showBubbleSize val="0"/>
        </c:dLbls>
        <c:gapWidth val="219"/>
        <c:overlap val="-27"/>
        <c:axId val="1159082800"/>
        <c:axId val="1159070320"/>
      </c:barChart>
      <c:catAx>
        <c:axId val="115908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159070320"/>
        <c:crosses val="autoZero"/>
        <c:auto val="1"/>
        <c:lblAlgn val="ctr"/>
        <c:lblOffset val="100"/>
        <c:noMultiLvlLbl val="0"/>
      </c:catAx>
      <c:valAx>
        <c:axId val="1159070320"/>
        <c:scaling>
          <c:orientation val="minMax"/>
          <c:max val="7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9082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[Group 8 Dashboard.xlsm]Safety, Crime, Party Comb.sheet!PivotTable2</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latin typeface="+mn-lt"/>
              </a:rPr>
              <a:t>States and Their Crime Rates</a:t>
            </a:r>
          </a:p>
        </c:rich>
      </c:tx>
      <c:overlay val="0"/>
      <c:spPr>
        <a:noFill/>
        <a:ln>
          <a:noFill/>
        </a:ln>
        <a:effectLst/>
      </c:spPr>
      <c:txPr>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'Safety, Crime, Party Comb.sheet'!$L$1</c:f>
              <c:strCache>
                <c:ptCount val="1"/>
                <c:pt idx="0">
                  <c:v>Total</c:v>
                </c:pt>
              </c:strCache>
            </c:strRef>
          </c:tx>
          <c:spPr>
            <a:solidFill>
              <a:schemeClr val="accent1"/>
            </a:solidFill>
            <a:ln>
              <a:noFill/>
            </a:ln>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Comb.sheet'!$K$2:$K$7</c:f>
              <c:strCache>
                <c:ptCount val="6"/>
                <c:pt idx="0">
                  <c:v>Alaska</c:v>
                </c:pt>
                <c:pt idx="1">
                  <c:v>Kansas</c:v>
                </c:pt>
                <c:pt idx="2">
                  <c:v>Louisiana</c:v>
                </c:pt>
                <c:pt idx="3">
                  <c:v>Maryland</c:v>
                </c:pt>
                <c:pt idx="4">
                  <c:v>New Hampshire</c:v>
                </c:pt>
                <c:pt idx="5">
                  <c:v>North Dakota</c:v>
                </c:pt>
              </c:strCache>
            </c:strRef>
          </c:cat>
          <c:val>
            <c:numRef>
              <c:f>'Safety, Crime, Party Comb.sheet'!$L$2:$L$7</c:f>
              <c:numCache>
                <c:formatCode>General</c:formatCode>
                <c:ptCount val="6"/>
                <c:pt idx="0">
                  <c:v>1986</c:v>
                </c:pt>
                <c:pt idx="1">
                  <c:v>1670</c:v>
                </c:pt>
                <c:pt idx="2">
                  <c:v>2167</c:v>
                </c:pt>
                <c:pt idx="3">
                  <c:v>1884</c:v>
                </c:pt>
                <c:pt idx="4">
                  <c:v>956</c:v>
                </c:pt>
                <c:pt idx="5">
                  <c:v>985</c:v>
                </c:pt>
              </c:numCache>
            </c:numRef>
          </c:val>
          <c:extLst>
            <c:ext xmlns:c16="http://schemas.microsoft.com/office/drawing/2014/chart" uri="{C3380CC4-5D6E-409C-BE32-E72D297353CC}">
              <c16:uniqueId val="{00000000-EADB-49BD-B19B-467AAB7E618C}"/>
            </c:ext>
          </c:extLst>
        </c:ser>
        <c:dLbls>
          <c:showLegendKey val="0"/>
          <c:showVal val="0"/>
          <c:showCatName val="0"/>
          <c:showSerName val="0"/>
          <c:showPercent val="0"/>
          <c:showBubbleSize val="0"/>
        </c:dLbls>
        <c:gapWidth val="182"/>
        <c:axId val="1159064560"/>
        <c:axId val="1159065040"/>
      </c:barChart>
      <c:catAx>
        <c:axId val="115906456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159065040"/>
        <c:crosses val="autoZero"/>
        <c:auto val="1"/>
        <c:lblAlgn val="ctr"/>
        <c:lblOffset val="100"/>
        <c:noMultiLvlLbl val="0"/>
      </c:catAx>
      <c:valAx>
        <c:axId val="1159065040"/>
        <c:scaling>
          <c:orientation val="minMax"/>
          <c:max val="2300"/>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Georgia Pro Black" panose="02040A02050405020203" pitchFamily="18" charset="0"/>
                <a:ea typeface="+mn-ea"/>
                <a:cs typeface="+mn-cs"/>
              </a:defRPr>
            </a:pPr>
            <a:endParaRPr lang="en-US"/>
          </a:p>
        </c:txPr>
        <c:crossAx val="1159064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8 Dashboard.xlsm]Safety, Crime, Party Comb.sheet!PivotTable3</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'Safety, Crime, Party Comb.sheet'!$O$1</c:f>
              <c:strCache>
                <c:ptCount val="1"/>
                <c:pt idx="0">
                  <c:v>Republican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Comb.sheet'!$N$2:$N$7</c:f>
              <c:strCache>
                <c:ptCount val="6"/>
                <c:pt idx="0">
                  <c:v>Alaska</c:v>
                </c:pt>
                <c:pt idx="1">
                  <c:v>Kansas</c:v>
                </c:pt>
                <c:pt idx="2">
                  <c:v>Louisiana</c:v>
                </c:pt>
                <c:pt idx="3">
                  <c:v>Maryland</c:v>
                </c:pt>
                <c:pt idx="4">
                  <c:v>New Hampshire</c:v>
                </c:pt>
                <c:pt idx="5">
                  <c:v>North Dakota</c:v>
                </c:pt>
              </c:strCache>
            </c:strRef>
          </c:cat>
          <c:val>
            <c:numRef>
              <c:f>'Safety, Crime, Party Comb.sheet'!$O$2:$O$7</c:f>
              <c:numCache>
                <c:formatCode>0%</c:formatCode>
                <c:ptCount val="6"/>
                <c:pt idx="0">
                  <c:v>0.39</c:v>
                </c:pt>
                <c:pt idx="1">
                  <c:v>0.46</c:v>
                </c:pt>
                <c:pt idx="2">
                  <c:v>0.41</c:v>
                </c:pt>
                <c:pt idx="3">
                  <c:v>0.31</c:v>
                </c:pt>
                <c:pt idx="4">
                  <c:v>0.35</c:v>
                </c:pt>
                <c:pt idx="5">
                  <c:v>0.5</c:v>
                </c:pt>
              </c:numCache>
            </c:numRef>
          </c:val>
          <c:smooth val="0"/>
          <c:extLst>
            <c:ext xmlns:c16="http://schemas.microsoft.com/office/drawing/2014/chart" uri="{C3380CC4-5D6E-409C-BE32-E72D297353CC}">
              <c16:uniqueId val="{00000000-0779-4BE0-9C3E-B60C09A00F7E}"/>
            </c:ext>
          </c:extLst>
        </c:ser>
        <c:ser>
          <c:idx val="1"/>
          <c:order val="1"/>
          <c:tx>
            <c:strRef>
              <c:f>'Safety, Crime, Party Comb.sheet'!$P$1</c:f>
              <c:strCache>
                <c:ptCount val="1"/>
                <c:pt idx="0">
                  <c:v>Not Taking Sides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Comb.sheet'!$N$2:$N$7</c:f>
              <c:strCache>
                <c:ptCount val="6"/>
                <c:pt idx="0">
                  <c:v>Alaska</c:v>
                </c:pt>
                <c:pt idx="1">
                  <c:v>Kansas</c:v>
                </c:pt>
                <c:pt idx="2">
                  <c:v>Louisiana</c:v>
                </c:pt>
                <c:pt idx="3">
                  <c:v>Maryland</c:v>
                </c:pt>
                <c:pt idx="4">
                  <c:v>New Hampshire</c:v>
                </c:pt>
                <c:pt idx="5">
                  <c:v>North Dakota</c:v>
                </c:pt>
              </c:strCache>
            </c:strRef>
          </c:cat>
          <c:val>
            <c:numRef>
              <c:f>'Safety, Crime, Party Comb.sheet'!$P$2:$P$7</c:f>
              <c:numCache>
                <c:formatCode>0%</c:formatCode>
                <c:ptCount val="6"/>
                <c:pt idx="0">
                  <c:v>0.28999999999999998</c:v>
                </c:pt>
                <c:pt idx="1">
                  <c:v>0.23</c:v>
                </c:pt>
                <c:pt idx="2">
                  <c:v>0.16</c:v>
                </c:pt>
                <c:pt idx="3">
                  <c:v>0.14000000000000001</c:v>
                </c:pt>
                <c:pt idx="4">
                  <c:v>0.2</c:v>
                </c:pt>
                <c:pt idx="5">
                  <c:v>0.18</c:v>
                </c:pt>
              </c:numCache>
            </c:numRef>
          </c:val>
          <c:smooth val="0"/>
          <c:extLst>
            <c:ext xmlns:c16="http://schemas.microsoft.com/office/drawing/2014/chart" uri="{C3380CC4-5D6E-409C-BE32-E72D297353CC}">
              <c16:uniqueId val="{00000001-0779-4BE0-9C3E-B60C09A00F7E}"/>
            </c:ext>
          </c:extLst>
        </c:ser>
        <c:ser>
          <c:idx val="2"/>
          <c:order val="2"/>
          <c:tx>
            <c:strRef>
              <c:f>'Safety, Crime, Party Comb.sheet'!$Q$1</c:f>
              <c:strCache>
                <c:ptCount val="1"/>
                <c:pt idx="0">
                  <c:v>Democrats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Comb.sheet'!$N$2:$N$7</c:f>
              <c:strCache>
                <c:ptCount val="6"/>
                <c:pt idx="0">
                  <c:v>Alaska</c:v>
                </c:pt>
                <c:pt idx="1">
                  <c:v>Kansas</c:v>
                </c:pt>
                <c:pt idx="2">
                  <c:v>Louisiana</c:v>
                </c:pt>
                <c:pt idx="3">
                  <c:v>Maryland</c:v>
                </c:pt>
                <c:pt idx="4">
                  <c:v>New Hampshire</c:v>
                </c:pt>
                <c:pt idx="5">
                  <c:v>North Dakota</c:v>
                </c:pt>
              </c:strCache>
            </c:strRef>
          </c:cat>
          <c:val>
            <c:numRef>
              <c:f>'Safety, Crime, Party Comb.sheet'!$Q$2:$Q$7</c:f>
              <c:numCache>
                <c:formatCode>0%</c:formatCode>
                <c:ptCount val="6"/>
                <c:pt idx="0">
                  <c:v>0.32</c:v>
                </c:pt>
                <c:pt idx="1">
                  <c:v>0.31</c:v>
                </c:pt>
                <c:pt idx="2">
                  <c:v>0.43</c:v>
                </c:pt>
                <c:pt idx="3">
                  <c:v>0.55000000000000004</c:v>
                </c:pt>
                <c:pt idx="4">
                  <c:v>0.44</c:v>
                </c:pt>
                <c:pt idx="5">
                  <c:v>0.33</c:v>
                </c:pt>
              </c:numCache>
            </c:numRef>
          </c:val>
          <c:smooth val="0"/>
          <c:extLst>
            <c:ext xmlns:c16="http://schemas.microsoft.com/office/drawing/2014/chart" uri="{C3380CC4-5D6E-409C-BE32-E72D297353CC}">
              <c16:uniqueId val="{00000002-0779-4BE0-9C3E-B60C09A00F7E}"/>
            </c:ext>
          </c:extLst>
        </c:ser>
        <c:dLbls>
          <c:dLblPos val="ctr"/>
          <c:showLegendKey val="0"/>
          <c:showVal val="1"/>
          <c:showCatName val="0"/>
          <c:showSerName val="0"/>
          <c:showPercent val="0"/>
          <c:showBubbleSize val="0"/>
        </c:dLbls>
        <c:marker val="1"/>
        <c:smooth val="0"/>
        <c:axId val="1241391840"/>
        <c:axId val="115589248"/>
      </c:lineChart>
      <c:catAx>
        <c:axId val="124139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15589248"/>
        <c:crosses val="autoZero"/>
        <c:auto val="1"/>
        <c:lblAlgn val="ctr"/>
        <c:lblOffset val="100"/>
        <c:noMultiLvlLbl val="0"/>
      </c:catAx>
      <c:valAx>
        <c:axId val="1155892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3918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title pos="t" align="ctr" overlay="0">
      <cx:tx>
        <cx:txData>
          <cx:v>Average Grant Aid</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a:rPr>
            <a:t>Average Grant Aid</a:t>
          </a:r>
        </a:p>
      </cx:txPr>
    </cx:title>
    <cx:plotArea>
      <cx:plotAreaRegion>
        <cx:series layoutId="funnel" uniqueId="{83A603B3-1894-4C4D-BF98-F7202DB8782E}">
          <cx:tx>
            <cx:txData>
              <cx:f>_xlchart.v2.8</cx:f>
              <cx:v>Av. Grant Aid</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title pos="t" align="ctr" overlay="0">
      <cx:tx>
        <cx:txData>
          <cx:v>Average Grant Aid</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a:rPr>
            <a:t>Average Grant Aid</a:t>
          </a:r>
        </a:p>
      </cx:txPr>
    </cx:title>
    <cx:plotArea>
      <cx:plotAreaRegion>
        <cx:plotSurface>
          <cx:spPr>
            <a:effectLst>
              <a:outerShdw blurRad="50800" dist="38100" dir="12000000" algn="t" rotWithShape="0">
                <a:schemeClr val="accent3">
                  <a:lumMod val="40000"/>
                  <a:lumOff val="60000"/>
                  <a:alpha val="40000"/>
                </a:schemeClr>
              </a:outerShdw>
            </a:effectLst>
          </cx:spPr>
        </cx:plotSurface>
        <cx:series layoutId="funnel" uniqueId="{83A603B3-1894-4C4D-BF98-F7202DB8782E}">
          <cx:tx>
            <cx:txData>
              <cx:f>_xlchart.v2.5</cx:f>
              <cx:v>Av. Grant Aid</cx:v>
            </cx:txData>
          </cx:tx>
          <cx:dataPt idx="5">
            <cx:spPr>
              <a:solidFill>
                <a:srgbClr val="196B24">
                  <a:lumMod val="75000"/>
                </a:srgbClr>
              </a:solidFill>
            </cx:spPr>
          </cx:dataPt>
          <cx:dataLabels>
            <cx:txPr>
              <a:bodyPr spcFirstLastPara="1" vertOverflow="ellipsis" horzOverflow="overflow" wrap="square" lIns="0" tIns="0" rIns="0" bIns="0" anchor="ctr" anchorCtr="1"/>
              <a:lstStyle/>
              <a:p>
                <a:pPr algn="ctr" rtl="0">
                  <a:defRPr sz="1100" b="1">
                    <a:solidFill>
                      <a:schemeClr val="bg1"/>
                    </a:solidFill>
                  </a:defRPr>
                </a:pPr>
                <a:endParaRPr lang="en-US" sz="1100" b="1" i="0" u="none" strike="noStrike" baseline="0">
                  <a:solidFill>
                    <a:schemeClr val="bg1"/>
                  </a:solidFill>
                  <a:latin typeface="Calibri"/>
                </a:endParaRPr>
              </a:p>
            </cx:txPr>
            <cx:visibility seriesName="0" categoryName="0" value="1"/>
          </cx:dataLabels>
          <cx:dataId val="0"/>
        </cx:series>
      </cx:plotAreaRegion>
      <cx:axis id="0">
        <cx:catScaling gapWidth="0.150000006"/>
        <cx:tickLabels/>
      </cx:axis>
    </cx:plotArea>
  </cx:chart>
  <cx:spPr>
    <a:ln>
      <a:solidFill>
        <a:schemeClr val="accent1"/>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plotArea>
      <cx:plotAreaRegion>
        <cx:series layoutId="regionMap" uniqueId="{06DCAB78-83F6-4A52-A01C-03E08CC29566}">
          <cx:tx>
            <cx:txData>
              <cx:f>_xlchart.v5.2</cx:f>
              <cx:v>City</cx:v>
            </cx:txData>
          </cx:tx>
          <cx:dataId val="0"/>
          <cx:layoutPr>
            <cx:geography cultureLanguage="en-US" cultureRegion="US" attribution="Powered by Bing">
              <cx:geoCache provider="{E9337A44-BEBE-4D9F-B70C-5C5E7DAFC167}">
                <cx:binary>1Hptb6Y40u5fGfXnQ49tbLBXOysdA/db3pPupNNfUDpJgzFggw0Yfv1TmZ6dne59OftIqyNtFCm5
b2MwrqqrrrrKf34Of3puX5/Gn0LX9u5Pz+GXd7X39k8//+ye69fuyb3v1PNonPnq3z+b7mfz9at6
fv35ZXxaVF/9TBCmPz/XT6N/De/+8me4W/Vqzs3zk1emv5lex/X21U2td/9i7B8O/fT00qk+V86P
6tnjX949PLkanuhN/+6n194rv35Y7esv77677t1PP/94t7978k8tLM5PLzCXpu8pxjFLeSp+/Unf
/dSavvptOMIEvWcsoRxRjN5+8F+fffnUwfx/b02/rujp5WV8dQ5e69e/38/97h1g6P++++nZTL1/
270KNvKXdx975V9ffrrzT/7VvftJOZN9uyAzby/y8e7XN//5+/3/y59/+AL24odv/mCiHzfu/zX0
dxa6eHLu6bme3Kv3sMb/mJHIe5ySOKVp/KsN3ozwRyOl+H2CGIpjDtb79tBv1vm31/OPDfTD9B9s
dPHfaaPL1+Wn0+voXte/7tV/IIrQexwLJFj8LUgQ+cFA9H2ScgZQ8S3IBP3rs7/Z6d9b0z820h/n
/mChy9N/ZRQd21b1Rv0nAwjsQyimjKFvBuDf24eL95jyJGac/Wag7+3z76zoH1vnbzN/sM3x/L/C
Nv8ahP8IcN9d+b/MQrF4D/DFUhqn3wAu/t4+QrxHmMdJLOg3+/wQPz/khn++rH9spB+mf/cm/58S
zz9PSr9n7/zJPxW/pv0/5KV/Pfrr6wId+WHqv0pM3/bu+PLLuziGgPmDId9u8l12+fAann4P0j/M
eH1y/pd3kYjBqILEAoskTdOYgtGW11+HMEreJzEhKeKYCM4JxGNvRl/DU5P3VCQwRBJKESUCUpoz
09sQYe95zBjlFCGecoGS3/nWtWnXyvS/78Zvn3/qp+7aqN67X95hGgMq228Xvq2WYUwYJVykAA0o
ieFZMP78dAsc6+36/4N8FM2DMei4DGR8mCOaSteuzzyQ9nLD0VDUEXYydEbfpgu/cM7On5K5Ge6s
ie4GNLrTtCa1HHi6XVAzRce1jJNyP5umvp76IXqa0tRIkRg0HCgv01oyRip33adsjW8oVZp0Mupb
nB43PHJyKeiGzEfXDmRqZKQ3E++t9tZecDuitMnQvGwhSC1m31FZlrqhu22rUDpLu4zj8LHlvWdB
pn3X4lMtQkLkQErhi7RG1O3qlhJ78rRSLZFNrzlCMpB1FYXqmg2fUrOSe7pWbtByM9iwzNMy8D0n
6cqOkzIMlVKvKm0+lGsUTbPEqZ6HvDbMPDV9yV+qpKnSfCMuuKEYa4PmJOMuVegubGNjcw9LcHsd
DDnjKN5cNiWiPisbvM3Z4lPmdjNqmrnYTLPynJvm0FXGPgYgh51s+9gfmijwYkGcPa4zo5LHVX1Q
Tt1VbWvBWFNzMZDeHBqy3DdGxfvGL43EnagOeqnqTQ5dVT+ooJaqWGd1THm4MHQ8q5dpenBV12dT
667jLtSV7Gdh5Vwlzz6Uixyn5XFrmMvIIDId4mMV9H2YfS9XgZsT5/QLMNmxiEs93W18crLfom4/
wZZGcW8kS+2yd2md7jjp90SI23lT90lLvppW+bPNmUUKXV1u9ZBm3eQfTedO3Wz6g/bK5qmK87B1
RLrVJmfWIrwbh+26rjojNdH3FkUqn8bIFLqbXxPVJxddspXXizCJdChEUkxTKV1c5nqd9J7OFMuw
zVekiZN8nueQVbhsM7rM9Xk5teMF9wspUkbRMTVK7fqwMTlFVZ1tbuBf1ETmfTcz9YXXQziFcV0L
O7DotrIrlX1TvZZxaa5Y5O+YV+Gu79Z2j2ynZK+sOvQ6SeSkUCJjs7JI9mzaec7oEXCh3o0jEbuq
YzRjdST2c7K8Gqa7o6+9yUvADqmrSfVZGdQXE1OTzazviqoaKylQ53Jj4k663q8Z26JEMjS3BY6c
kpyED5j1SI6tvo/a8rht/SI7ZwfJfPTA1hLJWIfmVA9MZJGl6ms8sfHztKVZg71s9EK1dPOQUDmt
SJ93s57OksRDxE8jH/KYbtFX45M+ljPnmEmTclTlYzNva7Z2IToQjabbFc9LetdSba8TRLpeDuWo
Li0nyS42ihdlWqYuw+3UfHBJ5zOP8FbtVWPIqZ+qscvW2MPTwLH0JsvFP0/tEGeonOfrZtE4m2dw
i0rMLZY8hPVlsACqRZXS9TR51R+IX9ZF7D24VsiiNUEhG2C1Whq3+K94GBYlq6W0uyRMU/11bZyA
WFvEsEmKBrtcEs7co2PgLUTWtN52eO7QWd2Lbr8obrN6iMgeEQNvppdjujbJPq0NoERYSGZQFRUs
nicZ262SyA5xUYqt3Q9VqSTh26eAqbhPlQ2XbRM9QUg9kE0h2bfaFN3gTz4a6GWDiM7HljRnfaRe
SsfHXBGr7ruxaY1MLFMXZFxnLLtpi/MNd/h66MqPQ0s0l0LE4tzS1pyw8Ls4jefzeVL2lsYiutPU
pU+kYyqvtBiyrRNjI6eqhjBeAiFFafqwW9sVXSTlagpfepdX3vvL1tWmgPv0OxOhdT++Ra2mZXLT
bXO8KwcWimho633aztdtTVWhVndYMKqJLP32lks2Ltcy6W+WeH3sJ8MOdO7E80jcTRpovUin4/kQ
c/8pWZtOKoSigsTzkbaY53rCcSw9tv5raSgtmshHZ+vE6h2fJ5z3aBOFNUHJteLVrqQY8ICvl2rh
+mqL0HyxKtHIfp3SXPWByOAaCK2UTIWnpNrXggaJFsIz0TSTtHjcr1E1Agb7CzEBam3xukpBBHii
D/3Ra8pksoxMVni5nfhGpOZGF4Z2WsK7icMQwj5aB3Ec0VxmBgck00R0z6s1c4Gi2GcTjqLcOj3k
TWfaUgpO3AehGpHHXK/5QFuROz8cRSQqOUb2axjSj51KTbGJZdohZ1W2rGLLIkpNUfeh3k1TF06R
Hl5mvV20vpzOcGhbuS1syFqS9lcEmMk5CWDYHq3NblEeHTdQSQ4RS4UcbK/l3Pcq45VuZcThnSfd
tJJ0GvBuSD5vG1plz1Nc1Np/JkbrM2bLUuK1b2UZL6u0a4PPwQfc3ilaZ4vWX6ekFbtgt8+Vhbvq
TQCWNSsrL0qDSyLnBqBfi+pLZ/GSodaP16UmZVbP2F0ulM+Q3ImVCaoeDWZfrRheqVftrmVAGOZA
H7pxqrNOu+G+5XCrbaSjtFPwX8eJkqxxjc4pgKhM3VJfG9Y2N4IYe0ScbOez9rANqf48dSXKAUwN
oLaaH/hqIGH4+E6ppM/mKkyyCRxwPVHtF9J7knVkNceJdsmumdM160XU71yzdecEk6Xw60azOV6/
uLpc5UySVC4C1rDUWhdIDPzeIbJd69gZ2NBNsETW6RR62DALy5+9bh4h7LW/8EvPPwwpg7kxWu/G
qTwmbViyqBXVzeTa5Zr5snlMm+SOJcmSmba6pMS4QzzxKs5C3diCuRI2ulY1/SiYXrLAklGunhd0
KxOSDS6twNLzsubb0K1SJbPAWWXIC+tDz/IV7CyJxeZqxps/oC2khzQw/nnRDj1OKDw3tvRXG4qj
ppjnej401sdXrEvmAm9N6AFZrZ8lq9dMkFnUsmQMPAJ1twMX7HZZkUMZoGYEFINYkjHq2q9ujDl9
C9QKbArVlZFrOiZ7azGDkOkTbw6jE9uUTQTS/FrFd1atU5Z6dM45aj65RKAvfTWc2qUut7wxdZUN
VfzSJo7d9Ykiz7hqoi7baCK0jNQUjnYx4yCVrpspD2wNz6jlbW7N5O62ZRyOJYDnxVxH7V70yfWW
9GelSX2az5AOwgFHWwPunMzpS1mlXVYTl14Jz9QDsyO9wJNi+dgtbcFUbDNr7Nbm45B2hfGxuR1j
Oqpsha24DJrwWqLSMJl6O1X5NnLf5XNw61XPVbuv8NjsynTxO5xiUlhY196PSbRvWFN2+yFt1QOg
mX6AFDd9apeA7nTjywNqUnVEbAHGWw7JaejnqJEqcqWWa7K09xVRzXo2R2snxVaPJxERCIgaLbqw
qhUnMoxzVncBaxlob/NkrlCxITfe+C34B8S36YXZZT5wZ8SZaRp/Rat6/GhiNmqIP9P4PB6SXHes
thLY1XYvRt+ZBsoHt3yoMCBsBnXSJPJN2DiRtLXrXKgG4uFMcNp1BS/b5ONS8i35VOlIbfnMA2RW
PlEBgTgGL9cxCVVBNU0uk1jXj3O6JBGQlemu3foV567uo4u2D+qx7Fi/G0ve0bzbQnucph7lDW8q
LinVEZeuW7oHVIbyZoZLD6EDeB07cbd0wI1dP0xf+q43eVSnzS7xW3U29kBJ234evPTd3H3A9VLL
GKVkv/BOnzfGDbu183VuqqHNbLS1TrLRst2C++WmpWwcc7aVnWxmpYu5wdN512+TpKTpD1Maqmti
43K95WkzmqtQ1YHlogpoSHTG04QAWehsLVbH5TQRYt0L0E3Fp0rqdFjonfFVoh3A2Gp4OrpDI+pO
yKVZ5+2sDTTKEtfgot1sP+axqwFHA28DUKckPvg6YQ+Eq27Kt6Wy6WHUEItfRMLLHEVNWZ2reVaD
BBcem4LwaskTMs0201G6APr40ZzPPrKHyQl8GwYPtQAeov3Gkjqf/RqdhmW0xxF8Mp98rM5tw1RW
kin92o2GPqNe002OavTNPnT2g9OiVI8Y0ynrqFguPMSj5G7bWJ44zl8Nt9UhmTqg4NjXUTaoMb3f
mgUVKgF0LoRr9c4Rtz0hINZny2qZbKE+NqlFewO3PW1k8DfWKvupDrS7XRbMTptVS0Y6anNW49hK
XHdxUWnnpUElsINBu33QM87GsTGXlA5dHsMaPzpgkYUPQWRbj5uiglwH5HxYi0BGX0xteoxsP+cG
CvdbXymxGzUiT4wGeuj0aGWpAZlaY7lMlan3qornfDSMn8eqS8C8rl6+tCKa9y2hV3GoxQvqx6sZ
ViJHj0hmCVkPA24HoFJTda6hpA0SC7oU4DfDzorAimHVUN+AUyKJG1UXS9nVhWghjZch0p8dcHpp
RNodIlXGebRAJumXpOeSQ5Moi1C0ZrSJ450paSd7kUZXPt7WW7vUhyno9iLoqc9Y1ccjMPCoLdq1
rl+tTehFWSoFQDtUh9JEELsOgH+yTba2dZttY9sVo/YzJJ1lvak9EpdzqHTR9Co56ESxgrQIANMZ
c1IIX3PezdI5F0w22erJpX2T92b1GojdwC91NIxZ6JAucFtS2bQifqwETmW8uL7LOlV3j5F1j0Oc
alnPfE9ZwEgaO7+gAImVK7Qd125sYf+mScmZ+UmGvmqzVcegPqRVkidb+8REXBczWEuSPnyyHIqI
iufrNrz0TfvJNfObv03IFJPvtZEhjouEIyJbJcpToxx70i6UsqtQkgFnxiiL+tC0xUgg51U0DOcm
aXrwFpfuMdJpRkaqztuq0tegPyCUTzRMvJgtmi+dB77doJnkw5v8E7izRzEMbbEt83aoGo5elx5K
tMY386GjfsqXaCA3jU9BEbDjs6+DP6WdaiTiOj2BrpXX9WqP3CYDJOBIn0jazTebrqtdpYYvUK8B
FVt7teZ0a7pjP9lZZ9Xs1ofZl06C3nMRx115D1Tqg4qGIUtHn57VSbxkQ9iAOJr6WC7b4GQ9RWPe
z9NngYeLBa+xrBty30cAec1M6c4mI88WFvOHOuBOxsPY5wLxOSNTyT5sRjPJNk3O+rU+V1H/6G3q
Dqur78YEf4XGE/C/FdhRX9n+rjbkMa5xe4znnr441o45qsY4t1F3H1Ief7W2i7Zd1fPES1A9gHwH
O9VyS7pbvnpUSVM1OPeWl59nNOlZhnkeQaBYl9sB483IlpclyE5+WXbM0VUB+e8w1DiB7fUUi1vQ
/ZiXNmYmgdcr00nysfYRREJXJEiPJ9IDldxUFaDUKXMwlU0vdMPs1ZxQINZYR0aSTSssE7K1fTHz
FrtiQrW9JDjhR/gHhnTPv5KK3NLGAHhwVZ+ERfq0MkiuOF6eS22nYa8jXRUhmahM06bLWRtOm0o1
hDq+HyElZS32Vk7kTQu0fZWtYkplipP5LSaA5SnM9oQBE64cAUhIwjgvh8ZMh3QePld8OwVw+KxV
Fh11FV2UwgHXadlQNEN6snj2uyXWaZHqpD1ZBvLfIJDLeqD6GTBTkpV0OB+r+UY07gV1Cjy+XFkh
Qn8zUNvnIMykx55qItPI13uoXUBA3LroaiH0QWHqznwZ2XwZE5VVbdzva2SrQpkOH0IDxdnIJnfs
fYVAufBGIs1e7FKKmylCIMOVi8pqs37WFQblzK/xLtWjko2Pv5RsxncLZzpPwrqMWTOZ5ZW5dL4D
7CMySdiYpWiYTuMAYhTCTYbLiF60I49AZ1GKFCPS+iCS/oL61mXlFtMpJ2oRU5FWuEtlg2p9GiA/
YrGZnVarfXLYmEfGadzlOtq2Z03qMmR41dGTSbrxKkVtdGgg4Y0yTtNw4LoZz1MNJVIqeFPnQVWn
MaJVEXfr+gV4FoRWZbsn1WB+ZZa4vNh8PT1HKvlajXi1UtSROw0gQ99sgZYZU+nSZ1ah5SMPbLom
pKbb5Ri4sXJJO7MHFbSrpfCxzbdNJDtsFE7zRKuQW6L6MVPbanfKkhrqhTK6xGpkc8YgGRxUOX9Y
K/YRGAK7G8rK7Kph9QeIg7VIRoehuOL3C08A4eue3FWotZmr4yuOXfnUhT7Kmq7kGfSiicpbKNKj
s4UAqTlve5BWBz/XZ8AhfNhVyWiysVHJdKI94I9MPLLNviqX8CYStbVcQAsDTtMlWPZQ3AC9W4xl
WZqY8X60dDgbBs5nWZtUIDkh0PhW25TZCrjwmJgg4stFMfRhhhskOR+m7WHSvpUQxiWIRiBQ17Lq
V3cRT3Y6T8F7hgzZxe+XoVfnm7V2zCFhCenHqQLGtC5eYuI7D2n+jQkByjx2Okk/07HmENpT4w+W
10YOURiAtHLKe1lF7ZxRHoc7NlkP4hPSNpFQhnGwRCTuW+KqF1ZXTZX3VVmFHDS19XbVc9BZDIFW
bENYFRB6KLwDgRQNFLSz+RzbrwvQ6wJaBDdrBLR+cwk6WZ34nNlp2VeqHG5CNZOHpgEGnjMKgL2N
DF+7wWAl22Hmt46NkE8By8x1u0XzQ0TVdIrrAXSZbhP8Ylwj/6BthC5Rt6x7YjkWULy6+MYxnt6K
qITyZcSlOIuimnxZW6VP3vH5jpAYxNBAJohS0wOsyo7xngBnrOtcMddAUC4UMta0gCoo41FUzSUo
/B7yiRjj9qzBZGU7nywMLN01RenHqsmDdtdb5Wgjk9WSIgYZ6gPa0urUUIDKvq3Xr63t8GOJHRC1
LfE8B6VjvKyFUJWsGjU8TAkzuyWCrFsZCskMXCqHYkcVqHLN3kYLRxKk0bOxDOlxXpAvrEv0ucV9
74DZY3RuNrN89E3vA6Cs6vI6WmiWjLQEOPHRjdWDvWTrwg9djavCzZvdLw7RLLYavCQaF3/B2y7+
BOptBElssR8Q8Lvz0QzLbvLA/kHOTEGlierbtW7mjItqBtHeNFllXXcxefEczRgXAE7lIamZz6N1
wxdihtCIG1IXaoiPpsb8ug9JOC4rm09JlG6LTMo2px6qjgkYYwZ683hytZguojHV5zwRX3oecDGX
K9o1fH2q1q7OCNVQGfAGZEVcdqCVjet9pOJyl464LizZ4iICR9/Xs3XZPK7kqJ0BzcbofiUgtG15
HQecJxil0jMDXBZt46Nq6ZpBqbAd1jEkGyQyN13z1IAOjEXb5j0jc3sbWK3ytYZk0zBtNOhZsz6P
0iFfGLRvQGPFwDRMvcOab1KY7ZLpDb5H5Y2Lw3q1+B504FnfC0c+xRWANYv6QtF4y0EpeRL9mEhR
QcNjWeoqd1GL8j6NzI5gTQ8L7fa0am43bqFUgEMBmZjQJqtqu4prFcu2GR6sG5rrpJoOZUQOQKz8
ft7o/DkK0AYhcfQpRhjt0AYMOQyR2tsZEnXg01MnmuFmmYabyZB2lchwSO34rRCs2+iKx2LNSkTq
49Ajck7n6IVG6XRhSD/KEfBfKmiDgdAj6Ce/sElWXTifrQ3HsR0e/njA6buG57Ox66iq+rczZr9/
/MsH08Hvryee/vbl2xG1v326+OvZtn951f7VvJ1UcT9e9Na2/v1efztb9dYq/v2g1Q/N52+n4f5J
Z/pfDv57bWvCEgLHB34/Bfd3bevrV4j3tZ2fevX012Meb/3g3yb+1r1O4ciOIBynCZyMe+tQw5mr
37rXHI7EYYFBZklI8nbmB/rKv3WvKXkPXwEdQyTGIo4ZtJR/617DGYcUM5AwMYezQnCijv5vutck
Qd83rylPKY1jQC1CUwyUFLrrf2xeAwy5rbNoPbC0ByF8euMJwD2X+JKUwYhCkAbHGcDj2O0WnwxC
AqcZj5Qb8OxtGJcmq1tIvKBr+pblNYirETQXqikfxTP4e3m1JMl61kFFlUNuCVhuHWfQS4mcKxq8
0nyD3qWVUexwVKRASrwELgVC29jU2x5OFpr70a3jaW2G+hJDU79IgXB9LEkUK5Cs0roYBbCGojbd
cFfpMfQHNIDmm0MXIH3aoCvZZxqbupEmiZMFukRC590Uynyq+4NKN/UaYVw9L1ukLgLM+cRWA5Ik
dALoed21JbR9U4cmmcYgYsiJVaQw0cKuBa/aszkWzRVUnf5iXly0x2WzQeSWtJXGz6HgS6l3UKMC
iDPYlCyEZYIEkDjZdp0IQOShUTi3LP7IR9hmHKUg2k+kRqceUKXo04QeCBmqggjYeaooPi2b6K59
FCeQG7fuBm2tuW4mPl7VJaegiCLdn1hKbNbwrcz0Ao1iIgjy2ci7iz7FICKuaQJKGShKW5P1DD3g
NPXnk6GfHKv8HXauh6JpLEWbk6ipLPS9uN734xTfh1aTXTPFfN/ZqgnZvJUlnFnQANIx0lln+u2C
sdndAkPjTZEkJTvF0YK+uijpC9rh23S+7kTb526hA8AruqZQ1ZvMGRJfQmt1egSyW30cuzhcza4B
zO2SInLcZwx4pExr3+3jPrQn0Y7lubBNf8OQpxfArB/UQkHtNEjnazKtux66gHfQtRqKJGLdYUFd
hgz2mdZNc1tOA7qaIpfmZaDLsUrMXjcxLzq6LFkNOkFebgaazGI2JQh3JdtNSae/imV5BrIT7aAt
VoJY61t8C05eSRfCcHTQG5QbEMYCc7bkoE/QPOnZjQFvAzoMIi0qgQdxEGWj2n3aOsUkyPvRriZA
cNnKYZWuZlk1VdDlmbA6taB/f6JpWh1tWw+3rIVDHCtl4pRyB7p8VK/FiMOctUBAL+P5f9g7s+U6
laxbPxEVQEICt6tfam3Jki3dEHJH3yRdkjz9/yG7Ttna9dtxbk+cutgrrA6ymznmGGPOUuwbtq3e
zNK4x9ak8WasuUFz24uLbStHf486O9+BY30cCZnXJEfpVSZxHkhB5uwAWajh2XwHnn7c5dyKaXin
5VzKdmusKBzBdYWv732gJq4JXxWp8+h47IW97efZpcRf8n4I0zj9OHsLOHl08lIc6qixAJySBCJ0
puwmCo37MQK82dyiDjR3F4u023tOY/mfQO11ftaNC2tdNnCImzm3F68+do3VTfdTlnn6fiiy0W+5
jK1c3BTCnvKnohi6pd6BEOpg2aR+726xOESQ1j0i3I5tliRPlZNBHeWpk7E+VlOxPXVj7P0MgEoA
ONnM8ENtgmRX5nUY7lUlhiI5od94T2NTI5EHReQU8ok5inCulOMADzbUgoS5jotB8CHj4pzbDVgD
On8c4g91MUoDXSlcSfLauTEHy5n3//+m/t/t6f8xmLk2l9ifburrl86UL/XX327pH7/071va/5fN
KbKltPEvYMGV/+eWDiKMZLYvIkyfATYzrGz/tphxE7tuGIaRJ30hXBu48O9LOvhXGAaCWx8zYmAH
fOvfSOU3xIWn7r9YzHj4r/4yHm+vUCC0sQYDFlYD3K9XdG2PeVelxXKCjfCxaUxefZXMiXmo1qOf
JCDTX6bnvzxw/YO/GNrWBwYCP4mPsw7ZT2Kr+/WBQxlBgi3SnOY5797b1jSRKujs+OenrLa4N09Z
TXMY+igMcFx3RSa/2OYGv7cn5aczZ0tlR+3O6n3REAuywGsR7TWMb9/pnady667Xwfzw58f7EdDr
zQs40sY3KLzQZczR6uv75QXG0YTZZILh1JSIvIdZYz8BT9inyYPqJ9XuLuZ87vqjiYPK2bQYkfpN
12ZWtu2xod434BjStzg014jdGdHI4d4PF10cjFvws2VjqmorSmsB/7c5iokf9wY3HFr/dzWY4k7k
YbFb5nA5pR70S4w6cFFJX32KM2WO0LqEzTZxyLEbJZSCZQwW4M3sfMAX2d50eHQ+uCQb7wYxxhda
9u1LCFazuU8n8z3tGdFUl9NjOdbm2CMOX8WOVRJus9CB9XXrqzS2m+cUSusJZMAv6jmLrno1u3uH
2/sumoJqIIK2dnNmqmDsEwc3JvkgsPLoJtNKLwc9Bq8lcz+YBrddMDcp/oWlvmq8CN6+TNxy0wZZ
974pJ5FsJqTULVw3ip9Ml+tFzNkphl3YiTjrLorRVe/7aogvFiS4o0RFOath4XXEMD3mdjU9qnyR
96yOu4d4d/e165f4/2b1xTSa8xA47CFdm4d0iBsE84WVwWxhn6SOOEO6iy/EUEdX0rGyk1IwBnps
zYPd8Suoaf1HoEt4Fc+Jd1bJ4HwYy6X/iP2vvpqbJrqqqpAZIX+Dg/AqbcG0jou9KfAN7vsW55uu
JxCicou7VqaQJU4Cuew23Rcv5p9JQR3NNsndJTlhQcTd543qy9xznENrMEeZjeW5CVlcA+W9w4hY
prte1F29t2VfnlvUts2wwHYGnoXrxYmLu0Q7xUGi8N54duBv8SpM3wrbQDUNQ3GoStsmaDjNczar
6TEmTb6O1MSfEqk5tlB1G2dmxJG22pu4WA+7pfxbK7GhrSLGIr0cBgzxcjsVBVtxSuvpmwMNejQZ
+lfisRLxFKHj1q3ZVZbwql3ZjsxrkbQvQRn521nHeb4bZotKpSaN4ztpx+qLH9nLda1T8+DqKjvW
DYeh7FRxsIp6+Grn0vmQeVzUaVJiDLOY2z5hHfNxnep1i0JrTd9Mx+iXwrjJRmGZ2XiyMUfPYf93
xdQ+lUkQX5R98aRBlxcpecxtEn63x8ieUOMrjLd9XLnntPefbdeoT24cj2jz7M0NSkt2dEnOd55X
PntxMH0bvKC9QStlU87uhOGDhZIQ3niyvPa2rYSHCUH7t6OJnQ911rdPoy+bZwvj034JiuXA5d88
i8o3l7mw/Ps5NCHJTx5G27DWzUsSBn29zYRBxuhIVF4HF64iSd/01t1s2nqAPM6Xax2aHv7BKu5M
MzghcI75cQYnvpjLvNpKbWenoXEDZztjbzz6c9Z9aUtps0xVMQZbk4bqk5MV0VVumwA1zBXqZpBu
Erofwx8QB9MoeCfD2fOUOXUFDJrEUkMQDws0CkVGerw2SoPxdSJG704UeJiUN5sHB31m20gyrA14
s9sptcgD+9C3N4PrRvWmmQdC01jfYN9yNwM77MKzineD3VvvG7u8s/zxxqva6hCmgf8e1pLYGczi
pvOT+9iPbypLiZ0dcIgSd0nPlVs84CKE1yrjcT965nMWVuPem8avRepWZ6tOvpjRS8/pAi1YO2N7
1VST3pc+RE0fJ8NXJ8NpnGT95Tyo+FDqzrmYlyLaOaYLtmXgJ7ukTbIbb/HMtRW1k9l2S3wh8xAL
WKt2WanqZdNGsTp7rr0mTrO3VXbib6qsmJpNVZbfk3YZwo3w6+A4okZtI6++M3WQ7d3Kii7zNGmv
e5nrg0w5sCqvnMvMxPN+JNE8L4aFdJ3JPtu1hWiIxXqL7SfcN9pCbxYhxxKpG1ElaLeuhYdS+1l0
GhPnHuEvOkgv6K+cOhLlHvfM8KVvtZZbX0XWAtHLGm6SEs0X22NwkI5+rpu4uxp7t9zWrj2eEx0h
tJURnL8fS7Uzcf9FNHo8Jn7CnccFHh6mlGsudecBqViqO+GT0zhD0R+SaUznTVpgf4nC+Tn0pxx7
VTFf1rDTyNlF8QSP3MBHkrYco2xC9A9kG+4iP0y3weQJSq+Eeg86Cw/e6Ivg3BJf7Z0hiOB1LFq3
37Scq2uv7NtLvcTLvnFt9+zObb8Tacqp6nH1FmpTYz3Hi4W1ACFzfli0yBEgKijWvj7pcocrCiNn
J5eXtrT9s2uq5UObt02ydfrohHM5OlfIXu+yAgpxIom8KKoW7tctK7Y7CmSpkcp7T3jvAxR8wIFx
oOc6XcE7hAdl4UuwonLZIKEi1kYi/xTIBEeNbfTBi820GaPJOqgUJ9CYVO9Lx+IuR+U5Z5mYxcab
pl1iJYgGYeIcS/iAvRSIt+E0x/tIx951EzVetim0dVcNc3jjqMVcmLCbyg1pY+rtleyqb16ibrBp
BVfRPJCSkPMiZpa+6yNxpsV1SyJ7btMqUNssld1lucTiacwDDNmBr4N84+qyv0xNUoS4mXP7W1tV
FcRyUMt5ZyN8nxeFuR31tjuOTuk/6XLMsh06aX7loaB/qUQu7Wun9yZsu07tJP5TNNn2CcMe5mqb
Cg3qFua6OASpP31ucqfZDqVecUGr3s/zUO6kmupmH05Vdmnhuiw2sQnygO1XpedOTN1VpPrG23Zz
D2ejGz87zXUY99uc4oNb48bZaUnr9jN6htVvu9YU69rYm1eIlOeCe6h0lhM2/foqcmOf4NwOX8Ms
1u020VgxD3bRc+G0ROHvdVki5RgrvmuLYD0DBTAhiO023iX+CCBKs2qr0ta/XbLMurOatmW4mcBC
WmRFuEuoQsCdA9e+8+TcfkbkXtp96rNIzsLtbEZQ4Q/wpTLX+QBr1n9t8yAPd66fMj5kACytszHu
Hhgq7+dCActWwFjv3ckrdnnqorIHsr4qu2U5eXavd1WjCcZdnuSbqnVVvCNj5nKPqsa6q5NofMxc
kdxini/g4mV7kyyvbxGpT8KSwNJYqTUoL5X5PuRgkiwKgCfYHJx3hMH6q2hlM+2sRE7c2hOhEvod
f0XH65i+NcfUscZHmH3WzlFWWG/tqjPHpIIsJJtn/Fgkd0nCXd4Atp5aiiq2vVnhL5UwT8GAhczt
GYJIPOdDWM3me2ja7DgvMX7bPIvI5XVvNlhfcXk0rSjPBSTa+78kEc4/k4hAuCFJox1GQgb2m1zJ
Hy3RlgiHp1kRSwxe8xzOIDKHxszsiqzWuygVwffJNdMpo8zkAKX5EubtR10nYp/5XFOWr5Pd2FbN
9dS53hNMfn2dLaK4xCslntFf0vkadbieLrs0Dc+xdIqd7WXLIZuZyIolPCVR5t/aTtruu7kCJ5RV
dMXFvVBuIcyll4KiOjVqrHCsrOuN1t2UdPIeJ7L5XoWJ7WOb8Txrg0UWKOlJ8IZuVpMeGyeNqb9B
tqC2xksKfmjxApa+SypOwCtGmutFva9Lta5ltMKlAiAVVX6PtpzJe08U7d6d4xamxgmv8lFx96+0
T4J99TFZKAbZRL5bPndiLOTFUC7BdKVifG8fdYZsZ839MO/9pEhtPEYiRloXAhay2/ruYPXejgHV
7iNOKGfTK1S2c4AlKDkXXCXweOsXYoAUzrk+dOQ2zqSDaOyDdC4j6pm+BqWYW6IgWKqz07zexXHK
iBNoqz2WXJBgOQOhgtWYZGGXx2uc2CeyHrZ26PUf7RyI79aOv+19q+m2VdQu13MHYA5Tr/1s8rE4
dNmQHTHohTu70MspXgaAXFrL8RF79XPQgduX2WmfQl2KbNeZbALMM3dRocPsYlmYfA67ddflrjg7
HNj3GPizY1ykQb0N/aE8D37YvMwowS+ecbiT3dLFaDOzntR4YPOemHqjbPhlTbIlaWLwEc9G/3Ge
HXG256F5HlZMXadRie10mPTWW8p52pgSAzxlI9W563PQYh2IDXdW8L4S3fhoO6O7d2u3efH7Ljva
Hsi2dchadl29cPKGxuk/ujmJPAao9mYIsgCvijc3L0Nch7jvBxBp7HkYFBt/4YxAtddUFDl8c7AX
9YUSCWalWspNDyrf+Jm3nOqUWKQoE1q4ijjqc7SGrpTis4NvgpVcd9UnSLzwytGktz0uzavEabuL
zAT1lUyYuI7AdURd87dNWE+PoUf+gvCeHcM1845CYH6FqHgKMtKTUNfLdyjdZNln4dI+FbJ6N81B
+3kYB9Ic209undrrN5VO5dbx+KO1tQKW9a1nL4I8CLOGjdFQXXFlhC7PznpUZzJZLpJC71qS1Gdf
zeNh7qpc4jihZmqcMjLSNWnIZpvECV+keo/RkJWhrI1tu8ZAnEB1vObY5rIQIVsVsEE+LZAYILQY
XRmYyyWR5nqeYDVet6E7k/qyvZV9mkfLXHsJmabojXr/mmnXgu1T6aDcSoeMVVVkH2XtZKfS4yIr
QxlejbH0t69pmZVYTIOnyCggepj6lUBZstAcCjxFW52m37twMdcLx63ezibhEtAzHESYwBrY7Vzc
qdabqw3AIwIfchWOTTC/UyNWuZQyRBRXbZfneWFENlobyTMet20TaaiPWEISJ4Xtb9uRkrUoZwvW
ECZ6X1Mpg1Oi8m/dQvr3XDR2B+Ew9R+HvIOJWbxCfcLpA0HhD1p9QaJx9709mIfa4pjHbleerTWp
Fb5HWCOTii9eM2QKNWxcDAEWmnqhXmFTuSTZaiHECYfHv+bNgUeGNhdwZnWTemfcmt9slBpgSmCx
fGXFJaV6G0vs69bMoIxaj5S8pkjjznbK+qptKEpSVLFehUOvPjVYj05On8BljCuNoyuR3k4eCHeb
2APB3XL7r00ZNc9z0oW7DgnsSgfE2UanTGHqqw5Pr2BBCqp79j2wdd9LYNGQc6bX/ay6NQz3cdNf
ln0JExRlAVij6Pj1aFDmMhNctOnKNmqVr7cAwPjZCdkS3jL2X0cVNy+pEye3wdiSrnfr/ik8gBeR
CO6f4cQr6/AKK8IIZiop6uKu0hPZu8c1ieTpfni9G7AFdBdjmKS3ASGffB/yarJ87zZILJ+rQkfh
lYqYYTy07gdNbRYykQdv0YBAKCLDNi9z50MrRb/JRhYygpg7m9KurxYx1le+y8Gp1jVIwUtPfY8V
+tBh6thVGuHR9ZLp0WjgCX6N8MpuSveDVdUEW+LYp6YP26dUlvEFeaPcvlIxKEDeOXTb+CKpU72j
eKWgmgiT8xZ4WRyScGaHNPNyGgdAZsXBPg5CwD41VNpujT01z6VrQQxquDqRxUC0AcAipNI7F1Jv
z2XP5nkNs3PAbJCxm0t82slHsincYcatVhyHg5UKSjG/60iWH9oAtGQt6BvbqZ+YTJvwlk6coyIS
3FpyasHWgr1m2fHdrOEp3HKuMlx8vrrQbQl5s4ZKTAyosYWguCt0i1XGWcUjq98LFXE/YBaCFaRq
wtnWQ2CuAzTvD0IF47egjufjwKtvalVwcLMI8Nfiq/7cVx2QQ/VLec5rDhmlnOktNVPP0+Qza0tg
iTNlGRyVqWAOhhJRr560+gQqySmZnA1CWmk3Ebhl9LMbbdkEWa2AE02DMzwyk9lNIwtuQqqzChcq
8/WfrwfTVDlXjOWM3Rdfc6dS4eed62WY382uZQ5VmmfHBqPZXmSeukiCtX5i8tnZXhtQvLr42XLd
ygUkrANzmHuqrrylkfu0J3F4JeiCvn32XDICvaIAMyugME6ZkXLZiRFTyVjm+jSiKS1dku6WlQEf
SGT3ox/wsKIZwwuqAZvNn+Gqs6LR3zl3RwZugODvO/gOo1Vq+JXybkRTtbkaTl4GObyVy+jfBnJw
98mg4wvjEdrSCPCNDXN+FyRNtc97X5wWwEES1+QutVAXvZjMZa1b9WkcPe92ytz5gZCwHP7ysugn
/3hZTA4UFNFPQ0ZvX5ba/SKY8AXggBeo5H0t701LLoaFM721RhIT2AqAqDORFBW4znY2VMZFAeZ5
yVuo1dfF/vNLvaoSv8+gQD3HrsdLYZ14q40kIzsZK1l/qipBqSzln/GuD0d1tWjqATqq43Zk78ve
CAE3EY+QbHnL6gbI8xvjTcVdjvJ9IUpJNIj95iu1PsH7UCbtnigLMLSwgWGS9K3dn9/8v2QqDi7H
dfUDzNOQJb+vPbUpRYNeOpwSy1UXcQRvA3MPelS56t6XK/m6CHwTEzHxGcdFuKt1TV44Dv5P7eVn
94l3P+brRxeFX209v7p8/l82FX35teXUb6rjqt3975aiNw1EfpE419/7qVVK+a+IA4yyyB7k4vqP
VomhFkeRG62ZKHVbMvxPOwxaO4FTAoEq9EPD/ClUOuG/IuFiQ4ocmGDUuOD/RqgUv5/Y9Yk0+ook
Z5byWoHb6fctVjp5Vzu68L+FTjyM0d5tvRaoZ7dTtjz62F+LF8/q6M5QK9Nj/RlcDH4Ujjex/Tmp
Ow/rcOPOlDxEqW/GHQ7IWp10VJX9delXrWU2TTH77WefQtKZUjApyxw8GASe8w3ZyYx3ZToH5Qso
so2/CE6ovElkplqxQfjH37f1Wh8BIHXATPUuKamUo8pG+1V15QRG8coJFQLm0q3wIHy3+qnhd35Z
0p9b/9eGIUjTv0Q1yhsRGj1cULQnYfkQr3+fo8CpsjGVafgt1k2dqxMtOEoPaD31XXBa+mSA/SQb
KLPvpR1nbvy3qLoe8/8EMJ4fEABwnghchHgu36qeGKJCzBsy+5o7XOnZdqBeUACqItdS+aGbddIN
O6ogEi/dWJ5Fddo77QmDm8LxFqnFxSDTuofaRJHsnBs4WsX3/jxHvyveKOZCIMqyhST1+eu2/H2O
5jSz0PeE9VXi+LDdXYLDN1CHMgQWoWp1g5TPBU1EhvOfn/tmbdbn4plE1fdfdeG3z0WzaoLGEvQf
Mew5iZmqLftPqRe7dULhXjZmt3VM179hk1K84sq/XM+/K+LrsAMvpIOUGyEw07vmze2c+FNm2XMq
vlpBGXC5+NqW/gsHyRrODbUg5U1mOY1zLQplxvuCqiM8uTT7K5mUP0/EP9+E2xWax19NB7RLeqPN
p9xWZY4Y+tWTmiN3MI5cUNn8TqNckAPHnnzu8K66ipwqCORzY5upi/YUYOGf/8uqYLH4dccG+BDw
Ofp+KPFkuv5r/51fQMsgMzs31NB9obdD7XfHRiFamr0VV32EBhl2M1vkz+N33kQyngnzwynhoArC
afhmApKIFi1RO1ifEQyDyiKJSdcDUaFt01Fw1DlC0DareuO2sA+uYCL8zE7H+6qVOQXqltPV91GV
VtRHKb/p3Ltqyur+859f83c4txo2hb22N/Id8Byn5U0sGSnNJdNb5s9zN3RsAoqgbNbHnrWgEJNM
YLLuW7dQ66EZdLN+ZG0y/mV9/jFZ+EYDTwqybwpeVjfH78c1VG4/mF42n+sSzxPlH0QvzOaTIZ32
L0XsE/f7ZOyKlyr3ayIqhv7O8U+hlVtTsVFUdb5GfpPyWzX5wnTpzUXbVH8JK87bbY3ZFo4W8yyd
hmwK9N/cT7PQdRvVi/jcx660ALdD35bjO7XQGYduAMooXs6ito7vNUZVjdmRPhjrXrdtfO5xM+TJ
tlr7MlxWqaqHmMJLW8a0l/Btq7yTtAdaKozf0UxIxDtpnPqCZhklf7VAO8DA8ef1f4PpiFQwlUBj
adN7U/ps1t9nnp1ZI4RM7XPgNz5uyRYpga2IhE0RxdZZ8yhAKG62NXqWdGhQlCqv4aR14pBvzXog
yTyMWvz9DHlvo7gL2sA6Rbrnwjz9Y1sU1GpUcdq0z23HKVJ70Rehd+06KYy06EfDdETxVC6PVYp2
EWzGtCOD2xLwtbxL1BJbp66CSHnsrLGXN2EmV4Aw08ikjKjf89flaXoRsYXMFPjTXdvlxfK4lLLQ
xcYuy/XSyph9Fqipo5QvCgzwyyNqwczaCT83fPSLnVAm0vq96A+SvhD8VjEnGQBDvT4e/dUyehM2
Mz1xNtRV2Lw5xY0rNhhafKkvcy9r1R6iqXMm2O5mGa66roi7TVlWnVttrSSu5hNVpDp5qsM69h4n
e3LYZEGYgDMmVSNQ/GVvvI2azD7OM2ziwsOGJpw3W4PC9TpxorZ8xpTaI+/NLtJwjxaWw+uLUWkC
xZ9349to5JIP2a7Dve0AM/7xxL6zqYuuhH4SpJVsRj16a/ijMQP18AeJ2Us+x7mg0Huj3XHok2uq
FwP26Z9fw307coQsfFDcFT4i75qp/X4oFhoCKSuS1WPl1dVAI5tm9K1vjUoV0QiFsXb2XUwvqndT
HyZEnDb1m2SfhIOLUB8GASQM7HmiLss4REwTXRmaTa+ptLwbQsvOtvDOc3PJJqIOerXWQsrRm8dZ
D3tqsw+bKcV1do7zYlhPPnYycety37eGplDQM9NfnHRv41pIy1YbuMGoGa0gJ/h9xIWM01rTWOQB
RwXOlj2dDeCD3WlZ960HyPJOqaNntu0M9cNHMrwiW0u265YWY67d+D6e5bqlXZUtVXeiNFCsIVJh
snIOqqS6J6N9gCk4dbGuVkzt4FjmdAaO4hj9ZRF/19Uoa/CpliA1kVCc1Oy/1dWUgMBt8tp9CIdU
cLYGBDBeAOM7htqf59i1MTk5hzid1yNOrFxDStcqLhordYDxzuyvX2roE1C8lFEe4F3R5ToPyuhG
3sQ46SA2U7EOEWpa9gf6J3Ti0KKYi35ruC8Y7l+G9gZlMrTIoU2gw1HBJA3e+321hrlwgnJszINI
pjVSDZ1iay3lkjVfBjssXFrBDQ3tOgIXr0dBqUTjsCCzrMrE7BdqGYfkEAlr1A+g1I7pQJMX7D4x
LUSTOrOg5Y6eLts1uo2EzVPmtpqwNoBIeGA2xDb/IseiQxcl7x5TMQxBauGyp1UYRyKl7IN//Zif
NRQWL3+ehDdnFFMpjlnuL4oEncj+B9R1NAZzI5VFaWbQEB1+wFs3DWcq18ks06T+W1h4cx2tj/QE
wN7mWrIlqOn3abdz9EHZzsGHfnTYIYOh+XJ25O5nfry89Rp/H2urmfuNLAUdB07lFNdAFoIes6S7
uRzeBbIPY7rBDHRKuiMLcae7jhbL3ACVxcGnWxUX1c9lSxSqEeZ1KF7OCqdoXY6kmNeFsPLM4SMy
eTTd2U3V8CZ+UXA3Ub655ql/nm2MIwzul6yPwa+XAEGC9hegoLeZDXCwR5iYzQcaCcBdb4axoC1O
rO04v6F03evMXqWdpONFhD+LQtuuU5m6sMtRzP6mBe1Ylwi+1E3TpiIQW6WbOfliZyWmjXhc6y6C
uim/enm5dHfVWgL9ohen1Lfe5Njzsguhef12q8CP/XjQ2g+nm05RM02DtQru9krYnRPt6rqjGVI+
D2MX4xEL1ZJvcBt2Hl0FafTBYZiWThtUNcvPvfwQuc7o3ctyMF6ytWdnxJLURhoZAvyGrYtOfwHI
bBsspV4W0lq2YnueC0P5r+qx5B6mKEjEzq+sefkAA+5mj6NXUusvvMF1tob8lJ5RMhn6aBdlrqat
gl8mJ2zNw041tl4u46i27aOjndQ9QIqHqb1vi6byHqi6pGnOQ9TY8/xhHma6m1n9AInKjRHQuqeT
sntA6U7oBtc2jZP276MZmv8YZ7Abh4XiVJrvQdoJFxdU99ot0anysP6auvQ1m3dsFaO+ReOgtb0t
St07+QlRVfnhjjzAL+UxrqxC3tBtwyqK4yTxSZXptzSk/yWzjOwb0ilpEc3Ell6cDi3qvZD2IO19
XXttG5xHmr6k5VXt4yhJ9vkESzxdaZhw+jjSdkSP/l1c4xs8y9yj3caBvUIXoE07LTbXetmHFNFT
/+xJhdYdd0tuzjrprRS7d1Zx22yLSHsE2KmlmuNTY1Ga25/ZHNqKqcsFtjg3Ywvqwn5qRDjLW/qq
BXwMP75o0ceE79kRWX23XZreU5+XUUXudJHLrk3ckzNbVoDXkerRMTjOde5U6H0UVHIv2r6VMZxE
0LFRvMwx3Qujbe5TwZbcGt3qNniXx1auS1oNCMttz8VoonC6lbnAWkd3hGhF1UE3+GnxGCRxbC2X
+ER7ZopedITsa6K2Sv1LS8SIYVdOpjKnfJfnOg/jvaaDYZ/sqbYTvDsha30lM1GCiiqapCZTO7ul
aQAs7GBbfv2JBhI1z6vooBI9jElIF4+O1JuZdcMx4wbZOjJd/wjvD2TZ4MBaMb2X9ox+26ZOTclY
nup1xkQ5FHw0PT5/OmoGa8j3ELHCYBvpoWEDLDV44zhEXcXPtT+GmiLGMn0qD/gfd0kf87QypYj5
HnV4XR6n9VLX/+iU9AZB9PHQY6lNpqUIS2HRJzb1vlGwH5FxdFkG0trq0DGryyxMMdKwgnihMUTk
NZ0PmS8rXZpjOi6eM1+HebC+csZKt8u9ZGfxBMG31OfYmtcNJjtrXXnfWHytjHCvYVyfKHnMuGJD
pXmHqe557PbneLoOjv4zhFvK1/y5beR94XsxbQc9HUEAYVpPqSDY/9w98dJH/Mkgt9bBxTSd40ON
7Jpu+xPjRj4OQf4ler+4FnbWWfc/pxpr9/rj/57kHz8HU+AW19TqVbyAU1vp9LnIZJt1x6ymBc18
rdyF/7eJTYITi9a3JOBJE238HwvVLNPAViPzHrvkXDuRif2NU6STkbdRNdLw7H5yq3KtHWzh2Dqq
yAUu7Q3G8BX0Yuxy+WIZJLb6HP2YwablBBHXfowpdTNyNFqn1VI7JzOGa3Zu/1jaH9uDOicMxXtJ
XScfflCug8fDmbJPE6dbH0NPT8kXTaPsIH1YrMwbB2rUUsGwsLCtG2kZzchbMsj1r9CHouf3EGEE
u6sf0vXVf0woUibtDHE0iMYL9pbt10V+XlykzvaYrCSSvdcZzT+mqyhPVuaj16xvNgWu+uzIpGb7
0LSgWgffTYDd2x4ue/2D7rR+eFMS8lHW9nocKgwLfNSjTFL9MJZJmdC7Ngn5u6kSTiJORY8nd7gU
P/ZKlvfREBx/TnlEdzReZ85EwR/hBmh4eN5m2BuPE55MaT+A3PIQVVBZFKlv7T6Jebifpw0p01DS
4u+M43FlblimdKR3Lm0f3B3FCCvRQ+tdrMeHArA4m4u1MHVuToPX2NSblCg7FJzHPVrPmQLkkZ9P
B9XzAWj0y5tKjfzX4PCQz75Nny2LfqHu/7B3Hs2NI+kW/S9vjwmYhFu8xSNBUpShvFrSBlFSVcMD
iQSQML/+HUjVpqonumP2s+mKmTIUSSDxmXvPDcoTfEZ8eJQ6Oa9upUmjnzxWuHQB8bys1/6IFYoh
8eS0yCNWVk4J8qiseMRWu8moQcoc3ZBH1fRiehPO231SNuAMz76Pk/O+TGHpDWlJv/s+iw5n8pnE
5uuZB+fjnmmboOQD6+KxiJcnJw2asX9snTEdvTNkYetbn8Kk4yNyJPJs3lGRjJ278xaWguzPlVg/
PmuS61WzqkX45XN+GnTFyN9GrbS+3x7sC78oLnD+POpll/+VlQtz5VDYRR1uGFnMXnXlAI/gT3iz
tfawGkYN19XnkGWxXDyoe/AbKraPSdwu/BvL5+gtpi1naoh+o2BEGVsFrW9V0TvVCFkZTLgXYEPW
+6kXY8YQHiVtz1EJ9hud2qmbOWnyPb3e+uENmbOOCmxMuMziQXkk/HUcb7zLl5HyLDbOxxhPNrZK
J1+HlM3A4+7KLxAB9beCMdYc76Y4N+Z0743SLTv4XIYFedhnCOS9igRrervhYQhCa7MYYuFdeUjD
+EArN14/c2Uri4vv85PM+4ZJtJOZmaNxI7tV7N8WyzAa94Cke6YKi2xD75XzluvLGOXCJ5ALc30P
sYQk1e5pL9cpFSKTdYDMfgcExqsXzmlrvYkJM9bJ81o5x/sVrdkbv46ZlaNv5onmlC5sdebfxhbS
kq+emEiORf9gJm2eJNsYIHo63Y0o9Zz2Kxpb3dovXRwwmjioYtAVLGZ76YqnRQy2QGLN0wEFQ29Z
DTWl77vhYAHjCqs8tLc4ZmYDJDqgHepPCGwf7+Tzu2xlzoAYeiJGDd7Wx3FTlno9/8I5WU8Tqv/1
5s26av0TKIX4zOLcXv8/18Ivz5mYzOsfjAFD8yfo3NfdRlbGkls5oVqMT0s/W3KXc6Oud2VYrb/z
/ZKlpuQkCl2WPawAPkbw63FqJEieZ+X4YGqUGdwMqZ+MwIbNmoG9mJc4tI+wbda7PDGWdRzYsSfi
F0FZ1h/bBf/FvTDZP5yYW64/eZGxaXz9/kKuCnmktVwqxv1nx1ZjRfELIPByELfF54FVfA4a28Ba
h9FG2a5DyE55SoB+TKq2idGMeINxD6NT8p5RveRcSpmdrGVcKiZew9fl+mMNHzec0RQ8R+CY4iam
lLHXNSPL6Wm9Jv14sYtsgw66rqpdmpfcjfvPD4Q58HroFYG3lliis4z8IrWd0g/+YfD1U0PPLIfz
gSvY5nBjxf7zWDnt2SEwr7YhmjUeP7WfJBN3A7Lz8tQaYr2DSs3gJd2AbFx/9n/o7n7s7daX99Zd
DcEx7rri/6mxVcMEj6DzGVV9Ho05M2B+CvoA7qS/f6mfBujcTZhZTV6LkRX/9da2/k+rmDEo2iCm
lPztGjFB8DfbFiYq4qyQnRUnMpI8fhmynG8YJL7gK/t+OP79z/LjCMHFELs6DUHNeauehZXmjz9L
rB2b8W2e3Ids1bzXDDMmR3TXBZiZANH98+f81xeEps/gwAtWZAeSlB9fsEgVyrwKqVQ71Two4FCG
PUjygmPu+53992/QWsd2fzTt6ztkdmu66N4C22Id9dML4uMSSd2X3t33EwOD6jq0nz1nXpG+ogPX
DAx4UbfD6Mw5VAtQea/Cgep5b3SL4Hn0Dz/Rj1c6PxGtVBDy8PJDFznnz2uxOTQNJE9Oe4cKdL2p
Ruo67vFpKHAF7bNAZ3wFqQBpb0ehw8OB0sLA2mpQ/Djgt7a6pbPfu5WzGnEmjpZ5y1Hf8se5P2Lr
lM0O/eR2/Nxnyc9j9u/fxM9fI1+cQK7vsjGxLCv4ecvKc7ft7cnQp7Qr1pNp+SiEZOfWAxwt2LZE
7vyu4bj5/L7+vPD/d6/nYi//iKTxsJj/eNn4E9UIDoLh9P2xNyUo5jYm0Ay32aguS/6j0RqiXsgw
MJe5MXDgib8cB84YM4nWWc7jZq2CKZLXbwOwCPdF3bXrA+Pv3+B6vvzpMuWCYP2EfR5RCpti5rU/
vsFxXqZM4Ug982tDFdDZqsp3Xj3FDfOfHXX807wAlEgbTg2dPvSTH1+qiu1qHhIvOfssRTRQKM6a
yYbS8E8r8O9SjD+9MWaFvBQKLqz9HCHomn98NdNkL4P+u0Msbptpt7PdaVUjDKawh+bXbqnZoW+b
DvV0F26qeKFb3PQgVKzqgqc1EpwECJZk8nNpC2YP5k0VuzhazvBMshM+YcssrAnSk83K6aVr24o2
CH2/qNtdVQ6L3QMswfRbRYFyGbVdOpPVON5N+LnPKzyaEec6rgH7TldFkuoQycygvQxEG+bZ0Tmj
0fDhk5VGLvkqvhcoKJDXy774LCuo0AMeFt7HMfbZahSjydE9ppXN0U1ruJYBo8ZUaJw18BDKU20P
/AFKLG/wT06HcYzy8bO2kSxHudsxu1kLNrSur6xlU3cqrLPIk6geh81vI4+WxyYc2c9C5uNSZbM2
8vkubbA+xP1WM1mityg8qNtBw0tWRGpQKSCOj7Nki1a1o59inl/m5aND2Qvvz5v7UMgj/jJjHQZ0
WjFnnT/7sHCcO4eYmWKoGLsygfHZMmzytA+aeGsMDULzatM6qIfsG3g70h93CQkdbvvgzqFemgf2
DetGixrQtL1T06NG9R4AanoiiRAhISfYp6q1QExWFkXnrzOtZxecux5pFa8YYaGI4GolD+O2DsO8
sHFKdgaODAkBYoLQ0+PJxYHRzHy3EQkRi4INBvS00VtKM8sNtrOY4/GyCLu+A8+MiDRbiS+BYi+a
pWZ3ECD9xzfPrIo5jWJBwY1AnRwf9VwzeTEAnH6u3L6fRS378MS7DEg6oOGoU2TaA1X0R53F4Hut
E+e6Xx86n5dG+VEN1n5Z0LKpEEUMylhleohvVZc0Pj+GXYAAHQu08w8c4k1wL6H1l3tYN5hh0yQB
HjNnbh7N2RgfMqGds8x0lmOlJn3GJKO58xWU/Cl00xM0wNJkZqzVQ8xFfSYSt8EEIOz0LVeyfAZY
0ERTSNwMLlKnP9DsMlKya/cikOZrU3A7IlP1LmFXEHwj0pRv1zQUQKaJUIsmG66XvOzNHVV5v0PW
7xCY0HnVeyqHe9sS8kIJI7modNfv3I4RNNoXLNANwPQ0HINbX6Yte32ZfcU7HEdlKhMUnnUduXHY
nhNTUe3nuGYLXEs8BNShcw2yufb3I//kMaAfe1NTMxxsOD1f27AoCTSy8IbOYe7uUwAy91Iwm8fc
YULmNZwmeRynJfhSGrVLKz9UD2Nggy20e/NcmGEKaNEwHByWLjbzvqu/dbkf3zI8zNAr9U741WLV
Qz9jSetO23ma7eVcGzurq/q7TgsGDhwFUTdPECA7NWP1rcYAJkUYp8Fzpu1wPqJAGN47W0AQbAbZ
0+ZkVUrkApF434Le9avIQMB6XoXIESJh9fntpJ2CPqlqLtyut1rAEWnzxcw7eTn5wrzoPLCKnJ3u
ukNN9Ih8fZiuTOKgjky/jXOMtqkdBZx+X61xdPBtLIGV0jZL4wUF8vitNQxQe5m1fOlIGYE3GEvk
g8vSceWmpSRYw2rUgMFmLKZzb0hacmIsmZ1my+cgpqXa6tEpnXOiS0t5rqZW7W052BduWU0bJr1P
7ji/m0McnwSGRVTIQx8xWjTxz0yV9iNgYc5OQMY4yVSol1lO1GQm6+2kI84DDUSx9bMEVJExOOIL
m2kyL+yyPjQMCja2WfW3WJ2K2y6FmL0t+j55hEjRPqtJgnTGEDRtY0vJfAM0umTjGjBz48ab0mUr
pmC8Ce0OImi96PxLXsllw5KneiIVsd1Iqa1bzMDBUdowmwdlxuciq8WXLvCmy5x5P2lfDFx50bhH
qGy0dKTAyr3AaGA1WUX4RRkUNREEVuoVN+/aG2/0wJnZrefhDln8sx6u2g06HbQdY6oeiemRBw3j
7ZBL7X1RTvw40ic/knOxBAdsPvMmJzfr28wHckh7fxh2lIHzfa9CN94ogcnEKpJ+Y6ao5MmJkIQr
hLDiEr8LH8O6D9/w6TkPuYqbN73o5Rue5DjSfmNfCYQFB5MnRdQCu7+nvjQ2LiSOS0N1xeuCpfjg
lFaMMotx8imdTcGzbOJEMvMsYB7kFt6Zz2JmK7s6PxTuoB7Rdjn8/No+t8za2ee4SV6Yy7U3YZ2q
M2suw/uqUssF1FAY3z5HLm1wlZ1qYfbnahDjTd3F6kGR6PXuFJrDwW5nXH1zxc3DTOvacvrhYlI+
5u5xchrmNkF9iD0CEmiPUVgy9giPiwHnDD+iul0wRDwGjE5e2iXoH3jgA3AH3Hm1WEaPhsnL9iWg
sks23BBGeihrEcYrAqRMtGj7JTGam4IR/E0yNbLdogwx92pcnbX9IBKa62W5VKEYLhAqFUwHquYh
cWDNcWZX0w46e3BmsfPbarmI60AnDpN5ZXw1YhsN2uXsiiUL12Qqat0IB1CFc6ZwHe33O7NRRdlv
SmB3lzBGkhumLOXJEHP9RP7MF/4O/LQ+s566igomH/z8NIU58ktXgkALG2m/DkY8YJtKR/MKqc/w
mNlatwdczY7YhqnlX0BjU8Ge0K46PK/SQEbscQkw0Oy7oyBcVojz0od6UzlxfWoM9v0Xs0EcCIA2
c+wVdiLNosealDVif2krqP7CuPXrMJNgCUig26WhVHd5kuHgZ+U7wzDOiiaLDFW7iBBjuDoHX3fd
cjcHoPLSw1p6mFHYTk3ZFHxqDWSA84KeXIHp8KlcINoNsb5iWpJ3WwdMzMPoL3h1wF94l8j1Yisa
LUrEi55GvH9yM7o/xTmiZL9aUs2kRlZ0pnvPP8fQZNb5A7lJsY1hc2rNcDi3OezMYyDYCBzacl7Z
orpzh/vQSAoADHZShtBEjTgpYYyLcLrPHFQzwBdFedvM5KscRhpN0gL91jYvxxDb2dZWzPGv/JLj
NEIgt0QA/7Lz3O6zrUeGH3la89Tl1+VsAF4juqyqzamKmNNUxarSkrZbXffQPoIeRl8O+JEBe9dw
PwSsN7eDhY9pJ6yhTC+LlO3spqoZ825x5kBThpTN4scf8uKszoTb7JLRHa8KPNVelE/ZdLY6wYMI
lFbqMxLLlQXnXEnWkZhqZoyibL+xuvQnww0n4jByglywiBTYiGdmdk+WNNRXHVKaOAAB7ANGIou0
CZ3aAyE53pQaUAi6VYo2wiH07mZDND6F2RDMWbnlJO35A41pEAr4ziHUBhiC8FDhM26tKSROz7eA
VUp7alz3yjK0NzyyzIXgm7eB+JJoTeBTmjwmqXxNQunmG9qE6n5E27GLg1gdTB4eBCMMnmL95RMh
MpOfoZxsgLyhoC20cpEbH5kmwMbKre5VXXqRUh5hQ0EmOF9Je3zvk3jZ+w05VW0yxVdsGGHCW1M3
ttHCw0bchJC8730ERISgaWY9XA9cMBv0cONXq5HFrWzrLth1MAkvu6Zu7gfAn8luAOVBVlJdJf7G
qCYwGU3eRnbdlntgBEQAFaaFwSVtLorYNa7sYhIXtmRp2SSkERFIlTSRbcfQVgd/OCyTjWcQ+2pZ
RWao224nLa85oR8ckS4qaCUh1n+y5ook3wqv03ITAkHAPYAgcjh2Hm9uNzPkvl/Iw/sas/duD9AS
SfHgphw3y1yoE095Hv6ZV5RRllNf8CPAJQqLbD9gnNoOtUyf8iyxXpm8QQcrrPDQmGG196Wf3xi5
qbZgxdNns64eSwjxbOlEvfdt4qGa0ca65Tog4h0zxspoO/G0idWUB9uM4eh5LG3edGIy4c5AuNHs
Otc5bcm5Hq3svYAX8FrEifVcWM54qdncRq5sm6PDyPiJ4TtWSs60SW6c3GyJjosd6lYOx/UiFO+i
WJvhua7Wp/Zkd2+NDoxsh22PRSjD5MY71m69MjdVNvXsmpbVcOSPuQWqjHNkA90hd6+IwbTf0jQl
yMMu+RmI7vDTYFvw724Zf3FNEEnhHitvsH3yOBFyKmqtIjmvZNP/IunaUsIsHMd85cE7qk1oBGQV
GX3hRb3MjbOsde3HVTeAt5zww002G/Ka2IH8bdCB5PFA57lvhhg1VBO7ziWrO3UhwTSWkAcoaS6n
bpBvhd1P4NgYM0Jz0uX03vcz9wo3JX3aIJliftVsrfSGjZyGC6Gdc4bU4DVHEMoU88hGvwkkpPG+
8tP+Qsz0bxuDcqSPyrg13J3RwlfYmot2n/quLF98CTGo6Jwugnrbmqdh9K17tmtBiCpoTT3x+jEt
DyNF1TmnXz3i8k6Bz7ZTSOmJisNoTk46WsZ2iFcl3lyZLtAGqXEYoEjhItqKFAeiKDTgHI9VSkX0
BmzLWO3WNhZI3AwFhJraqePlue6Guri2G2vsIrqKuOBIg4+xyK2yhqScD4ZJdIS49gYH/1lhtZnz
pUQ2apCzZgRTHu9ZmBWTeVWkjdeEW7rtSeAxXtKqI96LB647Ryn7qwBuAGpuMePDnOOquJiD2HaA
0ww0YPIGspvjORs4ZkM47NWA5e0Z4g6A0WjkVmGNghsHitlG44X0+n1CrVYfh3Qwql+7tpu0S8hd
kVX1zm3Ztd0D7WD3cpAIpSDCq1kYZg7mVhZ8D8JALkWy7TCwAwBMoXj730Ao+SafY5fXcxRKspqe
XbZM6f3nsNaQ68IBgtE6GrWteJIXRESvq3v0AusehPtw8b8mIjYnIibJHeF+a4H+ZC8DkTpGShAf
gy6DzjbOR49HBMdx/zRg+WyDy56CcjqZeWjOgrSYDpPggZxJm2+LR17e5G9OMNR6DfXoh7m+cAbe
3rLJGlQW3RbRC2iUe6d3ZebtPISqmXNuDkM7Nx9EeWoceoeE3CAZwN5BptdEBSqkKxsxF6W7DDkx
5zCjiArEIet9IiUkU1jNJDXbIqkaylHsknoSWbmTI4qbkNkBtLXLhdKPkFCj9GK2YDoO5bCxRBuK
nT/jjT+w96ueZDCUjwbqGsDMDeazjRi4d3aoTSpij9aYKNTvqSKP0etCwqUUOpVps6xxThiGhvlD
ZX+OZ1LfuKhjz5gDZ5cf+U3Ycoer3JrnaiedCrGWDlkES6O8z8Np9I8tJRxBQVDlSCiqxwIE7Jqu
1E+BHGvMObr4KheTPLVYCbACHs/RIfpIQeoyY5woEMg9ogKlQ4xz6boH5Qmi3eIqmN6MJQamtrGS
sbXuAjg8bjRmdf2uTBbYcIDICzIJ3tV0IyqHc085QYTXkLqF/poA7mPiQkVt19uPFB58Wjo29tWA
XP9xsNuQTFlTNM0OR22Hb7/xX0pdCrJL/NhOCL1Y7AwnOy7u7lQFnkneiOkO/TPSB2QTaFhR2W3R
dLSaAsmy0RUx3DoldN6AElrq8KuJhdu0YrS+J7YYSdcgZR9czBVo62SFdMOehy4KajdkJfV7JstC
sBmcF7R1Z60s23xLnIB4WxAscG38lrcypAuZrZacbma+bEBVcRDuPoJVQNVRFBS5TC4NjuHuleZy
TG/9vFJr1eXY2RkVjHeuYMRkbxyRznxwtMjvPkJNkEkmXxO1BpoEZFAjVyMiGKr/kk2bP8JMRlWm
vAVsbGyH/wgzmQo3vPvMMQnzZjxaDC1A96ON+WV0BD7Cj/SSWuQ58sTfokt6uzafvTW1JPTRIaaq
XFDod8u8wXI0nz5DSuyh05i6PvJJ4I+F+vgRTYJUfEEO+pc8Eln7s71nQ8Se1XQwFkaJdjRHr4Hf
Idv8+3SRBHobDmU3kT7BT6V8GCe/R3XcY6neoAbwv4eIVBTg13/OD6GmJv7DK+IQOUrRZuTZ6SBH
ecW45IZIWbvbLJ6U3q7QCOwi54/IEFgNHfHSP6SF2HE3bcfenV98TgsN7q5WMvpTFkhvuASYfuaA
VHZz5ZQxIdtpWfjIhP5N2sdkyO4GrR6xOllgf8EVM9TsGXwiDP4a80HoTh/vhjQLSs7fn2I+jDiV
04nJVeEwDGjIxvyI8shCFA8wqkjxaFCYwH8f3ZmmILRxNbSx6Va7Ckf4QwFoEGYNuSlbTX1O6oRq
g/Vz867J+GAM7dhNfPoI3mhRWQAiHcoXp6uaZ9U3sLyzmtkjikqEUsRtCADjLwnocmJdusnYfiRs
AFQCQsXc5bVOyGknH1jDuckK/7ofwED3bovXY43SYC7gnxmxGTwxMc58WCuJ9wYAwNlNwLfutPo9
JSPXARCruTYrpDM1Ix6/64KzzgENRCyjQeFUZeF0+FMcBgSvLlJFJwAMOi6Qw99TMKp8tJ6JQJ2e
w7gHWNsNJtZJt9hVQRmDYCfeQriifwwo9w+WiK23BgX6s8lfcYEsfc+swHMTXE0s+Q+QzT/jKhAo
9zdyMOd4E/SNaSERWm4IziioaCxiMngeEEcxBJ0TBT7iFP725dja6pecYUcUTDQqbZMBSJxSq3ky
glLc5ymY0K1gqn+UEnRSs0FpWTgOmEam/2pHDppoFYAdylkdsQPHxfRMRwu/4E6JjjyO6z5PW055
gKirNkm1+J8RCUwAmlp2DSwcm2sxI6WZD6ONV8OOnAbMUXo0h5UUdETIPfePcTaN7rtbA7EnLAu0
qyDoSpm9EQWaWGrF4VWgZmGnhT4iD63MMyOEd9ZC2Qi1L9uqwlPmdBzmiSkmgN7J3QtwJsGrV4Nf
7TctObwTDDooEqYbUeehUyCvxUsSBC0CjRVyZMp4VFUzXmhuGmTs5B3POpXNN7M14BlFLDQR6oGX
HeciZWOZkXPQRzIh5cbecg22rEHID1rM9lZDVKKFgRboKfXUBGOs84hFbEDfh2Uom/JTTjLm0EDg
9wLPAsHjDF37NhCtYs0k5CQEu7LXFZRkIF5SToazGJtkDqDUmNd3IrzEDMtDmkzaJ03HSBbb3WRx
UPB7aOF9b7ow+o6G+QJIEQGi28kEp6T3f790/Mn6xvIPA3WIV5YlJzI9hA8/Ludqk54jn2T4bua4
SL5vvW2vcFk/KadKUHuOgQZYbFYAaklKUyVGpE3JHqXb9mQI+I/5x6Lr73+uH7e9/Fg+e3rsqiH7
V1Tgqwf/zwqJzJ2xJkHH+lo0cvU2Eey+Cj+qIiy5EI2Gddk/rF9/3Mmvr7hG54hV5cBiHj/oj6/I
0DDoTfwS36rPV9Sfqho4o4rVfOenYkAEp80JUGia5SwrP7+K/9IcwIp++9//+fK1Aq6Vdb3K3vs/
0xwsvmaW+b9rAf4SEXMBwWF4L+Z/85e+wxwCC5gDFIBVOOSiKfkdOx+E/0L3IURoI5uBI746O//g
zoMQCy2ue640hCGIdNgl9+n//o/jAatHx8tQnMU/C0HvP8E5WH9Z7Num5dnAV5wVFWD/TGinoUsV
ISLJuQbnkG4dgPe3o5Use3y0/SFjOH+uzbecUvsoWyHGDQdoeKcb3Z9hmtYHp7Xag9mD3voHP4tr
/yhEcrnveXOuGbBntQXzw59us6lzZ7ewA+/oa1c212FYmNcB3QY/gxG7YAiH5j6zhIFZHSdJn5Dh
ZkjdbRlNDfHXoK6t2459akvRO/uV/8sijeSEABE0OYp5Ut0YfHhqh+tt2S/aM4KodHPbvK4YQ3QG
nM7eCM5WkWokCFwhYxiviygmcqL8Qj2ms07OGoSz+bgN3bK9Az1awntFj1ZtgFuH54GCwtXYc76b
VPjQBnhfBwCugXOzWAwGGXrzyFAtOt6QmNxkMzCpf6sYFtyxlCXrTQuWQtBZ8d1vAiofa69jsuHO
CbcmaBesPRM+CInitm67qBiTcV+r+GmKE+OAA1adtyTkHYbB6d5xrSsE4+4UeXl3YSXNOUL47sGv
s+nGCqf54LPyumADoc8RzRhR5pP6wzA/9064eebLOkn3DIzgaKSEB90xt3kxnZxaOCMhFuZrma5I
bUmlPDCuNZLGuF2GIpwYLswdgm09XSb+cm8yrbhWdBubaQlJ3eTpZCX7oDDEm+oqyMEy7RAMsWag
GQaMeIdRTt7hqSeciFDpG5f2PdVbBxj4lVOXnfOYJ4TOraS762VpacRie9+G5fgwmyYZHalTHydP
ugcsuvVe+n1abAH/Dlskgx72B59YSieWcO1DuiWerLvJlM1RLP24tdrEu+VTby8IQVzXyaV5nuDj
OA/Rk56jYiiTKK7N8ln2VvcAUiL/tR2x8G+LwZD3PKyXk1Pb06WjTUYO1Kqgf3s0HzTGSG11vy2B
KezsrOm9DZ+7IGcJ8+ZGFjL9UnDZU8mqadtzpW0Ahox3pq/HE9QRfeGO3bAD0xceBBSiHSkONYPv
DEEc6tK7tK/UHiC+jQAe0wOs9cqP9wDYunm7tMJ7dvlHCFktjQ393rBzYex9sZM8ZVg+z9/IIYqv
2ioVVHSTOhMQ68Yt/DjvpbPnBSUrdokjWvpcRTR7c8rcfmWVaTAR+cZ3qWvZgFU+w/SwhW8Md2KO
Vl09uY9dbDy4U0dCnDDK/hhOyrpgBo4lb+JzPGp/UdAVLfYCCXOjiykd+fTEELMF1TmMKp3uGYcz
MwfyK96rUYweUtpRPSyjhOCLZYaPb2kLwokYeTlNGG/XcG3uLhQXAva1iDUGqdKB3N2HI4sfM3MP
fsGslFSZR7zjy5uvlwmHYCeOoZc3G3KtwyqSFvM8TsLxRaeQKDYy8GBoVQm501GRqSIEF1yPcGug
u7zW7NKHCBTfRBgV0jR9cqBHHydrQaNbUSQRNUXJXV2CIelZZc+sQRuiidyIcFxaizwOymsXjSlj
tCyxr7tSjLee0hYdYJ3qiTaiK68FNwYVb8DQcWyw+e5pfkmwk2oho53jAHRBWGabIS6rp7iv27ts
cHpAp6XtXMUoky6Ntm+6iObbvM6CvHlgv2qUkTVkIjIbft/jGg13NPHpuV5cdTUyh7pZvXGPsrLq
B2Ck1jaZhyqqJFn2HM8cvqRfFe950hOJA9K/LpAzKO+my+bSeJYOTostG5Pwznagne7YpSZ8KRLJ
8F6YVfhNAaY6p5UYXxI60a2eLX1n9bo9Y5UZLeCIybgemvSMWSd8vb5NxUUa6nzvj1rdM4fHRRgz
r7q1EMb+0ugqu/Mp162zDtHKjRB43YBV9AXeZz/tXskDQhYkLGQbBzWTAR17Q/ElJVSMkCZr0ld9
UOEUT6xxHeE4AZFdxdyDJJt6o4hc3fFyZdLrXznfwztSHMd9i3H01TPQeGwTQg8uBWfzPp+d/Khw
cOzakZQqzobpiMspfl6DxPkPFx3nPDc5bRHLM3bYzGCX1Niy5mTwlLutfwk6O0w2jCNSiAed1Z4z
OMviIx3KcNEjG/742s6MgHWlqZhiDg5vUlv+rku999wxx2gMBAmr7eQ8ZVaPcEr6/g0Vq8WrVu/I
l8Dzh27hXNPnX+YxR//ilpcJ019CK5pj6A8EYLhM2BKromcya7mTUuSn2W38g2gMyV9gnXNNYjff
6ZgF48kd2H7YbNUitCP2ZqAZ3mSBabziRW9vle1MF8JtBWkP5Mu+4KbW79oBOF5gCopU1UyHtS55
K42ieecqdfFrwV3m6Mh9HewQ06RsprRGMh846sIJWmY4II5wrVrd4ovdMBuwp8ZKhc5+VsaqIVoG
88nL+77etV5bvIneB+M+hzVpTolIyGvKOwYAm77sUYUQSTB+YQlWLgcJYphJvjYJtOywAVLC8XWl
XwyR62vDFMXdbOIqm2L3kOdo33cAR/1lW7Nku+qykVxrBN32dVzU4kiJ1bwy8u33PVPxqMH2RzsL
+qbhZsnrV4fpAv9mpr/aKEZIA4Giy0NUVVcQmKzLjuOMu6hjNJIsmjUwdRdwmpKBCxeIbxdfsAW/
dBg/0Kyg59yOeSjPmeYZaxZ7YIiNM09xuiVBYax3RtNWd2Nq9qcmz+db4VnZ/VRq04m8ziLERcGr
3A9dd5eEIw9rN3CvoCiQa9xwi11mtme5ERQUttyEvCLbcSuyjkn01RFdt/+O9q59o22XmpWIQZyZ
6Ma1wHRttatyYgdna+nFRjFnOAa5t0Zes/i87CtzEQwKy8HGAbz4zDXzHFS0tSCwGTlHoPnjdFgj
UHIFddifDRpiUYnDwEP/lrsWy43JNQAsn9Cfc50rngQiy8CMsabE5TGNcRrzaBXUXxjNgnvoyCJq
Wt+AZZ3P3kVAqAhhBoSXHYIG/NiVSudi2nK0VycCw6YnOHvtHXs7/7UlNPXQeInqN8yXjXdB7vR5
gNu9PrQdmG6wIJVJwLq18Mho/XQ4ZEy5bmwiOqvzQGbhdTL48lf8xSLblmZiHpn/I4irG03EooNb
jniYNnX6C488NSLMP3qV/7Z1/9TWQd/6u67u/yiQmxpR9h98Puvjr3zv6WjISBNDf01LDosDp8Tv
XZ1liX8FlvA+Nf2h6eFZ+K2r8/+FWtuEekHy1vo7/Ay/dXXA+9DVsniA2gg7IvhPmjrc+swD/qRq
Ztji8nOtYaQmP89fXAVVy4RxKrwRg61EO+sxie+rst4EBNWYF43UAcSavPV7cKUFDtLK/AUFKJOi
opZV92BXol8USjQHp3KpEGISAepr+DfBPThk2XngkPI6s4atHCdW4oJusWINFc5ntIqjwWKDM6LS
R/ZSVaepXZgY9/KqLmfQ61pnQQcHmrLNZb5z3hiVNo9khM8EH8bxQ+60Esmr92xwxh8ocPzV+I85
3815PlUMwqp8GnhQUyc/pF62kKaTYk4j2IA4IjyLlC4ji9eR6ndJoA+U3nS3sFb8YhIhUsDJ6vQV
PRHrVjvtSetUesggIDvEnB+IGyoPkwYIE7lhkx29Kmn9Uxj2Ot92swlNwjAYJXty7g89BwVZnyv7
Ka1EcSZjNe7zheOfZUzNP8yigsj4Ssf62nbj+qUfZ+tuBK6nD02fY5jvOk1kNVIUImoSnj5AmxU5
yK1+xuc4PxFQ6XtblbSUDVODAYk1mMsbZYU52M/w29r/Z+/MluNGsi37L/2OMsyD2e37EIiZY5AU
KekFRoki5tHhABxf3wvMrOpUSJfszOeuMitTVoqMAODw4Zy918aqbxQ7YXKQtY182AAZZQsjjO5y
hDewSGJROIPLgDib5qNzcCPhPQaZmi7NfgzELs3stt8mokOiPDDU18BXlH5q3XxjspMjibMvIqjL
zsRGhUQv3G5ZpoXOgDByBV6uq9e6pJaJzqOEdRyxPMSD9LfmOI6bsc/qkDLdEJOW1pOvSlef/GpD
FOOrF6X684yhZ5s7vI3bnGSwDR429VyCsjS32NKdnayn5t6ouuQCEELxuUbyznI5GGPIWb6H3pHE
+trsvBuMl91aEiq7QceF25yipsGgMSZjIBWmaLec1qdN4nXBzeS0iA6jToaS2uwxCcgAX9VWmcOY
sFhjnEQWL3qm1QecR+ahL1G8QuqMvvI2oKeELxB8i8qBdHUl+iHfxX1rPkRFKg8jZ60tQgro90EV
iXt6L9/1EcrroEjIhuMGwJ43ID3UHr1QpJjTwNnB9Y3L0i3sY544/hc8N+ZuYOcWsZ+eDXJ6BxIY
BPFB1lpE7QMq4+669fX5G/sUwK1trB5l2pSkDeASCDVND7JVo9GFGBpN3Kh6qq5bByDBqmeVX5Ky
0yhkp+6vDTIfPrlx269GLagOyODip75dJLFsJ4q73G7MUIA836Ep2vU1NojOi2y5wu+qn5yklaHC
9hBs68o2IWc5kRFdvHWvpdM3N92SSASEsvhRGbk6tAFIvWkxxQyTCkjR7L9nOocNDOBj6KBd2i/M
A8Qt5vM0qidct/D18ziY1sFgeh2YdAtbRQHIiZAV6d6OAlEbH4vpVqruj2rr/18VP1oVDX1x2P3P
xc5tUSOl+nlZ/ONn/l3r1P/Fr9DxqvHq48r/axS29y+GrussGFqWT8tj8fv3umiwLrK+whPDtAW8
mCLln+uiaf/LMfEcsTRCtzHJ0P47C+NSMfzLskg3AUKuZRt4dvkjZs6fy+jxOOkkvddyz8kkpgST
B3jpsRoEl7bEYE8Bo6sA5UOmINCFTu5f7tXtH5/zjknM0QGVgebl/tAgg3J5Vs9EkjTjMJn63SjN
AfUFqcdGahZrDjbl/h98FJsAnaYBBexzV1NnZYNhlE6/s5e4gsI0oC0I0ijYfLT/4Kq4lYHlYkpz
f9lqzAauWEW2Bx4d8lMma27XXY/OvZ+8jyCUZ7uatxsI3YktFIcEi23Uz49vGiAaFQ43MEijgNO8
eUL34r5Og7smIIMdSm3hRYyWGGSEGR/Uo88K5X9++ALaYxQbv2AY+4lIQ6vpe/o7trvCrJ5sKnQ0
f89IyKc4bNlgvEFzorN0blwUsW+JoY3kDpm2i6HZrJDkOFPrDZusKZng3x8nP/eVnLePW4yEJvZ/
hsl5X4l9hkkZoCfjTXFOTfLuBx7cVz+uyxU22AsXSc0fcyvY798H3f56G9n4EUZOeZ/+hX7ulIyS
POPIjiMm00mZACdR8LDI4Hn/upbG4F9e9LfrMmmgUE/T2bdbzDV/7dBRNeT43OZyZ1EmX1madgm2
6UbR/6BTWTofXNPv7uJfP+2sTUnnFssJVLWdj7ZzFWGtiAdysZulYF6zcySGPf/2/gWaxm+ucOH3
0oIEcUEB4ecrVAn2MWReGKIS176xa7t4jLGwHNAF+ntsbjlbgzuPjUfYFsQfuUDnjkgl9zLu6t1A
Ah1yXtbPbvSa79NkaQcFzXplUqO+Xxxp6EDJw8uB1b//vc/7TcuToX/p0XRyFo/n+YjzReyaNT3z
XQo6MqcUPObeapqcYYOvaWEp4B/CCEhWDXdvQ1aF/ZXD/HSL6qq55rwCCryJgxuOJvEH74Lzm6FJ
wheZCbzhMKzM5d//xfieBUBFKXz1OwQEGzNKnHXaoThC5N1vID6JT6BekMqPLq6LupirI37P7pJk
0SFfl1M/oFarVrlNrl2L1mNlGYTDkX8EkNeM1UUsze7adGftMOcj2FHESGsEA/DSsMY8yjHVHnvE
2GFgpVCfbM3bWgit2JN3/oZt8LHPKY8jdpNhHznEIRVwLu38kxx9cZ3byqJKORNBZUnkUlp/UwcE
g7Q0crCroTiZSI+71JEwPmldO+yyKtcWksZrrqy7HjUByqk434P97m/4zdUf3eP/8aX/9QUBnsDG
gLeeNZhC1M93FsWoQ2NoeegiudZymUCD0g8EsT/Imf6LlHgL3x9nv/1Eh8kauSGs73MCetBNA/Lp
vN91UYSIzN5wHPgeVPZlZ1U2WnT38/uft0woP084nLiZbbAfLvyA8zaqiIMB6LHsd5nCDmAO9niI
aZBsfLP7iC356zD1HZ+WKGibQEdxezZMY0m25jjUrIKoVy5qrTUOpHR6H9zA334KtH+2KRY1ufNH
BgJBK3uwKzsN6UtH6SrQ9hw2/Nv379uZxGNZgbgan0YIu0WEeM7Z0MhTjWZow0GUIly9Jkgs27pT
GVOCBJlnc1hlS8HA1z0rPnb+U2fGu9rO04+mJeo1vzw/tjC0gw3HomRyZuBv2xpv0+Bhrp0KbzPS
RNxGY9Zv7bFP/dCCBH4wKhwenV7/KOrRuyOdYCQZVR+uYEVbR0zqH+FRrd9+p8DXoVjTCv/FCO8r
RpFypFhcDT167cJ3vrGg3lJIrWjO6mRBDdOTB2z5u1gQSEMc4o5M1tgpUc7GYmvqol6jh/UWm9lY
rjxTNmHCB+4mToT4VGPjh6oMg5fEu/cs+jgANNe0MJ4oQnZ7Y3D0S43ywn6u62dv0O9dxQfhwFnK
PoH4KJL+10XbdzkH2MgaHIQN57APB6c+wmuGQpsVT1WE1YqEOW3GdlHPjvXBDsH87d31KLehKws4
EZwt2rGtaYgRLbFD5lcd9M7ZBDrSApqo7XUkGhkmONy+FA4TJXQbdSMXzRSYeqAXflWvvar4AZ5p
uM79aT3P41eZob1p0765V6DtVk2fOnsHrtixUhjh9P6jrdvvLwDwNmAUgOxoUH+eVLGMBqXyR4Zs
ou7izmu2crTjTwlrBEYhL1tHwtDD0nN79gNdeYS8/uyn3gOUnuAgmygKUTgPm4SEpVM9e/WDb88/
ZqpUR8tPgu3YxGo95pnGStwXwPza5oMF95x98vbucxz8zxWcvfsjea+I45TYKS2LjxGaAOSVU7XO
NH3dpx1LqMTZlGX6warJ/xINyuj3p5/fTNsuOxJOnnBq2SuenSgEHveqY9LZNXH1GqQ+1GGD5GIb
fcIH4235TWcLBJ8EVSYgUAho99lwa6NYNl7kcK1d/IDnJ34Co4qpvVScJiAuo+XQkaAcYUx/xO74
zVroYphfEDosTGy8fx4ofZy2OJYAB0hPfYl6/3by2gVQ+lp4/TeOvO76/Zv6tvf85VrR8/gGakMk
PGfPFf+FmNKUiYtjeHUnLfY9KrLWiv51CL/4hx6VD3VaTOtYNWxubD8NBxF3a7K+P3i+v51SoNKz
soD30M+X5VT2g4M3UuxGv+7XeuO5ZBCibachGIdOkr2+f+W/WTSJVaGQTwEfSMv5nOLCe4hL4PI7
pbppFwPgh3zoJx+cEX97fw0qGYwkbq/tn+0AMoGCB3SB2HFGhvk4TDgyKsSbbuRrh1FgdowHXBIQ
SovNGJGpSzWg2EyDdjGjIv/gLf71UO67BqdCDuU2KrbzWXtU0pmh7PBlBjALSezFW9HNWHhVHMYl
HqhGlNUuWcQOdS71D14r43dvMLshbjb7dt8+H2s9lkTTqvRuB8Y3+dZ4neYgqor7G5EaTrkC94uR
nb4ishNNBURiDm5bOGs9a9DY0CdBEjRCVL0aEgvHmNn30gihWIiX90fGb74mBB3bC0D36L9iZtLM
EE3bee2un6PyFU2Vd0LOUWKnc/V/9FkMD4JjeMF+mWqaigz6xrfbnWOm3QkdoUtQsRddAGqltPef
6t/tH6/0+xUtdNfgjpg5PXZv5/rcRPNT5RAEv3OnCNWRPQ8bW7TBhhNK+sGD/s0kxm6XsghbRPS3
5+dGE4liVksuKrV0lFd91dzTmCHIUQeSggHZXtk1lIq/fX2YnZAgQ1wzECGcTdpxrAMkSJx2p0xy
TtHPjas0K811p5vig49CO/zrCsFaqAeIRT1w+Oc7bh8jnYxn1JQ0VXSyFJSCvZEm9jiDro4qkjY7
Ya5d9uQFpoBhJEK+B6SxmUHclKfSd3i5UmQ2wSESqng0m6FICOjNfcgYBc7QVR+1yTNBWNpVDuxO
bOOkIFBSwPXF+cYlWaHn1r5Pxd0ZjS0kTTI8HC0Jdqmio7WB84bciIBm4wE/6GysC3tyzC245cnd
WGj3zM9oydLyhwveiJ4F/lc3QcYFImLxT3TJJ1HUhlpiZgPQEKlRAg7UG+NYztOk7YTMB3HtlJX0
r2wcdNEJFUJRbflnbdyWI4yHaSXtIAcLmA92fOV7FVoRifQH3KjTFvcD1vbo2FVavQf+TmKuijsT
U2qSPpa4lvCXSbvODl5M6HToS6ilW5WnKt6UMFK6y2zgOInHPWhGGmpiDPI1+niF3hMzpH5RaiLS
qTsQpL5uSmfZYqf0X589ABBq5UX9FM4+aNJ7kiY1j/aeyNTtGHnDPU72rt+AIgi8OzjwPk5qulHy
wDZr2rb+FKRbG+8IcJQmnucQxkmwqxbNyqaIlvIflKOABB3h+J9wQxQhwd+1hR82GQyQa42zL315
os67lehkn/AdF58LzdfveqC+q4hW6Z5A62JJ8ryRhdoiD9tOJErfoVRbDTC9N/lM8CkR5COAtrzc
xnI4WoMaQ7MRz1kORBQ1D62mbLK2GDxfbEsbN0OlxOLJ9XYuNu1NYKfuzg7mesWebgaSEcQXwm6m
b15PG9aWCtmeNzzPrevsB2vpJU6KNKXiUUeJ6QIMvXWCsttA4Uhvc6ByodRT48Ivi+TKGnke7Gfx
PqbIW2fL2TmacUpTWpoJcpYDMYd5OGW5ZFMhPMKLbcR0wptPmDIObW/3q3TG/JLO+Q3m2HAa7e6Y
TxMQKj1H8tmDuc3wNoe5lwP1shJM8al/G/n2Xakl08YY/WQ7z90cKq2X68iEGzBzgLmDqtB8rXyh
X1aJ569V37rrSe+7V1drq1Drh2btU7DeeXXtHLoCQ+YSlnpA2Woe4Ar7xLgPR9OYtoj5Dbqg6nOp
y/ZzlUZ7z7HvITN/dqao2ow6rrBORp9LHNmo4PLSPwzSq7aDBpII/t5DHvhLVC2h4tCj/Y2+RPdC
Fp6RswT44Tg93sGpHm7buPPvcPOyLlriEhe1tyomGF5KAyTUjs3et/p0D8+03FelP7zaopcrIE6Y
t9f5kPazCmXdEq7E0dzUuxgCfxqAKanhRq9MBs9TaerWtPZaTpMspkwSWSzHLw33/pqohJTySIQK
ITcw6JBzodV9jQVx9i/4A/JEXohN5JiOEpe+QtAsvuDV9gQOajOyR7Irhdl90QxrSxq7T2a8yXfe
eZpZf588OpV7Ky9MuS79Di+yqg2ywTXN7bNV7vn4yFDcOtqR8qwuKNK26b7ruFOrPq+K9Yzc7yGh
qn9rFhnt3LLK08MIYR6BbNpeG2gtt3U6oNbD2zwdk1ToELgi9pPUdxcFsV5cNKzn33vyZtxNoTCA
ZqOTWpcTwUH3ZIJGrwHFfRmyXpYcD6NBX8/Knz7RZypfO3SQJIKUwviKaaVbc1B3boLKbL7gjBvX
IhFq17NjefCVnX0ZEAYxGItpU/dme5yXRJd0Ql5m4np8ogpHGyQTpC/3g2QkJFbQfgbd335vGzvf
5pPWfvZaTJxAdnpygiayrVM8rE9O3dKh9uqRoObIKfu1nAUvBzIwZM0I3daxi+4qY8N1kC3RrB4l
5A21iaDb5pybyj1YAP5+jw34sY2WJHXfSQ3iJuIxSsFm4DoOS1qDBJonxTIGtfEYE0Rxr5cJUiyv
k+YW3majPVaBzSV6TR4kF7E581XdfHgczEmOV1D4Y0SrpJiSQzdf1T0UGjux+a1Wk+5sdOP3Q2+S
aM2mpz26TZLcZKMgxprG5IbCmXODWqt1QbCV6P4lsc3kXGBww4QT3xRFMwCPdxLnhpeIHNyIp0sR
nsjZMoB/miTNt26IO2zPnfEgUu43uniFNxsVtA9Ofa+h27jQGJqnxumWGEtOmMAUZuS5eUvoMHc2
3TsT2dyuJpHfdyTFNgYB3fMgSFlXTfd5SLivs+e132sjhlUw4xwA5gFH5AjAQu1k0IuXYBTOjT23
GiFsdRDfTOnC1xpdlBAvBEDaPm5bE88sBP0RKNKlwbLcrEG8xKGGIJp8oCpBi+NLGYkVMRfGQ2Mo
5wZgZfSpcZP42nVk/dWN3XzdYxUGEoKd2lgNPvtVR1pLnLCPYBfk1DrW5HDRlVw8cqnpE5FvzItx
lO6thp9udC2+kUHrElHuk8ewqnSfjoXVFghjIzzdiLHzbI06JTomZc9fAGHvr+J4LPp1Nje1XKGN
byi0VOJJKYrWOM3EixfbThhFqjgYXb+McokwgJ6L6dzDKxse7bonr36s+ZKFo+d3ft81z1aWuPda
MLfw+KoxuQH/TUq0sKvuc9HO063vCvmoNwTWp8vjNrvIv3Qy8trbJbndyEmOJntTB2mj1cmNLbhr
fpaoW530sFd9rtOdNtnEFVO0j+7MMrMPrZ5Ul6418hvrOb/jdDB9IpZQvMzjYGvHuaMkvtEQyb56
pPZhKZfIMlZU3QRMOVcbq9DVaq9iJp9LLUw1Qq7thCPXqpGiVYdyGOAEJZKRNGuIzteUERlpzFnJ
TZFntQGlcK5vEZdSxMUxwrPWyS8BvWXVxJIHon+tfY0z06CXWKrLsX3V6sx4tONmXA+jMH64QyZl
yKvXnpgtZgTPgCZD16xUHnaZI38QTUFgdjR4jP2m4ba4rORip4+50a3IETMeZrPQ7oJeZzbz3OHH
1PjtiRATCv+t2Vz3hJt/gVLRnozej2+AzBIBFUgfu5ZvHZjHAqgYPu83LKT+qUXIqZ86zRfM8XVe
Ooda1dw8JHdXnImjbSOjjknMNT0qe71FBkxk+V9n4ffXUdnEuwFE5t6GwHVoWTYvrc7O0bR4cXrr
2qLZNpUtPoHqgKUzJ699XPN/iaZp1tHQWN8QYmP9bIo5bGwFzcaCl+QMlrszuF8rOpr2Gi8B72Fv
leqObJDplk0Inm50YI94fOyw0Op7zPhXA/onepF6ylkGDs8ogwyOtH/EuDocs7Lp+NjcvdHH0rhO
vJJ5w5ppr+updjW5UFQq5UT3bmQiz55SGTPplvPKqGg2toajH+ABHgelwN7wbl7p8dhh4vGqY5xU
4CbJWthOAe0/inzPAVqeA9E+011eD9YLCINjm+oGU5rP/1ii3VRQAsKpty+mKbOf2G9jZibu4Bs5
IvSZauRj1D4PbVR7dMsSNqRDVqsnnyS8O71CGU94w96ti3YdjFoar9K23kMGeKYKXH4BmQT/wau5
SaYGejFzOeGEnlJ2siBRxCHX0M8CXtBv8tJutkJKwPqRBFhQmOWJP3gU5bGWyFZzmeqC+E7C24VX
EXm3Ug+QJXOOgcIQ2c9BGriPruiLfZp6j1OmlzuK5kSz62zl8GCjwq7TMblKiTYOa8M8RNZsfEv0
aNyC19F3pAWRcoSVYj0OvIxI19FO5ZQKY4VqmM2F/ZTZDj7uqd7yOjEB1xmn09htg93iT3mFgWM+
TY1NpG4ZzKgWSvsBjEkWTuxht5jPlksTxaPheN5JkU62xWkwEUDDvnAFaZMEDUjDP2ZaTWbYxH16
3WYMg7QiuAJzd4WguWlUsrJLcGNTk3UhJe5VMPdmKD2XDb0dwxBUU37EsbLvc6CqK8fWLmuVTadZ
N5/6VCu3vIp4i+dskYs6bMg8eV3aTvSpyGu2GfawzZkCEZn5fXrn6928BkbkXwiVLkCMZJM4RY6x
oHNuStw9dZiMgUFZvZgPStXDletoLDulr+W8cG51bOIJmFhmJTWpMzOxVWQxcCyFZ8trRA9tuMLo
nn0uTdvdEZBaseRMEELbmXxRCOTadBsA2blUtDQ41XkDACRJRuQxGFP9jnj3Y5d50z7CcTWQD3FV
8JQvRLUI2u26oDk69gBERX9J3ZcQKJEteULB54CeKeec566uZFgmzgwAHZJV5lWJvxqG3vg8Kbs7
1Kb3zZjdHxGB7l/ZsRZfC2ADTFpC+0RUira1BhlvoCCWJ5LQcGMBJaDpHfQI+BHiN2yHpv2AUDY9
wv4cbUCHuvD2Xm4YrDG2W99oIOXiVaW8+oZKUU1UiJ8haZUkTMyMUScjcyKrTmbrlyc3pY4MZIkJ
lBCg/qUQpv6tElnyAkIBXJCp8QtbVABHp8vqe2Wb/vi5Y8fDcyOeZ1smLoCnQXOtQ9H4rCgB8ROs
ltTO5sKAGhtTkDzUJFY/sD/mZJpjFDvG+SReyrzuX4QUFBEEtqDX3K6oKoi5j77qIjO+wYlmpa9t
Nd2Kdoq+mjlS0JBYRQ2q2RyJF81ptHJlzmR1bebcqe6LdmJiEMk01lsPp029tYORioacEoYHwDY2
OLhl6vsE5w6sVMheX/HY8jNBMxUdGT4BvBcbk1ezqiycP+tB8C03mYNcal2h0sJNAiMcOHBqV+Ii
nZ2ec6NeDUYSjs2Yxls2r/zmGYYSpsCR8uM6sQlM2OHXZwvQ0yGNVhymgsss0W0CRLqSTWsRIbFe
aYRBuNCLZfR16Ab8/LEE8bCKYqd8NSXej5VsLQX9D7LD1z9upjNosVxZtCfTcBZLyotnkEG54jxR
77ADxyEwZpFjhVyKAkh1q3sH/Vi1K9KMcg/KgpQDJjTSfYN/N7gx28UyCijWuVBdX987I4oKHiH9
1nCMWq4v9xzqIV2j59mFQMUw7EqF8OMqGDA2DS610ZU0nSa5cjUD9oYazF0lq+oJgS5xIF7QgtJs
fP1hTBqhyC7E/HBjSy56bw4635FdOd86rSIenqumCjfJkpcQ8kx4d6n9J2pNXYa7OEAT6JkkTPGS
cnoh6wHnyqVCOf4jzURW7ALZtTQwgjLNQICmyKVJTqcAMPI4531F/e84pnCWV4xDdnROYjfZQXc7
iiiAKQu8fG3qYNJAq2rwsxrrV1jKhStUQW0iz3cmlu0mGaBdtcsWsvAqE1gM2sBPBqjXDWZG/UhP
utuPpbROZexPl2iZ0kd4fuOnEV/mH2X1v6VB3f2or5/LH+K/lp/6XjcE18ZJ/9//9dM/XaXfu1rU
r/27f+uhpqVSnv+Vn36v+O+3f42MazG5//QPm6pPe3WSPzp190PI4o/v8Off/H/9l396KT7QoNKy
sOlk/qcK/Yvh/umZtHN2bnX1V3fGnz/2b3uG4f4roEPCcRSnPLsuqsnjD9H/7/+lGShKPVztCDEX
+8WfClQbOwfyTJsSMw0VBGN8hT8VqLbzL4fwbQtx6hJ+i2jt7yhQf+4DgBsKkHMH6AvgOeDrP+/F
zfXcSk1IF59SUWISSyd5AlqBCXgaW/H1LzfmN+X5n3uObx9GexUmGho4FGLnvZHYmWxe594+JRpb
bPAn5oOCv/WYp33ngjFhQx4jIH3GRtnt/8FHL9gOeh3oqc47YamWG1NPk+r0toZURMoEm0ER2rPx
pGs8kKXCAid0jIChiJaZ6/2P/7nvt1y5R42ZTgukBB7c+cebVhpXQVZYp4J0xBSqCWbJUO/l3Bw5
hvFx08Kuff8zzyR5f34oQ4VuI+0CWmI/91mrpopk3ATmyTEr86Eiu+Fglu7M9g2h4mPTO9Qp4K9i
yzUkB6QEntCLuwTeFprLfWhdjo+NF1OvFaTpRZt5nu1npCFQUyNngGY7NBFLBs4lrViJxijxWhSV
ZX3Q0Pu50/LHZZArjSLCRMdtnUth/JEq1eQl5smQGmNFFriXC5lPW19MxsPb/mnKP2yQ/dxG/PNT
A14PDx0qrIyzVour6V42OZ1xyozBeKhYP6n5VsmrjovwhFNwunPsxrhGhEWpUSUy3b3/9H59MTFM
kbLjkeXHuDl/V4YgWASjk3GiGD3dpcsLowJO1fHQGh8E7Jxpnt6uFXMWb5ZPR8v7RccM5aivdF0a
J0z8052GAzbfDumCuI8sS7xMuQ1FXHeXt3PZBpBRwMuisY29zXKswX//wlFkMltCJ0BKcjZqTUiL
QatH+kn2LS+J7UVFjTeo1IFtVnnwD14Sj2mP95L/es65yNJosH1o1mCeOkiG6wp+O/5+cNUX0tPJ
2+4omViDqC/aNmWUB8VsXJdDAJNaZQalLiOb6wvNHSbC452J1gWai8s+x/Bl9O50myQD7YZKZcsW
wq+m8Rgkuiy279+yt77m/xU4vD1Aj/0hcVAsFXTrztRiGeGx0leBcYrQVZB15nXd/m3cTH3ZfOk6
DoeFPzLlKm5g6Y+cENO5gGGqgnbfqJIdfZrbbbGbx5mtqhFRU4OwPd29/z1/MwsiDUIfgGLeQyJ0
9jW1ySQpJLKNE7tibsjbbTaarvli6JHx0BbE0L3/gcsK+heVCxFMqC1JUQkwBABuAV/z8xRY9rGZ
6bkSpxEy14XTl85zFEzL/xBbt5L0Bm47ywX7HaUR7jt9yOijjaMK6HaQsgAHUvUvhNUy0nVmAJ3w
8i8ptcxLexkTb7dIsGqgv08xbQiw8Bf4nJcyf0r12+OCZiXri/eviis4vyyuhOdsMXIJtEZm8PNl
zX4eeC2dwlPNKAGrDgljnXladtNaher31ZBgy8aZjqPPdCBthhDEo2QbJHHKSZbfrYcKjFVoZhg/
yAPwtgOs9n6fUG40wsqIke+CtIE0Q0wGXn8dEdcnzkMxmhW6R91qjFXihFRXE7FG5cKbkYlRblgC
aBvmGaQNGzflCY9lcuGDUrk0S7++HrLIa9d+3eG8oyuofSaINb8h8q74rueCBi77AOq6auZsqKYh
ecHQr9xjrxJYST3r95E4stIiLiVrbilk1iUWLnqstNqFvnY8ysirwfO05lFWxJSsrcjz7sFwJFid
MyAeC+gEumXpxB3uSsL/qBv2pv+t1WAEhlUp+nzPvhtlSCslp2mzVal2iDAOXJox5dwVZbjjIoO9
V+OA6NAjvrM7aSNnn1Xm9JUTtsLMIZck2ApvvbgsiCYNEPgQRT0Gj3EiWXZzxoinJK+cW6tg00KL
J+a4sIKNZ/Qz3w5U97OghQhG1We2YQvIRDw0rAKgK/gx5cFdXkdWRR4hrDPayAaY5EufdqFkZTYS
lOnhXEnda444SDN1RW0VwsaEPmobq7rkGNWkk3+w4zQhfzPov/tV7gKXMBN9p6egVAJYZtedaXfb
DsRr3dakPur6/NkgXfloDigMCS4yv5EYX4dOykHIC8xoC2qw/lqiw/yM78VZtbQ6Xhgo049YRhmn
KXhha13yeMIEvcSOA7ezLg1w5gwsTOnkAVTT5NP80+ALcXy3Wx2Qm5PGzYOGJS+/GGhu5vaxqkja
ffCGCDQ2A6CAXEI8xlLBWZHJjUeBioYTRHDZSCQcOTCGuZ1yYlxwzxTY17T7guYzZG7X4uvmGZR6
RaPJ32r6svmZnemODMylyqEN9YUew4Njttfs59YfybPCLNrAhoyj4tNE4hmdPcCH1/BvOWwPHv0M
uAHMFaliVNJhwPhBO73ld5AU03wJ0A0s4PpFa5dmtRbqOnnLI/nhlAViwaMntuFLl9rxSXr+3Icz
RojnyBlJkE119qt9QSUEpLZDfPQcPI4mZ1QxJ/bBlS4Tj8085NllsCm7hAQXBEXCD8ty8dsqfJe8
y5ZTX7Ctix6li6UsV8Sk5BWtvFZ3lr9UF8Fl3w/Mz0xnUcSZM0D+bBhLIyTm/C/QGbDxMXWo8yty
GFEt0EWxn+HdcUk9QbmCIFMjuyaklCkG45J/GbcUJQKKqncYHVjUU40Z9W2OZA/nX5IDwTuRtd0+
qn3x0gbLrQw6m4aWkPzx7duWUlJnsVp7uq3ZdsLwcFJ1CwWHPxIJbHc3VZl3+zgeCPCeeSIDFfEL
ZY7Gw2BQEwUIpO4koNVHa+mo0jVkee4n2gpq2T0qk3tvEJyZrngl+SRSjTn84zO+y5Y/gc9swLJm
7D71xbntk2m9AWImXpqC1bYN4vZLRuHRIhRJqLu3jcKct5U6TlnhPpsT+/tMFDzali8zUTVDt1Dg
DE6RSR7qVtOv6cxoOJsj/ZouZ15fMox4dm/936puWXhE3e1FxDfSUU+2YV0jbXKMvPkC0JbVXOWm
1m0iFJ/PrpiXKkbtKojSouObD/wMDYp6xGndEiBRUoFlg4PIhZiAOaNY9nb4sZatj8qCjAQvB6dG
aGt0CVceKGv7Cgaqf5mUjv0M2KQrdiw7fMHGnLJ55eMvzzbAeKJvhZbw4dXbK2REDrnyw9Qt2yBW
HpiZ48m3R/FSBIJn1NDQwvhN+zA2WIAr22Fuq5ejSp7QZDAU7RqmAevg8qSvK2F5By6nvrCoCt6l
Siq10pKCb4tjnlrIyIrbL8PTqQrjWo8zVqYc91VHkDzbVdvPlLxqxlhL9mUScQY0CBuGcLOEHG58
/nNpRkveU2/n3LPe8IPHiXzBhyz30S72RPDsLHNR7RVJ4Twn5cg9JTWH63+bBPLCmu6oO3NXijwN
Ll3lWFiNecMad/n4cuz9EBQm27HeaL5kRl1fUCjs9mz3QSNHNDfC1BTUZVnIuQ8jT4gUs+hRQ1hy
O5EY8dwBQ73I9YLgUTMFQ7SOSY+/7DrBN3kbifaEtu9iTJkCHIM9+saAmwKuBkuYuA2myBwPfr08
oKy1mZrg07b7sjOCR+QUE6H3HEfFZnZ7NkVLyDvmkTEu75WeOXQrM+PB1HzOAEHGMYQ0IONhtDpu
MrmYxgDfCdMSAo2g+YLvnxe9NUbq4csVshKxRyYiA44Lpt7d24F3Jprly2xYvKIxR9SUqVtfjRxp
6Z7wf9Y4XKxNv+zSZqCiYECX0fm2bKpZZ0Q1hWYtsiWuHRpLcFmZ5Opk0izXHR3Iu7e7Ru8MVAOU
2mJed8vXSVyuIk/pvzSy532tkji4LHL6Tfqs0IZ51myBmSkQCjgiZjpKc14uvLTMjnAJHOgpDHlY
Cnk03SVp5Fp08b12T8JYUW6cQBbOHVTgpcsOnm8Gzqs7zzaJdim83yh4rCa6tAWRDIe8rbV6g2lw
LI4lJLByU8jEbO9hD44MkSjnRs/L4kKu6TL3TWam/R/2zqNZTiz9019lYvZUwAEOsJjFJKS/TtfJ
bIgrh/f28OnnIVXVLd1SS1H/1Sx6093RVRJpyMP7/uy+igwOeUaRaF3JLShQsh64Jy4fwLezaF3c
R9j195eDtY0cnjiXezeMZh5rc1+3h9lJ1MeWx9Cby/1piSHcpwABe1I1LJqcB5dbhAZJMtfsbDzF
kWqJUrvcEMVUuF9rB3zWL9qxPcCfeChMavsFPYbxeLkrJAGzyyYT1GtKoPe90ZTGTXqBUrMOKZlP
Ui39Dr1NNK2vFkwNKEAAIVo7JfkiWd+QNhXcfUkLQNsSiouImUEIZhI79w3ManvgljMe7VhizjPI
vnLJOW94wiC9NndVzU0zkOrzbJqJcYufaHnDps5NrQPJ4VmbOLQvJ6CV9RnJR2TpFDjZEP5vvB7Z
9MZ0Jn426wMIIUxELoBPNDGHQhVR5L6DGoUGLof11aZDz8/MbBTXjWo136Ohb+UGXsN7JsyQwc+O
+PIR2eG9A5ol5ze12pn6Omah5WE0XIpksMuU8S12I706knli3BD2z6uwIbVg7JKKu103qF197O2B
IYQcZO9ZnxCY0Fazvl/Hm+6sQTgP8BDFLW7lTzG1aDjL0u5AkJu+caCpzsSRpF8jk9h2RzSYCyQr
tT9WlNCZM49HKC6eSKvAyu+BPD0mFCWfKfPkc07oRd1U9rTMe21IkTyVGII2hCPj0x3n4pjUdXpt
0nhs+Dw1iyOb/XwojbpUfl7X5XVYmdVXb6aYaCeJRr7DA8EdhoS0d7dokuiTa9bD/5QiEF8oWIqZ
qdBHssHkZX4k9h4UBpRtwD8aUgUdpYKvp0X9CFJFRDJR2zaCCRBAsh/MiQOnXQ//ZmTGKdaRrold
GGU4yrW8kfysZuI3sy7KWc4pO5keP1Uvpqd6o7e8vHBxAJtExXxghROvdL48TCgi5sSykyr7UjFj
8nTxalLq12e4ocGp05rDHXRZDCPakuoTWD8tXG3PmVbJGdUzeFp7cOLKu0q8yDpOtWfcRLPtPRtw
Dp/FoqgTMjPryA7G91pKwfOzTXm4DUXEaUXllngcubJ/OTdR+K+8GA/MrWpgA0S+zpt1iJKgaEkb
DMIa+IpMnPr9hfives69tuEnRBw8Q2qoZSetsnfoanjdC40LDTl6cXwQdpx8sUY4vrNdD/zielo9
NnbWeFfIP9cJo2F6WKm5Iitd6+ggOXOOLGxzf+jYbzYIedpVdTrsYC2Ey67Sk3eTLShUXKM68445
lcB5+EicVOOxEYaCTaKQPFjkqCTqN504cpR7xxri6IbknPU4uIzMtl58lZGYEbuVhb5DgYh6kRZO
sePK8SO5pvPTHMvlKrZU8lQPuI87fiGczmw7FBWiyoPjlwXFDopWv7sWIpK+Bgw/7tZszfkgIlv7
NNSm/Tn1huVLzlT5tcrnjnF7IhmVuUqcjRqlJUH8FXGe8JaruZzIlzDM403TlPSzIcxrTrY5JzeJ
U7tBlMrkbVH30QOsGbnnQ0E8a9bZ+l6trQCke4VPseZkn1C98TfZsFIdkzLK1TsIdjZW4rgmw3d6
yiE2rTfK9xdY4R8xPD+nZf4H/M5/oor+f2R48AsAoPyC4Um6T1XZJT8SPN/+1F85I/KPC0xMmCM2
8jVL618Ejyf+4IaWQOqEswPWrNj/XywP+VuuyeQAJLR2C3+XM2IJUpVNwgKgf8jn8HiFF54NjutP
ogV67D/6nV8Db55ng6VCKOHOFYZ8XeoNMUHRE0/Kb8NmWxjznU2K0WFRilOvb1l9vvuAfsL0/OyC
uOnheVbcDa/CjwBVxruuBar0M8EZJPuMU7JfVvRa5lSARIrJ/9fXe43zrW/QWX1sFOhgyhCvcD6C
gRdCIx3r7FSxfMGzadxchtXOHn8HzL/G3rgUXzWUAISETj3jq7fWxlMcDZlhnSkztl8SB6rK7heO
JikiTtWFndzJUs6rdVH7x++SOwkKkYQMaLTX9papyUZFl6x17gSwdOnS8Y0yr+QBx/j8Oz+nAcX4
A3bKG+UONIjGkASp4HT58TukQ7ArnDmxzrR3cSGnZiKB39YZhsfe4WlRAsPFp4KHNx3BLUsyZ2DF
2jLnCbCGKH+H1f/9S5bwd1IC5DqSZuP1m/k+D4GAqAGk2zq7k8Xb9Qp0JXRH8R//s2sZKwFBDNDK
s766oSJiSvMY0dfZ7CbwBEtD4EkO5/2wjtW//lbXz/F78B5/Pri9a9m2QxSf/prpwaG7Pn4G6zyG
8ddOdN6WBeafsiqXi0DwXv6bU+rVlwmwbeF4y63zkgFcpy5ND6Sl1ZpvMHv/ju18ZaSFTeEtmcJZ
7ZYrd/06GMcNUV8v6OLPqUgYri8ECkGUTN9529Xv3SZjI5KKH+lKOKm4N4/45szjrz/Yn9zB+Ew5
9tA5robT1zdMKAxSwGWGTtDtxcnMSmON42E0IomMO5TFp9jSHM2srpYBJvPy47VXBpQT5HcM9M/u
XpIPSZVav2k48B/v3iz3yBHIan68I3vjZU6dSrgBNpnfeXt/dikp8UzhKMC2/vqOQs/Kiu005jmh
dfLe8yJ+sqjzOerRE/+OjfjxqOf4tiwd7hAbseByf7t90RyipGxqjAxgBJQB0xX6vjQBupYJoHK1
5bi/YQgJn/z+F7NecpXPrk0E3GfW38j8OltwFxs0AVB0iMLeRX646dpuvpeTBldKAgqht+s2ELsg
fUnET4o8FCBGrWScdxPZHJZ1WL6cIN+gHkU51kLwOekPQbLCMr++Fe3LI/bfv/I1+cPhNOVGRNJh
Sh6NP379pLSm1lyY1qnL9WKnL7ghqkRqu8jo0PtWeqHgFFkWWmrhq7RWZHHxl71pAVeKLXYpNk+0
6XyRoR31nxeqyz5Te86t+22rFXAYcbDWho0b21hTJ42IKf2y9OQSZBWHSv+5XZE0gpuzNuhSXBOT
oIu3X1krN7JMlIl8gBvFvncXJTlYIrIV77kn/jn1iSVsDFrFbP5q+j3aKSi8WGZ+3iZUQaImQ3Sc
lw3XWAEqSbf0XUMsoL6xRkRLCCMB5bq44g6pLVYoMPt+2WuM3PJ04eYo9CRpEjliGZ/I7+8/wyI1
NB/iOTkVRqLuDZepRSMDEqynzqLkg0H9HBamxZQZvcXgQ8+Iorj3aHt8QZHF3W6hnHpRhgdATv02
T+gR4LYAJv2ExI+ulgbfeStJE7Qn1l4qs+ls5PylhGbybJ4wF/RRM1l0wDTg/EJgCnO25vscuvAZ
uWKyvxDkF+r4sqH2i+Dz8bDZ3XddtDyLEWi59lY4oJBQQJT9dp8zEijFRpq9t106+l59V62JO8it
JKybMo9eSNTghvx7pOo9n5s1rHDv5SlX8qRGiU0yJO6cuE0PkTX3QG6Osy6qRC/BTJRqcU7xOphc
OPoL+E5hzaqnVnLe0iEJbHgBSJuk4a7JTAAqR2Z8mipNa4Sp1VobP652otNlldTAt7p9Z41QxGJe
BSAktGSUEvc8F2UV8/ur9Gh1Li4u8nAN4itQGHZocsfvMAUO6mk06BnLEZpwk3t5ZOV77vSQv9bt
0dbPGnhNbVAauukpGZh3iuY6NI3Etpr+GtZ+vTj5QgRUAoU7Vo39ImHTkOyULelHhEu3DzRHiwPJ
F5ETiEhaH8pxLB/dJVHX9AnlQdPNFf5EDVxvZyR6e0pyepCoq+QyHVlx/lQu1RDoXShB55YE+byE
FyODL1U3Lq0g58KKK3puM3IhE7sD6If28FW5KPxuuk0oUlzXp0ynOK3knqQySe/KN0BGLj2m4VAA
GLT9V0ItqqMt0DBTMIS/QuE0YBck53bylxXVnfS65UNA8PFO5lnb7agdkZ/QnhpB15flFVRnG+1W
Ice08QgBCYyUovGxGqob+kZJIi2XLv4QrQycUxFxq2Qs9/AQ4dlQPYZvirgkBrii3ymM2RhqpuqE
5pG6M4yIy4cyb8hdsQW+T4N61cBF6uNn2VR+SOvU6WnihPLNdHyW6zBKROEM5xmsEoNtwwy4GRle
doWLWJGDCRaA0sX7AcjviJyFpPc27nZkyKgvIVLqbawl2hvlVcW7BAstFRQlKWXlWhlLYcWGrokX
p7f4fQB043OknnAYW2OHq4u/yNXAnyEsLdcMyb/NWoLjAunAP/VEy3uOaW9axD10/PLN19MVk657
ECaeoqDEOEeWT8iFLOrLsYNGMaB43QHLd8jvK6VtRVENT3UmSRkZy2432Bk97rH+KXe66h1dBsTH
e1glif00A7qj9T2qcBTPBr4/vvglvpJWQzpopPONOqgQrsAfyjskX/SWdj03tSaZyF4utIGGhaXb
dCu1s63qXqRn/OsM2AIrXONz2vb0F+ocSNXiGXSJLNyyeg+T1eJ4i7buMNv6NkviGUC1anQ4ZKi4
xYf6r96HBoTZBfFyVN4e+s7jeeziRoDDEFZ1xiC3/m3GTHzDNx0eSgkGs7ritJ3Zo7D/MsLJEeBm
rHHT+/RRNgdrttCFXcinuua29amlhjfJwOrei6qJmOdi0msMsxIVv/m4q4sPdhq79VdVj9ZKLdLJ
R95HRz+uNX1Bk9IQgJFp9lv4fO/Yxl53oPE8wgk+R8mwyWnb+9iN/UsKrLq1rSSKKKXl+HiXLxot
qwm+LPPgiti9GUHLfJkn2Taepob8Z7ns6Eevn1Ay0MlOp9X0NNptcQ9F8VXky7uZtp/brBcAVzJ3
6Crw6MWxhlp8jvo4+rwkyfQQDQ7fHL/4dNuAy3pQEQ7myzFOMrVpaPk6SRsoiCx3+gP9TnKO07xC
Ucqh92b9bDWVum46+lDkMieUhRXZYGwk3wKxR+AJz1o5zuV2Nvr8em5b63ZBn3PbGNZwX2At9NdM
mE/WSLVoReTcx8qT47mXNa0qdigSucGZlPho2ukfGJbJI0gi57jwQjtIC9c6IVf4GNba9DD1UYaO
btCvkfbaH7JJZpFP86XHsxLf/QYMO7rxAM2u2xlZvuZNtLPHZDe9iGSqz4WDTKFM7OFsSF1Dd9F3
Rbs3OPJ2OMOGMUBFKULaNkJn3sVoAR9lVteHsTSXhzqJSXxTw/KmJ+Jn443R9B5lbzNs9a6zkhNt
6rPtu5SZkw4eTm52I2cA7r0XD92BLVe7Sqmqf9KTVng+mW0FLTOao2fgovQ7TDzhvxpj010PdT3u
0X6rc5l2RR7UXhyC2husFzGH2z6jgzCBUq4hW6PRGd8QBz2ZxCiHZC13HHnvs7mnDFLl9tWcCI5R
U1dej99ixPkqCozPfl5W4rqnr5bOPBo63K2bOxYHojF9qYQcwp2nNQtcAPiuZREKYeZyOXSDk9x3
hdE8DYbqnt1cWdtxXjJ/oUkeSzC+dksH9qaMKHUCs56cxAfxjz8j0OE51OtEDoXamOQBBd5M1gt7
Ci4WhzphLBC36MPmJ72dtGu8VogpErMxdy6VJ84GJai9azrHpq1bJB66de7drwCV89vaNftPE96k
z5PsZbLTIXrx0ecGrEta5dTShqRjfl36pUmCNkbNdHD6+iutgdFdlyIroBiw60/mNOOXqaqyCeI5
aSg6BVmnsrpsb7UcXljQHNEHXsTMHi1qnlEUVaRS24PVu2dSWGBxLWd8F8NXI6uJlvQWXNjR6Rku
89vSy3OU8ngjEA6bfGs5AJKFuXdC2v9MiPMcWpvLvP5fLPQ3avdVV/bdZvM3sfv/zV8+vhSAgV8u
Cvzj5//zv7/9kb9wULoGwCqpGyBBj66673BQ1/3DAhEAUSIeB0XyCgr8lbdso3Z31rxC5L2SRQkJ
8J9qd1P/QwBbgkUR62LrpveP1O4/Qi02lZHSJRXIEDgKMf6/xiVSoxZWZ1rawdNoS1nZreUweFb3
+N1n8hP088f9+9tl1m0PbT0Bnn/DHRa8smpcRu3QLWhYMlplA3PQ3dtiGjHa/Ppar9bv9S15Boll
lkAQKEFbftwr+S5SNhYzPCij8m6hIFZHm2GerEVnoMba/7v0LtTqP67fXJJjnmjCFbUy2MNX4PA7
HG6Gs2gMpw0PiWrpeQmhAK+qdsAFRnFCxRnOU+MZIM8UO1IVRpMG8jxVe3hazEGNHZE5MI409w0z
xHC9UlsevXWkPngt9rA5aa9IZ/eIxI+8/YQhGU5ICaJ559VrZxRvcrAUNOpt/4TGtjx5Y1vvtLBI
bkKFAxFLoV0GJm7yvWpouGX9V9uGB9Ub/JzLFw/G9jnOrPYZf/O1PqiE+Swv/aHO9cMizOwaoEO6
fpyawxvRYR1bzKW6XcwpfRKI43CLh/nObuJy3UVG8ifK6aBXIWPm0oi9O/Jsaxs1bY14pgmnN7sz
ur7qpq1dIu9pm32hqU075HJqgqXVpkODxSki4c0LJb4AoiM69BVXcinmNwiA4mGD0IFsida1dnpH
3AStLvjTA3JsHIIonG+xFN63kIq4rCmgKpk0cVRxn/scs3qN5KsoPw4t6jN0BO5bjGji3ot0D1+Z
3nmfU7eraQHzWmzdhVAVRVlpAukIXY1czDVj3HJkPWKcsvJbPR+RF0py8q6cYRrOaiinZ1ctub8W
JgRC5Nx76RJRXZOk2PdN454ngu6HK78cN57ckgLYvi+catxVs97vXJoO7c1cyeJzWxTxPi7jT6pN
6yAC4DpHnjvQmL7YcbHt+HBi5DrXlAIsby1TaG/MMlmu9CWkvgMzQHaU5ahrlKClIZa3SnuwZGIf
Q/TIh3Equ62pkuwKJGT4jBKl/5gZACvbJVok5UN9Qpcen2kQh/JTQ6bRZEztDZolFD4OBQwmjuAV
Swy1ft6gDnzy0DFwk9b5XsM5hi2voDNjxiBfkU3meyFjmVP35xTAnrzbPlI+yHb6AgQc8i87H8wQ
424MlbidHdnch1MurmTc3dnzNBkb18Uq6o38egg1Gq9hhMUWcOfLXDjazm61/joT5fKxnyvl883a
HwkJyG5J5xBBtvT9fWP3ml/27n3TeMkWg/47bWjNG7HEZFSppbvRnGXZMt5ND9SkYKU0vHGnCsob
p+Ktw0olDknmkglAkSU1c59KmRBQFo4DLb4YHBG1bZRbU7K3dClJElGR2VspBkz4Kida4QpNi5qP
pIJGqvDjqAEJCjV6e5+zbkI2u0EL3k0wzpQ+BSgjuvTRalM3Assg9MQdp0eHerOtZ3ROxHoftxnW
4SyxNzZqMBQatGnup3GRzrsZl7YL75sJ+8gkiBAY6Eq5uy7tkoZGt6KXEMTTEt2Pmc2/SSjHSJhE
0w7keBZtOd1FxNi4Jo0hTRefPUYsArO7cLLfizoe4Fr1MtTi7dTiUH9Oh0ljlpo5Iz87VAIam7iP
e+2UKdIS2ocMM2RBz7XXZe9xkGYP3oiKjd2NY7gqHJzoep8/O6HSqC40RaiY1yX213nEo0mszYT1
f024shEmnSYRNlcGU/FBFNhRNnOmEoWYgR1QxBWCoA7VIDx2KMMHpYbpEyEIobtBV1PvLPrbjjDW
XHewSnjm1TYDYV2ekhnhYl8MlNQUazb9RnNRQjTWuto5o2PsDDBiimqScoukqqc3TMfZqqmYMo8w
9D7MLf+roYrlAVNoiF+71IaaCp2peDObVv3FIiDwihey+jnXBbOmsnAJBhnl8bZVU3V09dy7ze1E
vuQwOPHGzEdjR7BugZIaDbOfuQWvDaU9/8zWevypbps/m3rPHptB9AXuUlQPURGD6HWMEQzMFR0J
/G7z4L9T4GVu+80UaNq6EN+NIX8bA5+/UHlX9t+PgX/+mT/nQMdg2DOZEjBeCEoyVv/in4ZHx/yD
ygsC+rDfQnzh6vrXHIi1kf+DeQnqCEIMuPxfcyB8OK40IBrIE3wcq4PyFf/9Kz781RwoPBtnPsEo
jE3EcHL8/zjBuMY4LEnl2gcXVcqG3l13k0aN+ZvR7BVNgfvEoNtDWmugL8D66zDXcBhRfVdReKCa
Cg/wSEvWxp3D6kPZI38uyEc95vSD0lwKyvsbUnH9vr5jFe3LxWG9aPDiY6Ou+9VbxDmfz2bmegDE
HpIrp+3IT5mB0Is1fCY1RPUSeUXtgaAmNPksKvkya+CLW9lKk5+/ARiMum1PBnyO0ZvooSEjS6Vz
U/bmNA9tv1dtve0ioNmhc8J7KoOm4Lub6idz9E/fBEQvccgAqNxIrxhfvbVqiI7FOzQLCUSzVS27
QiMpJXEm9dSYOguxkaGG0wp2Y5JssCmsQS12FSleH9zinWRtvKs6193oI6J8D1ByN9KeeZy9EeE6
/QiPBamsYKELuVxawUT66/fwelhebwJMfASwwqCT8vKK9+kscxiUM3mHhI0+aPUl38xoyQlh+13Y
6+tN4HIlNii+e6oP0Qj8eFPbo9EVtcGVRrS2B9Lf+PIkaUNtbzZvdJvY1V+/s1c/ossdBvGHcoVb
XHh/M+oZHdpNLed6EbGenCi0qg1IaX99lZ98fqutDT4BM6T4m/vTazku8oni65ZOYeoP06+16SWH
rHMff32hCxv8PUPH52ejhOFgWs+Fvx0KhI8Lb+IePJAlmR8XpxPb2OOeUYovThUI3sExJVBS1Wf3
RLdBI1PQEFhrHFM8lMu5sO3mTaskq4yE99nU0AwA4oa5HEjmC09VTiYXQb/qaST6RvnmopMTFaXs
OMCJXIQkFrFlfU4OnZDd20kSNPbrN2lerIA/vEs4N/ZFBK8YYVbZzI93SShCNMZLOx+m1DRwsVQT
AZRhdySsKdtVWbcSU9VXAiu0wM5I3+DmTQ95kQ670aj7XVa37Q0NpBMURWkGjSz1t4bIkhvbU9YH
ZyqKtzZZZgitxYMBv5pv2ik3/FaG+aPQM28XL5QZ9SSKPWEHEkEZJWqfRTsjHaMPHGfZQfY2iWjk
PBzGBB6Wpwta/ToERIskiU5U+vmVnRTbGNR235Ea9YjSJj2mGiaA0miIwKEy+lPMg8cvuiw6WvUy
3ta5MeENWxwL+yMk1hhKe1uPNE8TTzX4WGeq3O+JMT5kbZU9913p5w3VtyWGkFsbg91npVS3cSEm
t1HWm3s7tNJuk8pY+AT9yYBp2qKEzNQfycFigI7i7GttxBWrgu4pPHotmwvdyLpJSEg8v3OglgKn
EIiHPC8/pgTeXC1sR7dwPm7Qu0npbcwimW4H2pI/liluA73ptpi4oGLD7IuWae61VubUwkdJtNWc
9lQUklctjWabCe9IunJ5U4U1GcJzSaZMBJO80Zxyr9fp1fp5UhlCQI3poZjvqqnbGIX5HokYxAis
yhFJZQHhWasnLQca55/qyw0GbAg8NbJC6DxffFxI5l5UnnscFst8aUPZ3VHa3ZXHXh88v3E68zGz
dmVcc0eMpPAMjWm+VE1b7bJYEORez26xqUTZPiETGPwqmye+Gpqq4eqiw6SGXRybb0RYDFvOtvHY
QwngD5t7F4uR+IzEF6W/NOo3qs2vk9COfY1m8WCM8gElZtZuUMYPfqvrJzYVdtnIwqiHefehTKPr
MJIf4lnph7jvCc+kEXWbtvItySwvoijLAMl56muphAG3Q/aGtjWunHkgQB8V6aYaFxI7VtfakDba
poct3dBJEXNEDbS1F+XaZ1DNZ80Fxcg6crmU5obvMVcrXswc7mKRWX6cmXBXxOuO3Fzj5AQ8hgg/
jFxJ6vyUJMFAPc2+Jb7njEequuq1SveB5tULEYJYpMkXZeBX9HMQopXWtwt0G8cUpTVnpQwLxHvO
D4aZ6Aen4uciNVXpdKs0YsmGLd44otqcmEC/ngLaWU/LTy1Jtu/S0Bg+S6dT78yxnU5EE4xHfEI9
JQ41jSW6Rl8hZK5vU314HAx+X5qiWogwV4TyGz11OuNYJhS+NIHRyGJb6FGxdufOTxaVNDtTFzEm
qqjeWnll+VhyQroucdAbsimvktViVoJ5b4h/LK/ScsjqIJFIaT2CYQKUUooOEBb+ptOzXZiO6uvY
t1N1o6soR+7MULDATOIyEWT94TsNkognB04H/Av6UGPynUgz7OP25OD+ZK9TWYDzUZ2XXu/eLt5E
zh4/1BuV6M0QZCElNBu9rsYvRorqwcvJd4Embz/FzhztsFo4z3HSl1eE/xqPms58gQohvoUyZTpZ
gwPxXOkbSa4krw4iriFugQCXWZfZPQFszbs0NUkz1Zcp+GaLs2u1z0nkP05Wg5Q78oZnZNT5kcAY
Uvq0WD/kqcXZ064NviT0Xsu8Ck+LZ/G6lFnfmPCuJ6cDN1MTaKxPGkYWwBHXW68deecQhbe0eU/B
JTWxQbKwtWwrul2cGqIks2CaocDy7i1uDtsHNOCVZIOn74mZWhkIaZDuZjqQ8X2W2lvTI5vS4GDA
cwojAX25IDaRuU9Nd3hiVrH9OpQk+7p5eyLEx4UUJF2QGXh8TsaWc70iMzRV+YgJwbYEdBIbdFhq
9rlvK+1ecYE4wMTMeIF9mJetYvvDFNokqIb0A93jc+V/ZdFw3+qCsjcnNt4RqHDuMiOls6Op9mhd
lmnDvGie7ZnYtIZDwWgH82bETrirIRAQsQvpj3ka7yozjLekbD0iWBP+1Pc49ykq3TqJfteGpTfi
DIzGfVuPKt7z8SPYbi23ia/armhI5FJ2v+nnclCbvmj1oDUJbbzywgJ2CRNQh2zSFVZ8M09iLpZv
irf/0ha/W1gpp2Mc/s8S7qf+Jf5hW/32B/7cVi/tyeiUkdWuMyDD37+2VcOw/tClzsZo6CxyNIX9
e1sVbKsrkfHdmmqujcpwKGwr8BnuGunzD9bUi8T2u2GN3FEcpGvkCTpKwTK9jvzfIe0Yr5O4Uq66
9spFgykkw0Gp3UVJVBQkUJIajcwJJ1h97mwyPA2lcNZxWN5dzCCYLhmgViafyEw0cIkx3yNqte/Y
E7p1EgEfCt2MlEJ9GJcDAwRWl3vNIRoLmt+jscp6isOZNRGSFagPrcjYcBjmoXbrFdZYnKo2bTty
BAyjcr+ataOS4TDB48woa5zBSAjDdmYtPZFZ0YwPWFF060ErK0dsa4sBbsvw2y5nPkvLvHXx0/nM
DSPhZDUgX1SIiFRYa1H9fVtYGFanHIx/xYgb7Fwmgh0ZPpaFiFFJQf7zpsCtlkH7OGEdfXTxWFHd
VsTpGwrib3osqEeMO9EursLhxTP0BPNRAYBFFDx6AT3FoE2yeu74HmIbUZ7SaEzI4dxQj8byOWH1
bM7CWQho9dfS9Zs4ykbtSBzcBLyWaZF60JQxLHqgR1ka7UKrRuazF8lMyfoY6lXfHAw9gnwm2jEb
yXa5lzls9nU9d1XJt1CAjNBQfbnN/3si/OZEEGgs+RX/5xPhpmr7+H8FL+Sv/UBn/vkH/zwZPPkH
fTGkiGCaIEkE/fS/Twadk8GSeD3+bfn4y9expneRA8E/XsXH7Mj/xrHsP8h/0uEGCYJZOch/xmc6
XP87mAeltQOCBZNGq9YaVPZ6CefIQgw4O+JqATOLFgrtItWHQSV0mny6a623PEzZDvz56NppswF1
W95rgjXBF4lx6ChlvgoBUXGPkbQZqaaitXTprquoPMSU952Q7zlEm3ryXA2l9tCUXe1XZaSd6SEz
0HIWpFu79fyUul5fboYKh6pRN9Wm6NLGl11HFUG1GDtBfk6J6CM092nj0SrIn9nEdnRgGiGfomhP
mMrw1zbhm2lpbvlJBOQjoR7lV31outpEre6Sw5rLk2FRYzhkXgCr8HlA7EoTANKtAt2PT5ueug7b
KNpOvR7Mo/4p1miaQKCjbUPcyzvEU8uewZLHcCT2WmmXbz01ptuOnTZYcnr55va2zZBmaOx5L63o
zV1OtoRf2zhOzUJy/cIgCEA1VtCX4GssLsk9+15FloWxHAhF90h5Vix7CFEOUZ/etsojxa/Lli14
t0GEIZoaS69Nqq5sM4gS6C9C/Gbs+nl3yhLnOja8kCmpuF/HNMpLnL1XDIeaxPlNmAvsqF5FFSso
TyBCfa9R5kJ3kHq2+1FhzVjfRJ31pGRjZs7VgMDH1oiAd4ePRecF5jwXpxqxzxmdISCEQHO2ODst
yeudjSw6GDKpbTj5nE1jy4MXegSwsHW4mcB+t4TaszKTClHMYG+7qnYpxZrnnbDQRGljoY6iitNH
J62XY2e4Y+A4U7ODm7N3otNU0M26FZSQ2jhbo/08IHppMC1B9KQfavCPM8baoypDEhBtE2aoa2kK
zqN9bOLY85q6CfJc22Zp81h18tmdl6tUkJ0ajdLaaWWibw20d3unLqhyTz+kTW/t0yps/Smdyi1V
5NqpEd4Xa9FSQAgPeRRe8LybN9Cxq20zgnNNqx2GQeULEj58DKP+6BpoidFtb4zePjYiNT4oUit9
xJnnWcs+LsqatzPatm2KouBgl0Bty1K6G1JxkYpiBQwcFqdDvFjoynDy+3rO/0cc9Tut64sgc+Yw
kGVHo1ilII9cvsEKI8FOpkW7C830qRUyui71uNiZ7sfI6/TTHKFYtmupPaKTLTp/kLEVOHmS3JOb
SZZNJ/UN4VxqXyde+6iXMy4sx8vuF/C8oOuW646aiZ2bZtOWZlG5Yx8sAlvozrac1/leaPpdIttl
qy/ofMl9QXtpZyLAqpGSjJ/Ko8Fc67OpjgchomNvj+JM3iUtTyKun9YWlN2ADyQQVur4bD/M7VPR
EEldETtlp/qTgpZF5kr4ZzEilurjmifvsOCKXrLyIdNMdRfWg34y+m4iTlXKOKEZKYu3EiY9INhK
+kNeZnC6HRuzbIcr5P0m/6J2VVLmtYcTutGs7GNCIPn6wM6P6L3Z1t1RC5yFz7NeOhsjLpHDial/
Jf0WFTJxoKd6RFaXyv5Bd5PjUI7y5C4OaVWtfU//cINA16xABmfW5imXgYUAeyMa79PQ5yRS4Bw2
hruc5CMW4cTYkyD0pWCG2eUMOm3vXCUT/34HEDPRqEP+Z1kSJwsdSEZ5HagQIIBwDZYkK3lpqojU
F3d56CoxHzDc0xmROdpmcoceuNtVREBUiG/Lhlsqku21Es6OSe3Fa0zsPQkjzVh09kMoKM8tHIxF
Stvo/NT2s9V8GQmyQT6vwhu7Tc29nhvGKXTzbJfmpEJBaHYbsJA1or9wDyBbt1UuPkjZXaWRlR47
e36GbYV+TCTN5cqURypSykfPG9/mIYtyXTtfJApMfwyT3ieK+FEYw9mxevBDVxB7SCo6ccz5dU5p
BYVZd3kclsQaxYjGm+Zr2w4wuZ4VbuxlqPaWRY9saCvkl9T0Xal8avf/j70zW67byKLsr/QPwIF5
eMWdL2dSIim+IChKxAwkEpmYvr4XZKtblqrscj3Xi6wIi8QdgMw85+y9tjuBJPCcJKIgbuLeyV6i
OYw+zO58pNVqXSz+2rW0526vwgptYsgVm2X50A1ufgvM/BI90ERfIqFJBxN6U1opuYLa82Kz9h4E
MOEtsJr8Yu76E7EHAs4yQRap0jb4D7aXrO78T1U5PY+JRhY3B19abQ9xxqRzr4GaHKZmwuDRMCsJ
YMbdqGoAzI/sjWHr+sLHK9H1yUZ5Ntzl5B5vRLsb0eBNHeJzFjQA/5nxpCPEGZ0xfXFyYbMWan0K
hwWgSZ7DocffdGT9zc8ZippDigpzN4bEY2hJZy0E/HHICajZp8Ho7O1KIFp3hXVIg+Jp5HR7giUM
grOnVu5kLIz03TFEcEbEm+wN9PaxK3xr77W4qy23Ns+hwAPeuuzkC6vqXvqy3Y6IP5zmM/V5oz66
uUr6knuWcKHmOI1g0FZSe0eA8qNKhjrgUex8ALp0byowEjeU8dEoYvCO5fqQtUWNsv7Y2WSbYHUW
vp18dPS46unjeZZkmey8HkJJQf7QAhMZXC7Alnv064EvP8Fpa4hBls7QBxHyRTQUHsJO7IjEeTRC
LlJe/e94/Z9MiBnPruPMf3+8PgEcYpntfyy6//ih71LBAIdzYDshwz22Hgym/+9oHVm/EZOMeA4t
IfZT6ugfi25vPVlz1sUC+ns9/l0q6P+2ZjkDeI18Eg+hdv6T2hut4p+O1kzRLBudm7fCalcQ5SpK
/LH4zv3cLSqrz84Tarec41yL+gQexoXoAoO1cbJcnANFxErRMedYM+aSjckxmxzJHh3+Ea0aoaZh
y5l1YfKA3n1o6UMp05zuNLese4DPMxt3MDrkUwdd3dsMWF2KzZxUYPQGux8u14ekixm3suhoevAu
SUHav8TwHLRxT/F8WqxFudzlLW6iKnDkbkBAk22ckaYglgIxxC5P4+eomIM35hcDw4UIbv9iwjXJ
BIaHDfgB29ta6ejal5GtMoTjtX81umhL6kHf9+Tt7Gnp0uqmSWci5/Ot/EEUxXzHpEBdy9Su7+sC
3P8umFqDJzycUp47D3Ja7BfivvJQZPPrux3RH/MxJbD8bHP4vLCykG6FzWAia/N27zXMbOw+gxmv
Rru0UD5B/ndVYD9VSNbYpmX1YNmku0WZ+5IOs7iBDxjRM3ecW20X8jS0s7vNLBvGz9JjcfKDnTGj
w5qEUd06gVFdO81475ljv0GTyEBPAJZ9I7VCHNyADDMUcOWFVaMaXxvO94N0Aj72LE+vQMm712OG
sTGG2qsvzXHHItVeJ0LW78XgR/uB0HO8OqQzpzLo75lbvXkJskArIbzBN+iyY4rrqHmWp8g1VvhL
3WxE5Z2HEY5hgHLrgV6Kc+9M0XRBK2W8zXuzuxNl9rmwnezVa/1xu6TTRWV6M71bhEmsji4mF2Hc
De1UP1SyrDdNWfXXyBizDT4SREZRCc+5UNfGVGrALHn/sZzw5bi9PdHh7uutQF+G15BXahCQsTWH
JP2whAFCVbz64FaKpo34tXS8d6YQ1oWTdeZ5NvWXin/PoM6t7oKhwUZG9Fl0H5AddkeDE5OeTIoE
A8yyXLuGozaFGIxDSUzHAcNGc2/a3NGBr9UlcxD3Yq7sWEjH3Vvc9lftRJU6yIDURkOpDEEh3h6y
oqoudpzB3XZ01w8aUsze6PSF70T92cz8q2HoO6IBfAZ3XRsWm7CYjKPTVEMZ99yDhKERJ6UR8G38
RT0aRrXP+uWezEhznwQXLlhXJFXN8zzq4jZzkK6j1bJmGdH0d++tzqx2eO7fehEEp7poqYOAhVZ2
/1IHnKWxHKp5U+f2heeOMOXXb2r+YqSJwHxAXPaizSdXR9NmmKPkKJACX40YqXeJFum2MN1PLIb9
DdCEaW/0sgUglnonjh7uo0vsDnlySBPrhBBiw2FGSyETJBkxN7n9CUxft9MBTgx4cjZhD+dF5Zeq
Vpw0FDKOJr9uEvxULl14xIj1tp4KXEnAg/blWEwbtyz6e87q1Z0IvfREyjUBZ0uJDzHyp7t6qpYD
pkpSBoWQh6Wc/CtXDkhxnfEkZ0yRIJn68W501SPGBuNodLN3PbpW1vCAtb07mozbDFoI286SdnE7
J6NTX3LSvoZQ85keJ8JBf4k+FM6Mbs3G6pCFeXI7O2F+42X9a+MK9+R1FA9Lbr36YqDBnklTvfSS
t0xUl9hKUdkXadVgrLU9bmkzrTj5uhVUqqy6nVl242xivataCbGS2fvLogFbDgnrM4pGdcm5feb0
OBHUUjP2eejk9NCYPu3HsKlvQGa6DDCiCgtQ6iXWCSlHRkaz7QZIfEFhEyxRtCdRgqQEUqyqbSua
6F4VwbtozXEDqYb8yiysUPeFVt7FhMCF6A2bGrOvm1P7p5tWewVU1NUSbK3m4NBW9X7+3duAN3B1
OkC6XH0P89Coc001qNlbjO6tNAqmoplbkLeJItH2b0rJEDJm+hgeSx0Wy+WEAfVuYsN+cGTCI1KO
3HonqQbvubdyec4WmkUxziLvs+Lux3eiuzTbMNUJXCK8RHDfkeBobxOku2d6S+G5mxNjr6KiSY9J
p04zQZ83WaWrh9AonCCWA5GTWZlw40bLmH0SodvvGLfXR4tIgde1E49JKZSkvtOvci9TR+I+ClxB
LbCMOjkNIuT5cIZhiElnNO4ES/t7U7rQnWiVj1dq6PvbebI7cxsQ5SDjBdVjCoVVOxNzlkU/maSw
vHbSzD+xJ6dQfWt91TtLfZMMXvRu0pUlibBKnHsDkNmTUVbLdQ3BCOpG9RVepv/Fo02Rx3nmdDrW
3lDtMFTnJw/TaM1qu+k5P8xbPHUctCO6upJg8Cx81MPsXXIYrr4YhVkk51qvwhjEjONd0rn+I/sI
HblpSfewC20D3xxjt41VWll6kvh63sqcqofFCEAn2aLDGo6NDLueM+M2L/weHh/dsk/FnJTXuOzT
lLtYuQETO6ZJke7KL67qynsxkljCEdve5EuTnEoLD59VohzYChrRN0vnEJbRj304xzYxlljM7ci8
ElU2fvLGefyahFn3gvV/IHkHP1ycAAGN4qmbjbNEq3HLtJPIDKeXxptrzv3NTEgOPDFisI46mGmV
BcYoXqJ0amCDLIk+CUs545YGCeagKKiLpy7MmcaHraPuCxewB3lBTnftK1GdeOaI1dC2KWb4TBTa
vPJo5wTS/JREAKywoJnlBFbG8A7oWvP7hNHwgfySYNNo3VAuhW5xYHkuKLOsod44pR1czqPqzlam
/K0vXHM7D7rfVjY3XFCJZUN16O4606NpWdhqR55q5DJIF7jlerXtPQ9GoDFokrwSmGQTDa5TH7gS
xXzVYBmThQriPNW9tSFvu30uZ1s0O7qvc0cGXLd8JTzWuUrMUWwd2//spln0Mcia+rVN+3bvZEw/
tyzxSY28omyNDWmvrIge8gTEbmZwFS1u8IJrsTqKTJBkDaBqoRHozM7nYJTZhcJH/hipLMvjsMaj
HneSTgI2tfaYhhN/LRddhkdijeZ7Bi0MKic7s16HaCC4qfHES+om6s6LFNaBYrLNT9gI22SXmqPm
XjJ7eF5NYH1BOdAVu6T2U+OMFit5Jm6z+Tgvyu/3DrqWC90znsfcbWCjlSiKcQyWJ9jLt+ai8+eu
Ca7TedjCnxxoqxnUqjrbwNiO7lwVmdc6cNMtssQg3yK6sRHDcDYMrTQ4dAj5RewhT/iMrsCmgdqK
9LFx52COkaGgo7IMvL0bq8+x4sLrusZki76dnOaTXVTDYXE9tV2EU+01qPtLC0W3r2X9NStsTayx
9ulWYEXJ4qFvsMT7Sn5MvSD57LsUuqizyQ/l21z6jZCuvsrsqTylHLOgMiQeFotcpgVi89Itvggz
GpoV0NVQUWcVSwuVPpTNjL7IVH3IPTODsuwZ1AeJvpQCSQ83uI8PTtbRJjU5I9ZjStOJhN99Izt9
DHMY1lS6afnch4GFrCUZmZJluYeJVgjb33XJslyUhiXOI7LbS95hdWm7ef6WLLna17lSjMe6YZ9G
TnPqqpS+XLk8wSocmYTblnxNnS64dbrO+MpgTP5vCPW7/+3vhlDMXP7STnf12vevbxhYvyr1p1KZ
qdH6k3+Uyn70W2QjT2QOSiHKtPr/z6dRU1MPEyljh973oJjvU6gVPBYAo+fHTCD4q+Dxj1LZtX6j
8I5W9aaDNJX58j8plX+RaHIFczXUW2vRjOD4z4Vy5CB5LIUhuE+rd4wJ0cEIW1zAIZv1Dz2EfyEI
/ldXAiwN02edef0y7arolrrLZHGlVdBRm+JFNEjsxoSz0D+/EtcgOMANyOEJ11fyw+Q9VaBJpCDC
V6F9IQTTvOmHmoqrWx7/8YVWYatrelzO5Fp/vtAQVBbTnEUwRyrfy6p8T4z8veC//81l1hEhYUPR
L98RGiaoEB65hxzJol0UIkPq0YhvSsIa//lHx70auWEQra2bnyllqTBrt814R0NSy8vJ1EytWlIx
ZPOPFc8hYDLbjrA+Oujsv8knfviSggHmO2Gt4kibuYx9Pd/P6QRHc34UA9jPv/4EeVp+mLRyZ68X
AzmEQonanQnVn78ow/Jans1WHKMOQHPQ1/JYhDBUWyN/NUNGPrkrndgC6PDffJ4IoPF3grjzf368
6LFqu8LZdxRd3j6QO+bEXmSUj0bxt46F9Wb7QW/y+3tEGsyqAKCKp/rP73HRBX7IFrmHoUEG1SBp
doVtJg9//Un+i6c49H+4yk/+UeI6IBnoiqsQxXFhy+lxqMfm3JD+/N98dD9c6aeVaaSF39Kb4Aap
NNFuU/G6tGRT/wePl/nrm8KbsvYeI1BYNsfGP390LQKvsG5FfURV3FKBDqQRzEIBZ3XreReh/9ji
sLT2Hd6UowmLd/st8wEBWnMeGLSSgUdc6Y7WGYJVPKVvQZbTFirAFhCoZe11UL7PTO9P6WINVyLo
YecywQLSHbVd3Ar+yZxxjjdLzvx4yhhtTR0pjzKyn8qAWFaPdszLUA/zdqyxlCUrqKSdGyy2Bfcz
M0g/JQ9G0/cBhR1uhw54Ab2XZkdkPCdZO2gelFG4RHAs49s3b+439+3g48idC4xeY9gPiJODMGt3
kOPNz9/CgfKe1/ONGFsnvOkShvKeeGhxQ4x2u1VEnaG7c8itiS1d0YDpwCKRSY2llxCgaVd0+DlA
ihlobXl3S83CVcOh2RBZZG+IAqVbkGJVYzyoN02wBgxmVDibgTi2s0uO5aGQhAtYpmq3IeP3QxjB
1gsq035Ks8G7mFIGzyk92kdiXrFz9o741Pm1/ZTw3plLjJb4JGpXL7ymAWltFqyeOMeh+xEDmUDq
b7i40/oRwWFoYDIm1UC9JHw0F1nRiRtfF++mxXeqC99+qsP8ferH5EH5UIBQXfHqsbCt3S88OrJC
FMuzHVXZbUED8r6AvnhiRVcISbERImtGBuH5+OIA2OLkwyFLKqhO8+vUEdFN4afNu2/AE7bagg8R
EHmztY0R88u3277qU/dMtiwMf7jPAGP4EIh3LjYLQ2nMgCIFl2TzltIgL1+iBcNrjYKMsVu2xgEQ
eUnC5yL96pA31GZXlh5EtPWzBHADdBEiFqwBuEzTriQp32zkpdHmyxPJAN6HqSkx8oE9PvMe512j
WDmBPQKSKUDPA82wPjhNy/3jSdPLAX57NO0QfpLU+C3RUk5IQCJSRtZGO3Ff+EcFhnNEGpicV412
j6qcFqG5GBsmYfTC5yg8KEcM9FyqUWSPirjm4aDDpnjF5mHso4bniC460+48GqrDNyzfyLH9eWEC
fQB6rKr9aEg73xcCmtxuKcKS1FuYLjoGb259XiKxApt5tlxwL8TXjF7/EbANOVnE7hLyAm+nxpsI
iEgbztk3Xeyb7ggc0yr5JjwEZC9ditJsStJmJ6feRlJQvNshQP8EQdKZF4IdMwUfYMw9ytes9rPr
tIymnU6xwNNyx0RPlDd/sKplIUEiXhYlD8UgdbnNxJR9bUTkHZvSJ6UEDtRy6Vr6WfTzcHBqzK8A
pLgRljFszqObv/cJvanOUCbsJyIuZfpV4RrfZj3NsM4+qnb4rLM5p/nk2zudCP+CrTC4yzQPJVHP
0860quFqUAANEc/QzAsV9gMRlE+hJZYLM5r2NRivDTEiUMbqsWRUiFc7jx1VcVOzKoLsq8S8hase
3TgcKuGs89RjXp1xmOJlcPpi3i2S1Y0oBYYK674rXN432eav5G2GNyEJnK+QmsM7h1Tcaybo1gf6
C8550txRJQvqi17p2SaxMduhWV2u/cJjxJiFCW2Di5awO3wvac+ak7lleGf5RN67ZvXqeSyUUrJ+
+HCa75Z8KmNbynmLLBlzh+fo8C5pS3lpjfR5sTtzG+pIdgeIf3qLxYNFzF7t0yOXphEpjzkp4BvE
k+Nb5jUnWCdNvKo7uINRiMu8unGEavfZ6JD0igHiBuY252qK+osKoB0reZfpPK4td1PSRYpJFwDL
52tr923VHbP8kypD66s5sloxu642hJNa10jac1j8qNeRMJPtMXKSgNuovOuCNPEe9z4EOGlvvDXh
u1OQsTFatx/ziU9oCRjSTybQGdfox43mG14TpcCop7AYPgwiZeIF2/+cLGQM95q1x0hZPcaIh74c
aj7zqNV7p/DorTZDfu0ktvk5srS6oJvDebTVCEH7ChSTOZAa3EaHOkqNKyXzGyd3hmejKOg2TZm6
SorlKTed8SksYaaHM6EHqHK84wIWcNdkXX0jDJngGf4UdLLe5k72jhkz3bgq/8jz/CgHMz3atFB3
WVp3G2U64sade5um9Yw0yXc/Gx5tVDtg0ytXVLuRZ9VjR+LsWTasOGYdWh8IJhctUPZxpsO/ni18
l9D2he9gT+01xiXiPAZsLji9mR7usbY9Vx6aLIptKxMMA3t6qMzVKhazgiKPjoldMG+xUrM8NWNH
mzQUTB8bmgMw9VDKyJgxfl7HTtopE/zT2NWxqO2PfW3X57FzEOWCCEekF+ru7FQ9Thirnm3MB93U
Bv7F/LvwfDQryfpXB2Ny32GtI16gLDLj4BIVlp1Ju3WGKbbrZAjP7gDkAq29Jq1vw1lcapq0oBLe
+5mOJ76Vsv4qPB/kZJ4GpykMhLUhQk3CW+gAk4FfY12fwwD7OqxppW6ZywG0KJiGaNqoabFTIpPu
dnH02qzrrf4lLM1SbdqpesCmNjGns3z87hyu3TxGZTycyfcqt7kwP7uhPjKLxLs5O3Xs4p7f21CE
tiwcw53nFcaVRVIWaq+gxsXu2vOB59RG+1wgTdRVqI52p9Vu6pLXMvPKXcDkcWebbbhtg856rhVz
Ms0ejcs8Rc5PXq82NqRxL9c8rulbWgWWjkurN+IqmBAdVIZxyifE5qh68J8xdGH5pt1HoBECUxLu
3ajyGKVkBA9o7HLAH73hbzyn1i/m34i9M+QIj/MapN0aYPtj9dovS+rq3qyOHRvo1rcJLVcpgWAo
3DgnKI6W17NjkAJtL5wrykiuHDjC3hW5XzkkkL8r1NZR+Z/qivX10CGwAgA1FLs/Fbnw71KeAV4P
6PFHjdVGlqypAK5em0rfJzPb3F+XGOtp+6cLgtuHHOTCyabPsRZzP1SGkCq9Oh1FBeOTQxg5qOgp
G7bjpskIFiEY6vcO178FrP/CxEFvYIEwWsncSPZ/t13+cMFGcsBx/bJiQelgqLJKtNu8bwaxLWT9
im2LlKU+4zzohSNQXLadEVmsf8jIp9pnVmVskhKPH3G8wMugiPxN48T5pTzh9eGghpULephO0k/l
iZjy1ghdXR4zjANnPfT1e+t0PFMj4UtmjcyewzYZ7jxIWWGpa9JoKGZLXrGwOGjnvAmOMs05tEmN
n20qzz4XEAnRl3oXgFDJ3sEKcFn6sHbV0IFmUDrxjmnCquwgaGp3blAnD1gd3Ff0nqSm4VcaDqFh
BXdzQhBqnMxT9WjmefHybVdsGuzym3Ep8aj99b1h/SLsWD8LTpRItH0PmvtPN0eqx6Rg9yqPas28
8AzSUNRUpJvRcZ+7PGCCybExDovM3qNO8pjnq/Nfv4Rf6uwINEJo42rnK+E2/ekVqNlnqJZb+TGi
3j54Rgomwx3/bhn4pWPBVWhU2ITnuqQL/Pyd61xjc0Wkc8Tj6mDeYOFqBGI9FLDUGX7ZwpAtKB6y
kkPvX79B+9fPmCPKatomXBoKws/l8GyV7iCrMTu6/QgBoXLJO/mGD6k1R2MMp958ExmkntDCfyyZ
krwbwkPrjK8aXxkWWSKRsaxi5q002SapEhwn3VIeOX9Hl7jZyGVCWKFORtJTuH579f8zTfxdvxqT
kfPDF/0L9+OmrF5J1fyzYeL3H/pumHChe6yNarYdFkLvh1Y1rgdsEfTPaMiYa9Q4T8Ufrepvtik8
TgFeCyxT39vUjvMbfiyAH3g57PXnwn/UpvbWbe+HXYHWNDIumwhyXoHlfCPQ/bgrSJTRzYRB+kwE
07R13IpmwaD2ICZCvNtsDSePsyYQ1T5bvB1wbW18zJRXfEGiauNKnWhErNicOsoTQpBgK37Qc1cB
z47y4pbzr3wZZB588pCgnDPUpBdqLOwtzTq57Vja6jPGX+KPeN5QnxeYW0UHohV/dHs1zFosh3pG
nAkHiBIps8W+HihIPw05WohjaGZrjlA3+8/DOOnwdkY5tw1wiCGBb5W7c/yhaTa0VsL8dVBG9qwJ
cq+PSB7w14seWf+lYvakEM1UtelutLkiY+N6zDmoXlcZXpdgjzl+EdctBx50yFMvg1UtQf0EONZ3
5LSr4csaNRZo1wtR2dgJ+j3gQqzt1/TkE5CvScXn2cX5XOtxDQqPTAwaA2ChDfkNlvk2jlU/LruS
6RW+2LLpPY60yNeSclNruZD96esGrQY2SYN8V4UEmLZLuHSutfUK4S4bqlmSlTbkh9pZULJQ63Yp
viwJznOv3ChQxh4W8DZ3Cblijn6wyymR10GtjJNJLNutWYQQuCLDicFbMbbvs+aUGcZwSD1hozz3
qamc3oTuajXjnUVZv/cjMb8Goih3IyIHkhbnbJu3fbcfwrq8lEbuHFC61CfYEPrA1L5j4Wpa4g6G
apXrTptAZ+W+rpt26/hZeuPZzFmHrJq2kNRgSChS5WjftBADo+RO1jC4cMCiGiqTiu6NMYibqvA/
ghJM7zj497djNgR32DyGT1lNHGsaWclZimy6Wx2DexQv+SO2Bqofu52f2MZXK6vW2HcDO0GvkwfX
UVQmj/QInCNJScaNMSWrLl0aKNkC6VwClQJsRm71srUCWdJS70KI0igTP3a+1Tz0My2QmFThdNpg
LHKmTV7LYNq0pPeeGgwLK6Wrr3fM49VpnBZ5GFE0PcIVdi6iJaC3ZrHgf3Aji3N4KBCLYTyR1bs1
uj5G4GDxpjht4dGQwYWGCaflrcyX4CRH70PRBfDrtUvzy5mCSwv2FtIPiLlUKVIPNzpNiWeapvbo
upGOVTHzXeuql3dZ5TePEjc+jrxAfMYA/2QxKd8Qqhqe+abRQQgHqHcvwquFgu0OpEF2blCaf0jh
eDxrBCT1PsIQ+FYQY3xhLE2A3KBzgjMSnWjvFuLrEHXJEXpit8twZ/INBsVDVIb62fSL6onAnfzJ
GVXubbwuLJ86iBbbESgtgd0KOVNg2bsoGNU+p70ytgX2CMZqdDGd+aaJGu88Tn004vkvCxHzs8aN
VSCDXrylAJflm/ltkxTTeTLEJDdtWlL4WxzzMi+kjMqV0W9dBFq7dtQCRuAIHgwcdRwEVbZJDROb
Uz+eydWFoDh79qMbGM6NMuTHfJEPhTCCL5PXIsVkxA1HwMNf7m1ssWD4oZy7qM0ZxK9yIe0XPUGK
eXoCrhlczSPey7bV/cNShdDapdm++dpEAjUu7S0C/uUzfUYqAouUijiqIQ2nmAw+ppnrbfwOTjXq
nW7ekq2TXmHS05+UZ2ybtoIBXdYmBA6cV8gW5JmYgfQVJ0D+FekLxeXQXRJsOO48f5y22aCdZztL
8qNjMAOBdz7OlzZpGVu39CFgKFwvPHFuZl5bHcp92aISiCku2jsUcogZhLIIOtSEkQ2kRRGNm6yA
F6b1oLBtsmTv29GlAVqmo/MwqCT8XI4Acsg+oODcfAuMTRL0F3QLw0vmEt6r9qi8AF5LEkjUGvOs
TTD4qdUgGtRh1sc2KtyrgCPWh9ky+usAGMBM2AJKGhAvdKn6PDu1dThQFc8W6b+W3V73OYaYaPRa
WhrTW8eed2/hNTmlHJU2/NJ0kxYAX7xSRFjh3enSUHa+GvLCN7eV3ntruF9y0dmXVjD0ajN39RxX
EcYLSQMrr43yasTsdBU5ZXkJydkv4mJ5y7DexygkCf6epo+tKR+mbsE0Zkn0HQRXxCgssn1uWR7a
hyW6QwrY7gzfzkgmRYZ0JJH1uiqHdI/PI8HRIq2nvPMwb6Weued5fyswVNGooOeUEfPwIQ0sVpBM
IngAT76TMGCqK49m7saj6rpqG3o7xjjB4vdrXx1cDMp33LkgYkyCEvO5lV+6Cb8S7Umr4tjjho8p
0fRnXuG8tUcBxdHD8offxqtv6wTmXwUZ82Q1yt6YvTlt597MLw2yNWO6Xe1B6UmjBp/UJzqC2bYK
6ZgMQfmieuszcwAgz2yPl8NYpzSP+zEjipa+TdO3kDxrIDKzM/XvljOUOzSU+qEw4dPQx5a7Ng3J
jw7pRzjSSB6wRfTX5FKpwxjhj5v7XN4MpBVZu4KWDBxRgBckjmbGCTYnKdLZxmvGz9J0q5cOscc+
Baz9pUZEsiNBle81DF/QJX6VZd6fHIPt3gzKctt5/C0B2BvPHh7AIVfmyST6eDvklr23VW5dLsIo
3qICLKiqaBsprzEQFSfVXUEE9Nnui3wvVNGdNAeSne7ARDnkYe9xg09bA/HngcJuuMjrtuI5mvD1
KcswtiZSos0EbAO1V9+8KW8kI9BFNKNThFVz5h9HmA3EL1wtLnPfxq3L2BSRvW8t760zxZ2mwR9T
Xq/0leXAEk2eiUPQfE4wRsbYY5+XCyeMyvR3pdleB0LeBWZ/iPrusKAQxPlT0gnLmnsmy+W5aNHp
NRKTY4efN2ZqYsdulp37pVoN3tWVUxvGfUS9fqh8HR1d6inaWEyByuZ2lnm2VzU+cxqDDUT6+S4a
tAWdtGTaoATTr0U09IZaVGqZtg7N4CwswoGD8HiyY9b24IOitj4uRdLSPrK+dolv7DBB1SSkIkWz
c+GxkZUZ+wG02hH78ltez90uMLj92t44+tPQ3PnGELIZL2ibPG1tzEjo01TL6Ih6Ez9TvoTnWs13
Ve69AG7/+L9a6j9xyFD/WLTB/r1D5vrr+H/OX2X/df7RI/PHj/1RTaHu4b7ymSi7ay31DYj4HaPo
/YbmELQcnkxc5GvV9F33Y/3m+CD/1v4CZf83msV3i0yIkGgd7fN/TNcyaQn8AzyF4/zc14PKR9OL
Gh91UeBa4U96AbsjR9xhEztGA0fgTSMdtZvTVpYXDAUZrpqyGx5Sr4d9ZuaZPg2Io+84jA71gYg8
WLESLFQd04DICe/VNIFWW4Mt0EOTbuzmPDC9eQhKfJ1p1DGonIyRAZiVOVt6wcmHyW68Z5i/rxXS
v5Rf9WHoEu9Ble1y18voAxrBAli/KN249aukRw0akE7vFDALR9drqB1C67736YQoocznCGQMGTxG
bt83zVieezmoHfsrfAgm7vHoB8bO9YLpml5Yv7UMy7pPmJju6t6I3oEzA3HlfEv3bqgXSQQG/l32
w1K8OoOlmLOByljcHob0+kGVC600GWSf+f7J56INBQLWGiQ7s1zCA/LiqAWxpU9LWbibwNH8YO+N
pK3YjZjRItVRHT0NxUJyRlOF5jMVDjAgMUQbygtwHua0IF/qscUYdLgXKxxZJwoDl0qu8KjnraPj
TEXSi1EK2mQoIY8+AuHFCcxw1fikteM9hKqoa0oyx7qUYQ8FaPSs6nEuqwCNQKqtZ4kIh/iCyeS3
VXU23YSiMt6XbIw2CHqTc5lN2ReDYuRa0Io7fHt97PjyxJ0tEW/y58mu2D+ArVH4Qudrxr0pdXMA
nDgwxhDLnpGXsUOrrHbNMsDtDVRuX6ahxZki1gozyCVWGEJrk8oql6OPt9nZZyQU0XtcVsBWkSxG
3BhteV7c9jRIF6KZKga9V3lqPwsDWPneEnNoHrhVQMKzaj9zIGIDoPVPobeej3q8PTQxPe+hrZfq
URpO9ZAJOT93Iusvw8ZBr7sM4T4D+ONvsSs4VMk6vUD1nT0VlBUcombvwhB82aFflH5cKibd6NqB
Bi0e6/pi983BQ/0Xl16noE1HCusSTvpPSzPOByT0YM+xdL6PvjOKTSLruo2pSqZsm9oUAfuoMFV2
XVYtv4sYcgGdit6/DSoAxyt2B4lxe0cCSH+f1NF8lS9juXGY1m8hXyVXtV/njPo4IRwsFVnIETLn
ke5beaDCNEjY8TOiliaV1+GhtMz+QbXus6cqfQlS9AkiysyUZ+goKQoNrWY3lNVVnSZs6L3l+/s8
XDA7BHhdaTw05zQBLMmpMJQ3y1K1tz3E87vecPz9OM/1rZe71lmnUPAsuyNXKvi/7J3HctxIurZv
5Y+zRweARCaAxdmUoy2SkkjKbBCUKMF7l8DV/0+K6jjN0owYs59Ft4JSsQAk0nzmNco7X9Hr2iMT
sV4mKGNhvezOiMAUUjxolGY3slwQKiaWZqES6hCN4G1SuZj9bGly5Qejuro3lZJig27xipxMb521
jcAyRITZrQ5EflVZs7wbZOzuJypDfNDv7RElmoIuZ2CF3nURtum4m+mAfsLhMD1GjhMbufIMwGgN
HYZXvzZhvquAks2bzEEMgSKrQJnP5nee1jZk0VsZ7YLzuC4hmoTo8eEf7yT7MZkEcJK8Wh8QeLPB
G7QJClVNB2ajqR8tJZczt/XpDIvFwnWb+odt7TH7IhKeisFDxMxInI+VdFjKEmnqsZjt3aTUcjVH
Tf0u0Wv/MeT5xYUXrTq7aMoaUpFaYxKnKEM8b1EjCSshIqK4lUSoxm7HcbsmoCSoAzUdVjGo7dC9
swHMQzfbul2ZXU34pSM8QbgD5d1FbkMo9DhAUuizBA9seoHA3FfyYfQm3AuQ0P5NDdDoPs8LNv/R
he1CRg1Z3a+KoSFSXru7LsjzS78CxVfTKHnnKqD3ux5rlc8/d5Y2HyLMxMv8sqBWtXOd1bFfVlED
9OmDXtmjOqiTO2XZbKtAssBL4w2Nr0utqjMdsz3Tv0OBaIhn970jzYWQhNO7itBVbKGMrcfZnick
SWYrrG447ZebvsNBbVcj17vvEfw8dnBbX4wC/1t6fqP0jPATwcO/j5YwHunzV3Xnl9/4FShxFv4F
mRj4HYhno8pDL+QlUHJ8nJRRkAXyyqmHtAoKOr8CJUSqQUcbhC/4XoNepin2K1CS/JPZaQN6eb7p
ZPxH9suI+vyz8GxuBxC9hLJMiOThmHDSfQv8aSnL0fa+J/baZD+wL4iEvZuBIbXotAyZuzxmRQxS
v19EQQe8J+36pqOiqa6dGrUa99BYHkl03gYcYmQGkR0l0Ps5Wx86u7QyPACg6q8KCIiOJyBQYmq9
aYtaAOT8Xcox5t4SMjY+wBa7sWbK2mPU7YtsjAfKHzgpkr6voy2DM9HHZN4bjXtD2G2LWSNbeaim
rG9S6mJoNLxlTXvSj4N1SF0eV+qA/0C90xB73ayte+UgcLjK700/Q7JDlBZVjnzTERPnxzCWIZfU
TlqVP1rFFnLPIRJya24COInSsTPH+iVp+bft3JP2FbfkU1ShH4+QsgIoT5z8qn/sZ4jz1X0XPzuw
bfNjg9+YiR1GbOnOjKIQmCtIKomTIQbYBAAAMt3k/iZjo86fat0vIKL8EbewS/wjejvZr1G8jggM
aV7FfiAXw4QEUVxL79Wat+pmpYbFx0rqZSBj7LgfSb7/sWDuXvoc/68ay7uaKLr/3/953XREcZ1B
xpsmxKPVgSF/iiOOErDe0Nwq4EBs9B9klVr1e062er3784VYUf9os5gLkaxQWcVnBmg713s9eAuy
/uGKg92z4G07Yt8UEcS9jWuzwrUATnM797XEOmpRsoCM20Dwmd5j7vAmQJwk6PROkD5Fg17iF4ss
wAnuAMr6AugsU8/gEjt1IwmbBw7O0gLJcokFyIoO0Z+f/fSKeLtihwv2gJqczZQ+efYKBdMZInDy
OSdkLS+piQ/lgwsmt7t2++EN1/PTN0o3SwKqCDzmKO006b4eaDrccZo0ff9laptsfZSZ3wUrNESc
RKs3nst9neqZb0fFHMEFVBdo5An75MFiQp6iqCb3oeoHO0CAy1F0kqg8pQS1aUY5meytXkv+8K1l
AAmFgVz4mGWDRKUFod8CLcLSFWZlNLMowAI7K/zCezuNLfkp8ZN4+ZbUQJCGractmzcTDKirJhdT
QGml2WKtwacnyxE8nJVL6Z3HsSUM9HAqY14r6UCu2wuoZ+lSHDCejL0XtY9/uy2cjDdjQPYsUDJH
EcKwKE7GQOK8izLCqB/GMkvYAqI6hjy6oZxVvEULEa+b94y3YhGR7HBioWwGbuP1u51xo2wbpM7u
A8gU5lojak83RjeQRx1hktRi9zKrC44/RqFCbaZtDr9+6qZR52SVs83g4qYQAF3MnKIhfnFLynTz
hZVno7VeoxCRkEWlDYUvKJMjNMV9XkFq+0RdSAzwPyMvh2xTuUvCH1ZBhJft1sBe+bepLs0LR2qL
q1jNyH7nt7O58OTMPmebJdE4U8TBXcwvI8Zq3jtYPpe9rqc3yn2PP+duJhiQBDLdQEROu6cEI/kG
Rsf0l/+xG/iwJwgR6DyDipIodJ6+vpYnmAK7ib4Vk/A/ZR3esgc3RWhc5UHjEdAmwwE73fBqoeMS
ASaOKvB6efGIwD11/iogJw17FI5D/GXg9CZD+xAJLXr8NfspAYA7YZoTZu/Kyre/TY0HWVd1Fthq
34/V7YTGwlVip/0RpeJk3bRlgla1Rbj5cfWDZrpENSmTmwbPHA8dJAnDY7XopA4FrO5tH3Z3nsII
8OAVljj6S0cPuaHW54TcYdIX3iW5ISF41gySYJbWQ7YdnOKL5dfyatExSfq4trazI6Pw7906mJ+a
hLKpyZgSUOZx35+5GFXcz5QaHlMhgIcFtuVVgI9l8xkF4B7Jh6b7AMKx/1640Xie6TE7VI63NDgN
IUO4xVoGc8sR3D0aQvV+mMNp3gRJln0cA6WQpEK3bzfMXX2/0rSlA28aLBVebFs0WN95w2J/dZEj
+oKLKsqjoxy3iVblVe73pN7pkr7lyn06IYj52MykEOALKJidrGe6BbmPH1n1zPvSd4DLkRNDTBkj
CNXZ6o2Y4vWCZvZxMWARhDoukDQu+XpBR6uHL1cXVs9U70tOX23fQ1l3+01Z5scJm4hkq0kJ343w
5/M3eDC/zfyfj8kp6ICjIKg92UxG2eMB4nXlc1tVQLPgjeOwXAr0ad44Jn5+0/9BLH4+pWG/UKyE
VohG3cmQahch5clPkmcHCW24+y7HxaYG9pfiWFb47ysgpcahnUabXcDx3Ympob2JFpXa6WIgoCIM
Vred6sLLymr9B85bpCsmnEIfyxKEvDtUJRz4wfHe2UAofpSjCK4rOpPvUPpyP4bZCGjIqR0QsHEe
3wpcyhN070t1B8FjLvYO1t7wb8LlOavR9oNf0gGxl/aTrQexXXl/b2C9TsJbhsSEAdR1GRfBGX0a
EjiW32sPkaxnbzSDnwBEPhN1VpzrVT9VTlh8FhChdiMYSRAVnaXOMWyCufFGYGJG/tWb8U0ahCAo
XQBzjJ/MASePoP3Eif8cj2uBb3vV5Rsd0OPZ9WmxDrvJK9GYKwc9blKrQdGnrgGPpDo8To2aBuCt
sXW7OrF3LtalgoqNFxTE4kpuu9w6pksFw14sZ5Uoxb2zNsVtDcdr2Chgx8t2HTRtw6xG7gwCjf8e
Sh/MDsM5WGBd3wi/AYZqd/I8jevmtqSqNOzqqB+/LkUyPtjSzd9ZFU50EC+c+SDcgfqOwML2fi5C
CCxI0vAAiXZQ6RjiuNj4WUs9w+dM/OBJK7hOk8X7iAUETds4z4EW/Hlwzdidjq0XMO85pMhAT0mc
ow0Mhjp99NymnryxWpE9NqlY0AVuK5rJs7H/+vMVndcpJbPKN2kOogwgCAluPbPd/ANwioR80UHZ
yb5jyw2rB1/Ukhhhsa5C2vEH0N0DO72Mu+dG2MVjGmtETtLQfmdNoTj8+V7U71OLUJPt86dxk3JO
w2wKLTAj4qr6HmsPeoeK6ugLnFa0pugdS9rCLsSZEbETyDvSSZZdlih5Tic63SFRgZ26wjgygRKh
/E8pKnnFNsXkYV9ZfXLMVdqfYxuhb9SIRAac/JhiPjCvedODCvmpFU3frnOCeotxmGzOLIblkOWD
dcTEkrJPPPvWNTCOBb2QmeMsk2lDH5TTe1s7+AECaQJuZIkSV7qiLSoatzMskwn1r0c5QVYiFqHY
iY3GRVIWotug3OSj6K8zQAcqtfs7DGnofvpZDRe51kN0GHDHgE1X+81xbqgcb2rQHGSsgVsjHoNz
O0APFbsfh65OP2GgOPzwUhcUBwQ6DNn+/HZe7/1kY1KogLPHEMfZl093ZMuho4iRr/hWwOkk/GsX
+i85csAApt6CGb9eBybzYyICuQbJB4eUaOv1pHTTqsibVLrPmnAi9b67yGknyQU6nkSGcd2apK+g
yIgY+X/6kGS1yDSjt4xYGQHz6wsjDEa7J8v7b9oOR5MD+UUwvY8gsxEt//lSJ1Bv85BwB9G4UdIl
x/0tC+AtO3g7uOUzMZcsfSK+qHooaIq39MLx0oHbqMM1ssvrOoUoYu/llOTrY9b7DaFtWVCigfuW
UYJ/l2V4EeECMlVucQ36oQuWcxpTHtziP9/0by+Gox8sJuJ4P7t+pwEAMWLgoupRfUNro+MugHnl
2Y8JuSb5iX2eBtguKqcautafr+v8PvvoESpXBexTIHNOCymRZVy5Oml9pcPhuCumEDLFYJp4N+ns
rSOQzyrOSdxz/wmpppjsoO26jnSvtLQ73aflOpPuJYFeh69x5WQhMiPKXa4o9nukNH++W9bFq40c
Z2BUBWlpskw4J9EyOAlfJJyBDhRi/TUJSAxIXOg5rfQmtEms1wUzy4kUoOmRlhVRymrqK8+jPFWh
5UpKE+YeWSwTsMx+qJ42rCnI/UyfJsfDuuqlJIStDvUOqfF2+QSaOYT2jDKmyeso4/e8naobFMlT
JRxQROCLIlM0YjPEC2DnApOHZpZALf68Lqx7tWkRdGMsXIxEyKfsNVVtdnC9VrK+22ROjQ+wl5Xf
1YwivwPZLurXO5Z/KD+BlGBqwpDNSM+cJgurEaIEXb0caecM7q9C/etxHYRP6t21anrfZ/zNvEmq
jB3EQCpq3pmb6JlLYwee0gnIRGOZXC7gOyDa2OgixZCTK1XJza+kDwXBiI+kCh69OpMTfK53w+yX
lNeWVmfUAPrOy9h7szjk0lYK2gWLVUQNuRpS+6TCIszT9jMqQnI6pzLQpsfCq4LlDDEyXV0lrbWM
l4ByNHNJB5HZ+VLQK8tVMPUmn7YhwfFHG0Quq60J2oHgsvboFefnvx5AZoNJeUkOQlJe244sBlTa
ZMJXPTRtNrGCg8AqYTiByyj3qd8sJF1IiWdoA7wMQgvCt9sLvInSZMuUq2e9waBFmsSX0gmX1k3C
5riImmeKX0bVo6PJyMmgGfnAPA9JDuGpGymqOElorgiAjTrygrEKw9IsfsvjsdGb6VKjyJP9EDkW
Jv0+i9CQfl8NSLj6h0zg9aw2jcxc1tRUhSGzJna7gncmNH2oHxxNTuQfhhjaoLi0PJ0u39pST4xh
DYnLEAjZGJ3oQwCAxpQB/JG6zgUsg4mcP14rU03OHC34twUAqXmILGyUPrYimqp4X8PI4459d2IX
2HerwBB7X7uRmb8dXHh+igPRiuky7CePb6mX2mMpkBTRM+XND6ggbzq6eNzSwtPzl6j1mXvxwoQa
whb+C0twCfBXIMFcFX3DifoKt5eVaWAqyRHQxfSmR1ufGsfo8cMWCROf28pAi/KM7YR704+RHiLD
iRSimXMFRWnvPBs0CJlDDJKTKWqK/dN9E1T8v0W1mwXsZ+TBNxSzV8ooUH1Z50u30NHarElOaRig
bGeWNJ6MfCmwLIc3IXsq2aDOG0dM91CvKRzuE2KHfjmftN1n5XFC5JsvbDvwufjsxL0piGmBAvCw
a/LQsB4psEnd7TL7Hj8eCM07yoa+2ZmSIsnWg7JxDYbF2IjDkC8x+lfMbUQb48lu1ju5LIZ9TJGI
9HEPALNYKgKFuVY3SsLERnEI39rWJrSj4HdbO0kKmILugXnDNFgX1AfAnfT4YSBaWaTLBreNoe6p
qWBdNV/l2Ltyj5GFO8G31gvSWj5VvVPxMKBVQYx8wCou8jAs6+tQB1tgrGgo7tmI2W72A5qoS7uN
m7EOQ9yTFIJWm8hVAw1/kY0S8C+SVmA4v62ztDxgTpQkeOYwA39L5N2BQEjia+wrR8fHCARzcSZP
CsXRIAnmhXAxB03CTzbaXcyhSKRtHl/VK3QsKMjuNHbOzSoFWyX6kKaUVoI4JWjUtuWM7U0/K2Sx
DlnVjrwlCiKmvFUvyFKpbdjaZhdEPB3DyY2dNhF1M3toZj5JU8VUu4YuMvtSbk/G83ugZIrAIbR+
tqfG04g/Xg2Jxe4wMYqsBccdeibU1HaCGhlvH73Fq2CJmelB0a/ceKKtkUt7DnZTWKPjwMxZvzSm
ZFhGENv7feAV5pAdhrFlOmoloYdxKHcL+8MSJJZ3i1Zmh6AeWxSF1qYd0BvcB3AJUNqDxMz1bdx6
l2/QpumP/OqMsOubwZkJqOHt5uDmWpjgSTYL62LMVgR1sLUW8a6N5irae/YYtR9ID3n4tObwJ+Ze
qBo2Bz+bLUYJ2UWfhQ2agAI/4kKjGcFf0xprPPNvi1cLJi5UbFPKJ40w2z00cA4tZGBsxhjVuBAP
ASLR2GZ9WtgtUGAOADfSJU8cv7lxU7bdXR/m3UAQvzqL+mJVc9F9sJG+vCexC0FWd12btpeqanAN
VfU0Nt+akjPmqotLyztG3KnAFqNJ2y94j6v1kPvAk59JIdaOTFqV3dNMT3q+hXaAj8BsFQOULyEB
moJBQmiw2bae8PrxMM8ymG66Ft+dGoiPXTrXouBY3UfBgCR2yzvq2OR10K6guiuwLHob63wyIf3a
zZQQPIQH3BA1Vcrwn0PQ0t4HVQyLF1Ps8HJtbUKgrAhVNiHPHzFPo3i4GBJOsmLrr8W8rruQioCN
9QAqS/WVZnEAWh1I4G3Yzocp9NEPkwRo632c4UTNwacG/7LHgxo3CLA1zhbvuRBRShUPOE5Ytetn
AEt9t9vGsojPfVcMu7a25/UqCivbPnNmB7Jd1GjwtZsB4fEUk0MhrbsGxoP3MCLukNVnNszfpt2H
ta31vR60GI74J1TWe8/y+vURNw6gHbJTqntYfSgi9aYYlN81ZwGFj1Vv7AlB8R3uPkV+hiZ9pg9r
7SHasgmhwrmUC7q1b4OvTpkF1TP0G+TEdwjBLe33MJMCIMToN7WP/mIvB1zEoqql0DrmtizUWQQu
Wt0gdG3l+dmkqOsVyfcEVBBIGjBM+YgojCOHZVV7JQZhxTedy8Nkd7+ib3spIuW8n2PKLuBXkD/n
WGpKUTbyYab+2ni7Jpq7aCKewl8oRwXUl0RjkT2zYDp0Apn/ldVlRFCdwGGWYyVkI2FxtxBkOGs5
wFkOsHzMDgdix0SYqQX3MjpgvoY+v3mwZg6uwJNZhKQyacGvHWVSZpwy1HkQbDlbfJ/vPIyoYLIF
qD43mYNPIszdLhhCoUoxtmWqPsmqN25wDoW5PESXfqD72YytZJuUfU9kH8Czadwzz5VEwZQrTBQd
LnPDXpYFKDnMV+gnRKiPCBwMbEStK7WKc6R3CkIi5EcEewoYWJsHJS4J6IBLWXZmQyypTfuHOYDf
NV/AQ6ejcGgq35yccHNNc6KjDMa1R3/Fm+bD5MmWf6ujUPNlNkwk1lIv6477h51v9smcsgYfcTMn
5I5A5/dI5lHMNfFqGE3sNi5KGerrTIWpPig386vruM4mjkWIiyaWqhrfhCxJOJgxguCoBufHaPUL
PjYYpFLf3HAe0sncIOSgGduQahjDzx6+mBDpZwNa9aU5pX6dYJ5TM455bZseqgJBw907IrIYyAaH
hrDGe6Ik6ShGi4Flm8nMHYy9lTB9/h6JtWUJbWjerUSkfpXwjXU5qNLDnqRaoHgREJmpmNrEAe9l
qWkMYQ5NN/zlNXJgOs4j6d843KOGpXlikVUO72js4Xx1NxUuWcDd1zmjSPZ5yn2ZQUJuVFzONB2k
mu5Xn6ZbsqFmaNrhHQQemn6NXZmgwh6g9UCadxeTyAeqZbLQRFQOdKPZ7vwB6oZLlBK7kYnmp7rp
KCLaTdxPwR0ej/gIXKvIt7mfZUUhF3yUwG0TK9icIBPnF88sEcB6pgWPUQsfiCbPBGpQsgkPW8dM
MBGNaeueta6P/+gufjldkwmOmbUda0hkaitEQxQIRc7Em4My8zGCTE1kbTMC2Y9o9St+4O/Np4lK
uvVuLgKf49JJuC93myS+CQ1zNcYmmBeNuduX5QFQkPdSjHPNS4W9JIbymr4TjrlTMGO+fA6sNfdZ
1RAwmKbpQkyQHbzOM3O3qOCaHcvZiadhFxfI1o6XfEEpCGrxKeLdjuBxuVa1djyC3UypKVY4JrQO
p5qULwaf2j2hKZOisNDnY4PRE7mlJ6692RlySFfSZZ6VtmuSwKyRZGy2o80LQeyW8JLEk/c8LHJd
rsTskj8BeV00THdXtPnTlDiaQYleIp8+tifTHayDjqel/vxTL+glIw7WKiQw0HFsk31VcWsalFBB
gLIslmXpb2Ia2/XOtibb3oqkSUhHpqSLQcIHqhHjvVoLAQ3amh3G30pCk3RTvzdRWKcdk+TTozGB
fAyOd7qP+ijmrQ3ocRKu68Ba8fPpJlkRo4SyXh8ZdbPjrk5LunfR+k2FtDz5A9NJSS4P2CBazVbZ
sCer88aXekj26FQx9c+dgFrotyUPiKNell41gbdcN4VVhhVKsC2GUBAjkDU3E6OaTf3IitCeYkr6
djBXtzZsm6plQCgAQ/8K8ftCSMzxzRInW46bo1K5R/C6zFl8FiWVHt+hSLL2F8GoneI86F1yCg42
yyM+EHqAFnfAgrjma0IPiyBUhtrKRKIu8qPsM/NL1qjzGPLoRZthNlAeCfhHte2pXLnFPownkwW+
JBZFtJqbrtGSQrSWVbYYZYAAA49LbwrQrd6RJNnMfqT1K15p6sCTzM/HCin6EjXrERkuTI8rLz/6
xquAD64LM2pBvpS5NvAaMRzQeZ/iSYLxdr+CVUpElT+JWpsMfXnZOULdm0C3dHCufqvA+i9qRgE1
QaQigdtL57TAGmhaqVFYzF91NJg8c0qsIpE7VCZgvWx6+lG80j8Xqk6rapSpUMmT6M15jhsQOL0u
dy5NVQX2oIavUs0GT/YyNYoAEutbT/f7pXwcx2l7GQgbYLmTyirOQc06UZ34mnqR2Z9qBZqYoJDN
mr3rz4/1sxr4f30UU36D4wBzjUaKwOz7tEzZ2w79gCIXX7UoRxKZMSldZqIcvIRlmNBG5CxEi4hN
Y6w82VNEmYo2KLbN4JJ3U4UwWKuQlNfsPS878y80VgUCwYRIPv4x6bWv2pmf/nz7vw0VTV3TYaOl
TDoOweL1W9FdVIIm9eUT/CjNfXBAmbSQw5UU6s+X+m3OIdBIpwmPlJC6anBa7yaMSt2KAOopTAIx
LufREmTzo7P6ZomoCAz3W1PuFNTl8GJgubvwvaiw/yZZ0bW9CGLq908Yd5o9atAstjuojeaAcENz
ZkUh8T7BxMLPAAR8u7tltyvlGziO02EGxynpZxucJ8vNOZ2RczXoaQ5j8YWaBKnjgub18g11apPO
/2ej7AIT4WkB03A1imOmqv6PHltOYBgIB7u3EcvS/Ig0uUnN04xM7RwTdBM1/vmCJyAr35XGugZp
BPrnLPHTGTRkwcpmsnRfUFM39eRORGabY1NElwrAP/AZhwZyvCTh1s8RkFve6qP8NrjAjtwQTARw
CJ9HP91ZUCpCWsyvvrQJKJVqD7puzfdUPZIwO3sJW6YuMaExasRm//5VFLfkYEpecC3pdV7ML4NT
ZrACqVdJa2EV15jdki1AAa44Evp8roN+F4jBCuZN6uQDu7U/A8SmtLGMNbpFSQSXOAFDAEbKCDiN
FI+cudMzeICcEh1imcZ04yIF7BqsQF4sE1v1U2/CLoT7fLKYPm3Nca6alNjG74U54puma7gt/6VA
3xPas2vmuWuCpiwYfkZ8LhQIKBZZmbGT2Gj+Mf4oVWEtdelOGie2q6TKKcv++f2fLmv2PZSA0UbF
9ghE+enUHsksEstel891gpBXdx43g0mBwnUwEcCvkvWfL2n2739uuWarRSCJHg2ivfhhncxxGmXL
gIrf/DmMkQ0S+zENVX4EDOjm1g1MV+5gg3cHKK2DdiITFKIeYe7mz7fxO0qCfnZIi4pGkXL9305R
4VJ3yPWcfw/gr2H1OIfZV2qqCzk6jWUjZf289hhDqMr6imHnjGiampryrdv4F231wECQAeggQ8tK
fL3k6Uv0ZY9G4Xc07pdx97NtrNYxKa7TQg0He53Ce1hv4wE5RbTXw0h/RndxQmG2X537N8bkddfu
Z48fRVciOQAOdDZPEbsrChoY++TZ99i31YdWOf17F32xnU8YdQV6Z7wZi3a4bLyqvCi0cI5D5ZPN
4faq71I/CQAkV/N0nVqj+AFyvpWboE3zD2/c5esZZO5S0V2WNPjATHP4nQzZVEZLGbbe+J0Ys40f
WK4SN1YXwu3Y29MN1I2cDK5fFSJ9nax/JCscY7zc3WY+E37dP0r0+q9tf84fXLT1yUfAqhxQkyoY
7hj3SK+luPLyov/Ls7hfmu//+z9Pz2VaITAGlPLb8E9+KchdQxX990SL++8sJwB83//Fb/0iWwTO
X2xRrFEzOfmyX4zU0P6L/hE4a04wH5W3f7i2CfWXopuqoHTR0qBay0z/m5Lq/RUS6BnZ5ACUNiLK
/wklFRzuq/2MkBjsv1Efp7arbMDuJ7MRXCTCdjNqmmzqvdOcYY4UZ9OeYtIM56+ke7WhB+zO14O7
IHrbIytBw1Cc0bj3z9sSfcFIRuiWIK7j3PQ4ttxrtAj34DyqXRyrXm7njnMuVvpTqXULBR984VNI
b/rCbexiO4Zy3rZJ7O39yH8eq2a4mKBUnMm0indYGLdbB8L2dl0RillIU0k4IcYjR6P7AyU3FNXw
Ai822VJ/8po2eKq6vrwYSfAOdqoOY+/7O3uYkAjN0vjW6aLgvFrS4h4hBUQgJuoZMQemqj8lNCbO
3MlaL/sJjBR9PqW+RmgzJhtdNjg8lbgkH+tuGR7ybAiudbba78e5c3dVAZZudMIjlugtoslx/KVI
eoQwRD7BwRsnGOyo90aZ3Z11yIGezyn6ozQj3tWURy86KHcHDAEW+CSTc0tcdhlX+U6ykd1BJaHE
HsE1dZY52Bd4n2zGvJUfOtzo9nPr2VsbUDj2drq/GPvVomW0OpdenliXRV81iMG065Z+6Yr+i10f
WwVufA8pxkLIbh7vnbTxUCGW/nWMHveZ1zjlwW2F5Fv7FQ8htz/6qUUuPbr3Spea5HtUBohMt9rP
+3drDs9vXlRxUGONTkGjUetIM//riDV9g22UXaY9RU2RnY8T/tGEUtHjRDvrkFH1fw5SlS/HcXGz
YyxRJigCJHi3Gq/afVDiQJomQYCwadcdWuWmOwpc7j6Q0sVlCq4hhf3wa9BV84+YquVhNaa92zYq
UaillvnOW+Ye49OsARjrZA+kncuTBS6LBtwq7SO8oAkFauPPiS8CrfUwafZNbHDKboR87JoHl5Gt
qltABfWxmJ0HukTNAO7Ja8+Dsc7f6brF1KUS0y0d8fDKa5GgBo3s4SKXknf556M1psuhw8ga9b6R
JvV2pUl6qdKV1pc7hZtVG96t1wRb18E/ChM2tzynKZBtqzWU8cb1Rrvaol1d7gQiV+6O8wIlH6dE
7A0lyjvLkuehbBHFHqv22Cn3qS5aP7puoQskVwh1fFRp59NPkWeRFTjWRU//NnLPCkyJc38zhVQn
vq3k3ek+RlTydp10f9ePblB+CytC6WsPeEMVDOODRPcIjuGYdOMeS917L+qzPcKmzh4XsfASKXbX
uDr16A4Dj2/eN9oiEqSyNsXnjefn3YNbzDRTdhIuK46JKJrW/iVaVkFv7Uoa7PYtGyXjXk7Ql2nC
V8pIeUQ29MV2HrZwsOKbdgFI9hHOFTz6fS8X512lwzF6zqIWf0JUUjbscJvEob2xt8f6AzNXIncV
EhZsws5z8q2eCuopNj5cX30kqKlyVZONilldoEGJACxoa3qXiP1FlFK8IzWV8LFcGvmUO+gM0UpY
nBiT2cGg2ymN31WD7z0vnhjyMzfSRDX+0vrVDnJ/iP2NE0UU3WTOJdG/6NSm1LZzL+IV/0Ike1EZ
wt4IflTsccUhj4D7uWEPsA9R0QwdIiwO61s/WCjYbpexTcRwlSOuZcOonNCh8LUf75HeULeUyvRB
ejM/2sWUbTrJGG+VEy33xRy4V53CIW+ToxiE9k8ZzmdkZOqIYVN7kach6x7jyJ1E1AVx5VH4ZyM4
wbPKn4KzOunyOwO2WmN6NaAGZX2tE5lcRU3jH+rZ5BtowfgsqgkNnN0IFgamuHIvA79DqBFvKdYq
7rNOrNJ9F9fCOth+an/AQyrbK5cgEOdNaVGLqqobPxnr98HkgwhQ7fRZZpGL3ZYIrxYj3F60HWIg
2ovPEMVd+826jrQGiT5pkS/tV86o7gbNPAjRfoTwzpQimOTarf0hXunZaFTMHqQX9+889IQ4HKri
ooj9/rYeAutQ0Py8nCo7+ra6St7R5dn1voqROcuic1Tx7U+5DyS7L8Pg84TYEQqYxGPnqDLrK7oi
69EDZbeJW41f2LxkXxLSlUvZ1tONF+vDYFXeRg/2CsNAJNCPs0l4eyzJKPWGWbZHz+GsR3aBNlyN
Nxzc3TNwDuuZnErIbZmDKfTaWxPc7Tq5hbUhs12n3eAqFWzxZEbo43Z012eu/0GHnkQrmTY+Nf7k
Du8rHKUBU+zpcMRnaCAEaNvlU7FxZi9ha1y9T0K0HWehDJunKXCHI2wC5/tEB+5Akgq7BUdONAJa
8ZHCYrNHZSHeNU4fH7K0afYd9n03OV21R/wl2yPVu+6OckR4DTSmggpdZdewLtHFFsl0k9dy3Uq3
UOfFOn1pAy+9XtCH+RjVo30TRU7Il/SKSADFgM0Y1Pa2LoV90+ukHExLJbiDs6XPYB11T4Ffbdte
5Tv87oZ3Hf7ayBmXgboowSu8g3y/XjlZXn+d+xgGlS5tLLpr+wKG9ccImOHWqVDCKirfR79iEXsE
HeBd2Y71SVeRvZ+Tuj3qKqQAb4H3Nqd/u9MIne48B+vAjXaGB8sdKdyOPUwQmsh6H0JsApKqVbht
Ac1t1zBAT6mKXSRESwRB1MbOlRPzbTb1JoHR24heBrjtVD65OiCm8ICebHywjpxuXR4ieDSpJfE/
CFQmYo68uMQN8L5XS5O++xm0/je+fyO+dx0qwn+K74+pie/r4emf8f2v3/o7vg//MsRnpCyoyDjw
GYnW/47x/Z/GUUTyihoRcTzX+lt2JvwLFiKFI7YGAdkasc6/Y3xPYPUcmpoW9eMXGZv/QHaGUupJ
kA/B0qDNqVBRlwbp/rOY8I/CnGCDKQevsq8q26JUgocZHqk70APReTo4mjiRM6xG+WlqugOznLqG
agbxXesCGZdypVnQjEt/1AiKh/UGvP76EViA5z1CxxAYmqLaFQdu/FDq0d+msZIfJ88bjjgxDrQy
QzbctM6IaGqMAI7x/P/ZO7PduLE1S79KvwAPOA9Ao4EOxjxJodHyDSHJNqfNYZPcnJ6+Pzoz+ziz
q/JUXdRFAQ0kEjAsW2EFY+9/WOtb/GbInRUgPs+SfN90WXnyMvArWC5uoumsD22wo+mkt3L0V7Zr
duc+C+zy2coj5Z3beWGlKcGebPnMW+pbNk84m812DCMXfkGQwZSfWvJ/83Zas8G0yFmx1Bt+sQGE
p+oL7ZJbqYOprCk85EwLpiSORMFi0iSPY7Hgps9sm4DuJ0M5h01KZvGBxOn2m9dU8tG1lUmeYZfs
zBHcqYTWn3ppGra6TLNV35vmLjPTpym38nuXmMJsz5dYl4k4hWKNEiPdd0gdkMbbjrXpDO19zO0R
+1jGlrdpPS1kcYd+DT8DhBEfYwBMCelsZltrHwyMQJc+cMaN0SnPgBgWyOrUAcJ8mSGVPbI0i56a
bjL9AwlBlrbGiu6IE7tbkHwe4Eh4qE2yIRbXC3Pkf/wM6n4l1Vge3aCCwbq43vFNMzY0XQQTq3ya
kFSpLoaUFtfJxkvd+YEtl010YBQzdssNl3KnYWmO0WQ/ZcNcrqlbsPjZETNCH7HY3q4KyDGzRaIw
d9n8FAhP2Ktl/p/ubYAy4iWlviyfY9Y3nr5hXWGO5B12AjvAzlTZpLeHJHZY8xWZcAi2jdu5iXnn
hLFyHBHAFLJDU9Y2wjMAhqMeEXJDZskh7ecHP4l+hmCTl5BXQwYPbUG/VXSPCdCYVaNQiK0EO8F0
1TrmsBFz1IfN6NdIRLynfHSoUc1DrJqLw+KAxFVO6bS62nKWIUo1CqgiOoJd2pZu3j7jqL0xXaJc
4ttsUdJAB+mnNwP9ztbz0mgb9dOjLrL2IJsEqzvy4zMjG/1QO3a+7SJpHgMNYQ/9eLtBfpCtCntM
j7YSWID8Kj1pYpoPuuSjabrCfA4m82vZ+XYoMYavsqTTQhtaz7Yqva474ubLKPyB2lWNOIK4i0/S
9fDWz1yJTT3tKi0IW7tWW3tGuZFrcg20sAxjqQXaqjbwBcVJ8t2Z5RdvxG8WRBU2TQnuNbCb3A91
2x/WYBbjc+mMJYTFqd7JbH7sUkLfjQoBdW86kGyazLjn1WenzJk0AlLHrj4YlqW+10uCiZ9Y/HD4
sO0lwdOkc1BRxnO3r6Qk1sF5pKV5yP30TClH0IoCXmLOTymkwkpvg6MXDw9tkB5KtHZrX582jMHg
vbhIiHv7uZVy50/jJTM1aJmOGrcNu9FNH1FEQs16ccntWA1lAaGqEN+FrTdsbweXwKlE0USUF18a
RghcqF3JzuEQTP2LXYOqyphorAD5GyucKvjrFOlPBbKS0MPHybNVI1Hh/XB3JkPSkPU50ZSN+Jw9
ygJp6sHR5bg8KrYWqxFl5hW1C40ytq01nwrjFifyhuRxsyQJs+goryMxre9iOc1yFRGl7Getdqpr
035ITekeq5qqnzes2dZjHZDikXzRtbZfCXP8kXSFsafchfHJhH/FaBsBkBYFR0UU8ablWL911lCv
4tkNDnnmPURucxv6Tt9yTPinKtMGL0S+1L1yrqg1nkWkVbXVZVfyQPtQdnm303mjtnol1dWJneTB
GvHCNaP+MDcaupOseGtj0wyzQJFHUmxLSUYntCYCyMsWphjBt0vCQqR0tgpWbvHyKvs9sdNrbiXc
DuTvQtANdmnWPQkSerYmVJBHPIqXWpMNwIsue/a07NmJgxRFQP8OGvgLpqGDqdhc1oYCDy3ApSbm
sG2H5gCIk0KSyHU/k/bVNGK5G/zms3QmZ+OgbNvrnflUM+bgAc7BSRZkzp4cOejXxLAeVFCfRZu8
uKxBVqaYN3rFAJeTdkOg1Fc7QNZgAWPNl7O01vx7v7V2bZqNDyNvHQEkfQyV0Z39r3kUG1+E47vo
ub2FKWsTAeT1GJb7Deb1I9i6buv0cuniMriK2D+hRAdVEuaT8HdkpMyHpOr2XZ0d+zTKd53QkZYH
GEbTXsPWn7NQigKiLAabgrKylf0J0bbjwCbh4ArV0r4lBXmws9fIi1CkLU1M0Td15iQf9eja4WCq
85hK7oRBPBt2vy+j6hL0MxdrRh672XSP/dReSQIoPns4TVS9XzIvFxt8rSHBT1UewoBLT2zFDwYr
6a2dRL6JstGZr6Nji55QFlmv1ZwYJyd1sD5o1oQOILbe6AvqB0ReaGa0pqP5QAUHB7qwynvE+6SF
VE3iht2Cmk2Hcj9VdEaGgeayVLU6m3EZhalJnxYoqJKRBZ1cG5breYjXlUu4u0/wOhmTLxpJQnd6
XCNgtCdhk+kxYbh+AP7mHwLmN8ext55tJP8fGkndRHgXpcq3jjdYLeZgdmwr24ZLtueehYTVBZ+F
1t8biUd+iz10D61T3g/YtkOZazeSqdUdaJHXtrGarRrd6ihn99VvwXaOaX40NdB3izcBbJ2QXzle
7f0Ave89m41mMzhRc7BGzdxkIJp2rgAf5UNeCwuQyGHa9uylYrRJuq9d4n7IX4hfY/oB+eCHi/J7
DRXBhJ5piffK96ZHb9Dgqin/zcqR1BZ+4b143pyutcjVQ+LHsqcyLnXIvwvz04M+ZVmLsMdePkS8
YdnKGq18i6mEAzng5cVMXzcFmb5N/jHpGsbVoOxfrbbf4DODWKvnDqE8XNnkQRtkuaQNxNW5buxV
rTfihA+g2mdK2dQIZXwxTLFnLpKHmuMBRVUB04ECvBnHbaJu2Eb9hXEmX5EZ7atuGp96Etu2RpCC
jAuQWJ7LrvsG0PeT01lsJea0tWoi9ZxmxskFQLerA9KonEFLN4RzcUGwy1t3WG3DBN9GGWpVZl5L
y0rDynTkOTNatEZdO50Lewj2Q2WMay+RnyIulhRrkRr3dd0bjxyQ7bixlAWK3O2GROzsMm63dmHn
XF6tVr5Jhtin2J2g5FILvix5UxOqVwGPDRmM9VgklvFRCofg67RkLjh3hIlHCalThqBgUPzMzcWn
PUMIpADujx4EOeBw5O1Y5l1Eo4JLDnS7io4Lg66g8oC2kPZk1BeRUQzJqVGDt82xcD7Cde8aVmEi
CIuyf2mC+QAE71sVue6uNeRHYAcMv7uaELUodg8RGdkMLp2AuQ/4v8Y+OpndrYKU6BZRVXTGtvra
d8soaa6ZHtYR2mdBDFezTOm0vNonmIZWU8QstfYNsbc6014lTUZGkT5sosa6ZklmPae22+xETcxz
mhTVCWsRQzMveJzmZCvQ8j80SW/vdONDCUjxHcTXTVZEz0bcFEyKzHWk2RZZe3W9bp2GzCWi5Rt3
KjeeFPsZwWVYECDHcBDxNbTZmjTSfu2j/+dISQE8+iTAtZJUkzlPvg5Bd3Yp8rc6SqxVEdTPRLtU
G3xORGynxWlwyRbLDL9Y064Q79VpCKtjr+ZeFBUgb/shGAp758aYSkv1XCHavdPc+dYV9Cpm50zb
cSjtsKlxp9gTG/zaaS5aM/Zb5FrmixgaYNuiKJ5HCPGhaTJhHifNZjJE3LdVEdCZOGz8TKyW57yY
nzH0jltwtojvGC58y5mbGYjYSGDjSR8FlgXdhlGJzevZM8SZUDT72tjkNCpZ/qAAJv08aTdGNlfs
DqCXj3Z/N7LS2M5CFc8YzdK1wG+xJYsz2NiEulN4A7uftExcclIGVhNJottAd8in96MPHTDUOshH
0nuGfLwxxiVNsHVRvQuPyscgYgkz1bUcJ3U19SrEYLwMvPDbJ7Y+Xcn3Omp4h0KETDDv+r5nB+QN
Z1ze3yp6DmFob6Y/v8e1u/OMVp1pdRkbZvl2EPMh8vN+M2vaTiQ/NF9i18NoeDbarN7LvLmXqXUq
R4DAQSL9ECmtvq1rWtzebKwdasmdWYEHtLLs5KP4oVbQj3rOINFLrJWVzu+jpz4jFX9UrBPWfmXd
VHfxqui56meUPWMZf9U0sw+VLQ5dOoMrtrwzc6EvPjjjJkCwmXNBrszYr5l/maRylbpxtu36lg1U
aMBO9LBTM0SH3I91kuiqgRJNu1fMR/1VXowz10IW8c/lNpB4TOpkO/l+e2h4gr9OTfLdyhltW9EA
ztkymQIPNsGU4O2LN1FlBV6E1CiuXFv2vBorS1DkVUQYmklT3obO7Pa9NsqQxMh8l6Va3IS12ehJ
WBFX+GaSiwDCpCev0anl84C37dDDgTxQWeeksCblzg5Ke1tPc3wadOVuEQI8Tc0cs+kI7gJfZfdA
tYwfTtqq05yk7rG2/GZviik/qiqats5gN0/QHcgibcx3+vjskpcYOKJYh4IZ92HfVjHSXswkzKyd
CytVeyPncQQYQSZr1tMx9Z6tbbsA/Cr8A4qAkiyD0rIXWTKN1RLpxFqYiaaaQJ5a+h1JYBiq6sza
mImI7lyjc/eIPj78QgWrwvTevVjwE6OwvZRKlABgp4PT9POqGfqrUTAcrdrE4z4OvuKFTteS6fg6
g12zIrGnpBRqZvIL+OuJJQjxsYWsRin56Py3NjwZpgP4Kscx2yYo1Q/UjgcP7U4I+rHfclw5G070
ibfeKdnEpET+1Xc0VP6DyjR7RzvM1MUaM5TjQUA1jV3vwnXNTTTQMVynNjjhNAAwBSN3je7fYZ9Y
hBqJsqvKMOXJg9OODUWk+xYdbNg0Nci2rtVPXY5yoq2sH3JWlymApb/0F+acXg1O9804x8V91vA2
VpBasyA3N4YQA8phzcBnlHagHXztNNjZfWoWJsuI4hK73kvlBy3AYkNCMefxb8cRQI5OpgszDyC3
9DNOMm0VMtRQ8xUA1LT7Plf1za26ywSejC1gtJ5jzIORpNcyLeJmtIJZOEsmwk8Z2VhtqCcjp7Kj
R/ukEs1mzmuHwmU6DnxSQxVBVEeOzxnpGM2aIvCj97KP1HMOvi3vR/IcMelN5po28sQR/VLjzAS7
P25ot3iSjckLu75FsmGk+nU2lIl/hi1fMHPx2p11aGrjgSzLg5+pzdy7ObJewj9pdubyFQcno5Nh
GPytKYwnzs4Hc4pRiSE+3xCyQPflDwRq0RJ2wPfnmZwDpgJrA/n+MUGCunLs8gOUKt74mPgXKtqd
HGRCdrM1P/uGfe/NQbcea8NcW62+7VrHW9lNQ0wGxbK2doU3rWhysieSSb77Bt682TzlvvtuAa6v
xXtnFDum3D+afmJx5qekUhqsMViErGVWhgY0jfUs+x91B91UaPlXTF5smEn9C1sCQTEb4Cpa/Jze
zP5hDU4HQZ4BWp1T62tWZfdNwgGNFroBh1SjYLwrVG8eIfKDPxpjYa6Gnsa8l1PDF3GTYyhj06jj
ayrxLTfrpPNWg3RPdWGciMIN3WwsKMZyobZMcuIjV5azymfDk9zQk1Rk7JKtYhNbGaBkt5tDKmR0
73Oqwd3BpuIUlMeSmEbyGNzuSbPdot0WrCnZ5Gr50ISWkTBuc+kTJo4PUxF3i8RVmrjQ+8khiKIh
OGzSz8rz7Y82HzGqk07LTqJR/zWanN336vpefG//57IM+KS44JxLuv/151+2v/06/l4tIVZ/+sXm
J779pr4308P3FgbNH7Po5Sv/o7/5P77/RyDwBlD+vxvG/+8mx+f63v46i//tz/xzFO+SgK2jj2Eq
7Ae/juJtwrFgGrrmAp1mrI6U8484Lfcf+LdQo9vQ44EsLiKdP+Q2ZHAZBl/tL1lYYNv/c5FaPvP+
X+SDi/yW/4CpId2mCnf+in7BFGnatansg0OUBLNDDe8ioOXdHCXjUcSSOFa6DpoBsla+OVXrnZ3c
puPxDWN4qFiT8fmvtXeGp/olZx+BCyeyntwMdQuiTRfNTWt7V0YVLWdOnz5hBhO7nLrmgATH+FrV
ETKSzMsIJnRJj2vlB/LPbA+0lBUgWMKRjBSCtT71mqDolIIfGe2Ym48oWPNjQJt8ijxL7NTS+I5d
eamchfUtmGpr3HFHg4PwUKZFQX2tudba1GLvWEhVC3Kuxruq9sWuFn5wnlpo73wAR/OGPSi4YuPW
L8aU6pcJWnOPM8mSW3SPYodrK/6y9HRXQ8vvjdFVl8g0nkjjwCHo4rQspc2gUseT8gOEULIaiskN
fQNGSNiAk7wPMFeujMzD22o71PyNSNXOEXr9bRj4JlZjgTVIG7EjgzJ/lnbmytWIjGNXF2O2D9qu
Ww/2UKx1bzIgxJnqtfLT6K5TyXDrCOz+xC02faHZsm5xDpDEmrJlEZ2NN9ZBxHGYJGJD2VcnfXTl
B9uKkRzl2NvWvegpWHP+GTFzRDsvid8sUV3J3FbftMBapY0DaSCoT2YZg6DG7aVSVt4EcZR0NRDI
87o4aL52QJKRr2NZza821ImdlL3zIw4ytpFZl5461x52SCOig1kkxT2q99ncBlqWH5FJR9rGYtZx
ovHIXuIpXeaGbrEhT70+0hQPj3U/yKeAcIHLDHTuMrQ6bnJmlimR73Z7zpQuHu3KrnfFojXjLK70
vcPeiLpBWNZtnrz0Esf2vMULKQRFkA/VLK0NJBQdbO+0tfqzi6nlnjgW7whjzI0gU9viU40jRbHr
iv00KuvkIiffFbWbvinfS7/IOjEwy9XOrcC9vB+TabziY7JOJkk++0ZV8V1HgAqMeQuwftGKQ6Ep
GNbREK2IhfKv7ArMtxJZ+UUiwDikwB73GZktLBgQZ8DaSpw7UQ8nMxlsHkfZ7DW928BU6t4R9JMF
swR6bUwuz3dpDd9RAhSHeGKTUmABP1TY80k0Jitp8krzxbLzz2mw6pgNim2+eX75VPUW9viWATzK
Jf1WJa6LQT6JtKOj4cpAPuYzauwpSkKGNPK9jZrs3otzpreAfgkuiXxEGj1/KJ5T8cwIpgBjDDxD
54Y8ZTFv4sDo4uCyJ1vj9C0ePavtPpDx9g1qE+MJU+UhNgfmxoPcYZDBZudSaq5SooJvqK3FgxOJ
vTsN3dGN5vJg56RRt7UiPp3D8o2aIz14ThFtmSDLtdd24yoqx+yhbgE3z6OsQitneTAnU76Y3PIv
OKbHZ7Do2q02iyrkDQUL1SS5uUaqW9/T8NKxufJEwBgSqCBAfpAVu6gd9AvuHrGT4tZHUf9FWzTe
uWsZt0yPrX1Jb9gCXkY7W+p982kxCVoK3/Wgj96uMoZxw8RJEVuNCvNLh0SnZto0C2b+3lRh45vi
u5lgoZ02diwCpsnxwubnFt9fFvooo9hGzez450opfx0E/XM8T2gARA6PTyzCAPOnRoDmeD5hqZeX
aZEQGGgJsp+qgjieERgIhrCcAHoYLPIDoaWvuT/oB4FofAP0RS4ta/UhFuFCVCXBzVnEDKQooGuY
sZLdCCPL1x6qB+x07TtbxXGXLZIIvXVRR+B91q/9Ipnwf6onTF+4G0yLwQv54dSli8yiWQQXhEZ8
RSDv7rkR53DK2v7K1CzlURqyc5tB3u8mLTiTO9rcM1aRl2wRd2hRKq5tXtSbapF+GIsIZDaRzDmL
MAR4prl3F7EIAksC2MfM/D57sboMDqIS+6e+JF2kJgk4p2cM7+hP3DQHTrSIUhgk5tjqEapoBpIV
YxGvDIuMhSH5+KgrfvRl4szraerqTbsIX/yfGphxkcPARx540IwhDDT8J7yzCtt1bKldmY7dgnuo
n4WKdim0HhQgSG7yRXxT94A8VtNPTY5a5DkOOh13EewYCBWPAY7dr4M0WW3DagKQwXWbLmKfdpH9
eAZqQuDiZE3mrpuui3LQv4ioifacTOC7OpPIX2REMz3ZJ/I3/VgvIiOQKO0dXG5xcBYJEkmG7U2g
63yOB5DhxiJVSn6qlliuMIWfNHdrJV5zbVA3lYvMSf+peEJiw+JKLEKo0RoM8pN8a2WyCXJK3QQ8
WDYkz6/w2YIcWOBEjL6LPNVvmNUWgnmWxU/KoRAhdkKKKWQO2t1kzFisSvhIr8aaRCvmrw2WAS/y
5Y+gqfNDLxKinMZBO9O+bSa/LO77viQS2FFvTsNmn7OWfY6vBvWRd+4b+J53PVI/YBO8+dX4QNdA
dzITw1Fasjg0pTdtQEQ8Mc2tj3XieU99nZsvOUaFT7KAx1d8oG9+X6Jce2e6RndxrLFQ6upYS+Zy
3U64S4F+odQqY+LVzVx30PBU5HouEOTzuIR9qp+5n7JbMkBbN/qBHJORsWD9HbxpE8SCrdYToRJV
+k79Fie6JIuiYyNktOYApfZawDBLBqkEAlMc/SWZFPmruabIy09GPJWs75YE08lhVL9Ip++RDoqT
l9BLPqlkTqKdmHNBCurYEt7HwnHJR/WJCtWeHfzfzsZI+ojwKS3Nq4P0Umtdavq0w8tbbnu3fW3Z
beK1jcVan3gnu9h+Zfo/7N209sKp6NSVrxy3rNMpJ0VyZKJ+VoHpxwyDKjqfmFtG83qircz0uZwT
sUnwkxy5QbTHREvj88gGPUSOPV37JJZXdtbOcWZn0CXp8G4TNXxsAlfDmayhSmNGhzRgKbes2VQs
U63mlKYH/Ac4e6d1X0UdUBWGz3T70ABcR4c6ZN+KOWkRr2rxYbaBZ6goYhpbmOmx0+Ozy6AA2oVR
n9nSd+sp9uRXZbnQB4j12KWyp8MCi7HRYj0iEoO0liGya8iBCZydDrZACBrM3yudwWMnzGJHo6//
sEnomMIavN6YrlDUG99cv3T9V/JJMH18KtuTufNM2MxCNWUlmhbiv6Y9u6SfYHmqH92fG7KfTdY/
u7X/Rk2ciTMKN+S/b5m4fv9o/ppO8fsf+r2NCxysEbZt08DQzDn28vf9rqgydPsftE8EIy+mv5+t
2h+CKlo1HS8Shifmv76z2A9/7+LwGP/RtN7/Zuai36Ubpt39/de/BgGwrP9z16ZDMtcdA+OXp1uu
wwvj93/RTy0eeH2Kkv5sFXPQJ5c5b0yTwQ1a8Gwqz71HXB6leNozREkUY+YVoXXDkwNE/9DOXfQo
Cj+aVyUv/9IQmXWHi9zFQhCw+uiARIcL/qRH6tqwsZ1T9cVui+La+J7M1r0ZqG3Q+ekVjSCbfzQl
bE762dzURsKzPznWtYsLh6haXW51Anbv81wv7zsE/g8B8D8GnFOcvyDPGY62hsgG2JRbftHlEL0o
PdFoOPwqeBCJXzw0ZgecIp8PYA9GmhMvvnelMz/ohmgextiKtkT/uHdz1I0bbbC6Y15TRIyDlaPn
MsaNndioUlKK1CfFtvvd8wq5T9sq4oIg4uBeyrq9h7WbvMoiV8AeqgykcdzTjySe8eg5MnlwRjfb
9KDC4pWGpv/cxIN59mX7TO2AWwP5Gzt1u7cIlrTq+ansVB6CT/jIx5E9CZGQrO61Pj1LUg3J/qid
9mtazsQsSd7DZ5FnxdUf+mSrQfTiFEIfuEomKEui970wK3NWalmkpfdosbO9JuI7prUZjCW0vXPi
MPti+LDXh2pACV2qc6kZRMIbBWUC3IPpceqk2uZgGMIOccCdz5ppP5myvHhSH852W05733CtdzTY
1ZGlafcID1mMDIy1fFOaNZv5JkG7VdS2ugBK0LcSSg4QFVHetE63HkETdW8oCsWPyWz1J2hb6drN
x/KOXl+7Wim8NUfvAMPG9RRKNKz3+BWLL+B/+63hk6BIJicCV0CGu0EnR0uzmvGbHFpqE0IWzxmk
IABv/VIg8ODE0NuD4BMRkWpCFNhc8tpslcQVsHfb2G6Z3Mp2Cbd1A0mYHbXnqtArRtVkgrNes997
s/dPJROIHWLI+moDQwlVSbOimTO88pa6azQAOm96LcjONXaWvSCTe6/3rvhO4mJ2r9cBXUkez3e5
k9Wop51I+2TX4kPwjVsYxnJwEXZg1lSnEkQiklAyJ1PSkVcWLMg1vBvnC2sO/bUZs/HsBrkO16dV
FwCEoI2rWva3RovnNylq0wHZX4+n2gGWHNi5c+dLe9X4dbzre6+8T/W2ezAxM29yh0YDKeHMPNIw
Sm9F7gxpUEmHWsxtOyx7LTt/rLq+Gx1YINF9syE/kEbZCnyFBguXaJTQo1188C8cI/X9VNLJQukA
36MKyhmtJsw2IVR7p/q6Dj2Z+psGUeJdERfxXZPY5tqVrvVV0FvkKz7b42sbJV68Gn01PUKysGJc
OEIjGstI9o4bFUc1E3q+KjQSvsJek06/JRtPv8siGj7W7GVeXDVWTS+eUdImeW4V1aEtZcRJktbz
ei6qbwIMqL9SbjFerNkj7DbNnTRfQ2rRXuK+5abODCeI6HBiQuNTI6vCGdSbucX+NSN9weRzM4Vu
vDZtVCowdWZTy61wK0cfLzDZ/RGFtBUXajS3OEXxYIQYfFw/RtSHQ/IxYhg/uc+xV9TdA3p61aMS
K/i0H+eaMngOOx9hFkLtnhyRxyYbY4J64xyYByJQoQ/Oc4EfVnobv2ZrutWU6rJvk1fXRr5Dy9U0
SIG53P6/tPpfSKuJ2/zbMiB8F+mPqinTP0mrf/tTv9cBhmH/w0AlzXR2ISkwhv1nHWDa/7CXUAr0
1tQbyLj/7zjXNpnZekAe8E4GLPAXT+Mf41zzH+gdITn6OuQ8bOPGf6YwMPgev05zdfADUD4Qd3sW
DAvTZm78a11Aw8vhodR4LQcr2PQDmNlVZSF+Qqow9DdXc6ZjNtInYczJO0Ymdv+c2y3tWRuU8vWX
IurfKFOMP9MQqFACfhZLhKlnowoy3eXV/lKlsCeFbcnHgdFWaRD7yWh4pbwKFeTYM61Z9YOt3ry+
JtmiKXxw3jL76XWaW88O/cArvwVdp9/xdyQo/IQwnmcH29iO2KHoO+hjY9z+/Sv+yXn/p5n+t1fM
bc/akmAe3f8r6t9eTNduMHVXC+Icdk805c89qGGgm4xmGABMKE7XKW0o8jRM3Ksp161d0TeTsW76
qvtGH9UaIQels267tOq5ghPMWV7j5PEGolhyTw7HsWgD+g9qyuClTeRPE9W4gZnmXlJUJMXu7/9V
/+/bACJA93gjXJ4NojL+/DZ4kxYPWi3aa9lFwQt51BQYULd4NOpSjfeM2IPHOjLEl7//tsuz9uvP
kmKMuQOUE5Nnkf8tL+uXd5/DM7brNi6vpT8bVyNP1LUEVZT6UfLy999psQT/9TuxKNE9NAQGlfZf
nrO6tKcZ5XJ19VnYvS9J9GIXdfjUVjnqcF0qMYeWPgGYzyA2Fv/qofkzPR/jDHwd3QQmjpfL5XT4
y7f3PCtN4rJIr0sH914ANH0nwpPX4MxFu3EbNo4TdWWyG4T8OU2vvO+LjPwwBJN9HmGOwboiWyEP
M68snq2mNq114k/T91pDxKRrc+GFTlDZcMIsWAa/tYX/bjfxFx76z9cPAcDEb015z2eVM+3XN0pH
h1c6lDAXAyXoO0jalqJWyzuGUOwvyvg4JGmOnQKF6TjLBHwm6u+QmZn3o/MQyIVTEmPyB5f3PUUz
+q0HnOX9C7AGaVV/fZOXsDE8l8ESTMKnc7GU/PI4uQ0D5SbprEtmyzoK/HUXJPNuoUgG264H7tiM
Ur/15BUQiguLLWyMctdyle8EC64wF7J4qIVTjOAVhvh1QGtymNilrGpH1s+QEMnEkugzVcXuapXi
SB2wSLfldai19k5SY27i2AhQxMxRieipTwoqmE48mFl8z9zFGldCefKKXP6pM0koW7u9yQ+SyEzO
BlvNEFcHPzuDlvLfIl3ZxwTLPT7GkbzfQU/sIuSZT1mfNFgShgkgijGwEZ+z8bMGfvWokC8uy6TO
20atVOxfTPNJJsYADNOj5l8IxdFHwFCtX6Wl1L6qwivWdd2aB1jSaNtlIL6himOPXVtF/pjCvsBz
K+342ESNCpkY1TvQt8GdHAo6p6GRW8MYjX4j2B7GISJVX4a9CTajaK1mrZBJsR2IdRSu6H25aswh
LFHmrHwIoF8wuCUnE4DdI3Wps1NBpplbJsPzu+9W2GV1DOvbntJuq42j/k7DOfxo47p2wtnsyGzF
ptbH27GjWrPQI2ymuFf+tqmiBB2GVexLvnTFBdRU/KCLHp8Be0MYuNHgrUhMGueV3YkotPA6FrvG
zTfoaCb9NtDns+NpdCz6PEnd1uoGFB+j5VGI5yTZRjc1SPB6K1z5U9l8S6LENOe3dtBGr2AL0nCU
V58mSN7OalaqU6rWr6jNi3w8Bqmcd30AdvpQNGlKZ2CK6lH3NOuQTVgL0LOxmoQLR6gdb1fh+7RR
EfdhJ/JBbtx8iHUiWjHq3iVSx5K8zydvSNYg4xfFX9tZPFFDxMQbpQ53ITb9JIvumB9bLnQ2tjs8
cFbeImYXaYMiUnJ5oYXpUzdEW8/mGp2jjrKPHBc2ouj/h4gVBzpaFPdUBVtml8Uc+rPDiVmarP3C
IoG7CZdgitv7NtUKUJZx6v/QFDMGfa1XZrdLbV/5V8T7cXQsLa+DEBmW8Nrmad/qnG4JNvbEKzZR
289yGzRtmW4n4RbTXm/bog4d2L7EhzNcE7smlQi+eVvNVzJs5v/D3plsN45kW/Zfao5cAMzQDWpC
sCfVUJ1LmmBJchf6ztDj62tDHpHp6atexot5TmJFhLtEEgTM7N57zj5EoAg7zSknc127yRLsA1zy
ovhGprWXH4Ty2myTRq19N3etENsEVK1xioaocWgWR2bU7gKO7MU9m7E4JiFtWXBevINN2WbhvKGp
ABEQqGM1XOXuxK2t8aioNanA3VEJfDzrMBBht3YWO/Eqdogkxq6fiPkHlDPEuS5vADP8BEv4YAC9
3oexk9q+mYKnJHc6RgvUBSk13KAq7zYJBpLARYwdZZWT+Ked9CBDIFwFocXb9RAVG6S0lYcoJhRz
k3oSIeDy91bLvLng9gkFwqQh1r74XRqYqamcENryHJnXxlzEzItwmGjiASKs2V3blcdUuqASvrK6
gi0pbJyUH/BywdUKCMAsXsAaF9GxnvJsxIdgzfHJgB//IBPTerPGgIgp1+Dm3cL0Y2RN5mLMm+/A
Bq4z4I+NDzwP7F9cv2TDwMkigdZx31j28F6pSOx7ZwgDZPIWYIPCDfg9iG8h9yJOgWo4VoARGjJl
HgzkRGhraK+7zLQn3KskdCTxHl+xyQTfCQlAjTXHeyr0erk5k6RGp4Xjobkd6T9g+6kHvhvMcbyx
korMOLGDeU8MLbm7c1ZJtXYNbywPtG4Dc5GGpemd6WI6P4wyGbqrdmwXoz1z21sLtu24KRkiDahl
Z3AJo0k2+05PneXDL299YH3ifaHyuSaHnk/R1YweVwsknpCMtOfRqTIGBJdCOTzyquNUEPJnrKkk
YEU31NvTgoGsIvz+EVCs7irXMOisGCnUdCBAmokNadzolvhvDAV8IhaQkf4M52QytJ4CXJxHt49j
l4Q2Cy7JOIX220B+ExpWRIB3oh315hRyzE1OZVWkyb3LbrFrCt24rr2wfpG6ibQgklFsHks39LpT
EJVhv56UUw8ccCexq0wuK83wevpIs9S6HbtGL/c0rvr022DnYbPPAy3/nGZvWUNoW6Nysw13sS9P
UbOt8Hd/0/Qg3+ZDhe3ZkSxzkxqiu7hsm5OXp4m1tkxlhix7lmQ7ikzvSSVaH24ys+AxmeFlegdZ
lEb9I2dBno7Aa3g2hmXF3iSWxhUdGZps2GSG+mSozoRE6qEpZacVPXgWVSevZFl7Dxokf+OI/EwZ
31vaXhhJDcPpD/Fg8qvG3IhmXw4hLvuKr4XhX+rZ0Kv6vsVi5WT3SQ+v0HWavSRRAV3MYPPlpCAP
ZyQkaVleFfYoz7TEZLmJ6iLvT+E0VFi+LBgKD5xEmu/60rVYsXTigkLSPDRwsnq3ZheY6nvUNkb8
bJTMz/rVzAlsesTzqnn8MmbtTIu1NDxqQTW8RyENRR8rrI1OwNONC9ObYN6priZnL547blK4aom4
RXY2W9e5XSF0wMem2/CII/SqE6ebBk95xbc2uAVaHUXnhLWjaUhYGwVBBH1mumo3uzV3P15QOB9T
gOfRZ76Bw2GAdvGQAHSEyali74l7PW9uC/yNLLBm5WGyzCN7WI3dSzgRH2Ou7GwZ4JtgKtYDOZzy
SgZLxE8dIERjc+eO3hC5xbdJ4TCN5xiGRXl2VBWJW5PoUoT+Y+nxucZRC69SpVXDmhxM1gxOY2ic
MyQ/lJHAZrcNCj4ca6OuH6Za8txPtu3EK0kn6mee6H87KX/RSaFVQZHzPw9U1j+yt+FN/fhVFvfz
Z/7oozjWP3TpUZXS+YDW9BXq/cc8hT/CF25jMOOcT5uFsvJPVZz3D1fwPxagEtU5gs9/tVFcMsJR
sBFaYhFcZerib7VRvN/86cjuLBuVHRAq4o8R7f0WI5QmfZQYs1fvJ3AHz22C1WttV4LQupGOoz86
Km+3VT3dZiWIfZ9Zia9TgROGoRNd1tPoX81iNp6DuOPMWOAO9HlOhx9ji83d5ZcjikDllYXtbQH8
iO0he11GIWvRkW1WhJxIJ6GHGzV69rTiIsZYvLCEJ+1QnOERzddZYjETdTt93jssD3JBHaqjbejp
GqU6th0nAzQeqXrFMUWdRgD8pBEI9E6jlewG3pxJAJ9dHXBXBQdiXdq7wgvlEV3da+LU2nOc5dpD
WBf2StKz5/xuhpzjsMFWblPdzCPw2HxsLr0bfqdryYckQ2FFCsBFmlO69TweQSZBGueBAidmmH6C
BImHle61HEgIn91YFdwhs24J6Jh59ag3L7YYdQ5Z7VVLAsWqM81LbLgPQd9dGeQMrCLSAId6Ns4j
0FzULgUTKiYn/IOorik/S7d6BuFKnITRjkcG5K8ere5FRLFalF/plL7SYEblV5b3ZBTNL4Rp6+uK
oNQ1AbLdtmNb8wER+9yCD6MINuiQcaMF9vIW6pVt8au9emGNzQ58oFRDx48V8z5svOypnDroA6Mo
dgwjSIPg3LhlJxxRlZEBG+n5ZzNXt3QPZ9KOtCOWkPqtlIZ6wBCH/yFmO/dFlbEcm9UtVJ194M7s
7FZb32BcV88ydR/sJi535ajg8nMgB4yeOpsZqN/eq2068Zn7mM2VVqPHGh5DGYRHSQi643N4yi+m
F3Qfmg77kL69Li6tmYnrPKaARFISQTWAwzBvsqi4FzTWNoQ0K/byUtw1WettGzcoOItjbgx4chjE
9PE6wtSK93GsvZ2qBZqMsDIM4j+nEiOQxfTJ7e0SI+vYnQh6bonGUJr1yBEgPsnc1jGltv26mdrY
z2PgBGtyaspya7hUo4saXj+R7GK1hxJREY76pJ0+tcKatZ1LRyX4nDxnuMpMlOirELz0JkOqoFYG
sX1Vnhj3X8vXfxf6v1joHQKY/tNCT0uiVG/fy18X+p8/82fDXKf3LdHwobygN/bFFPzn4NxjcG7D
qABE+Adv5M/JuUHDHEzQAgL8cxP4s2Fu/4MGkOnR4iYEmkhE7++s9F9s719bhzByXYeWEq5lwXD/
d1yonkcVsWAUYi59G8Lp6N+7U/esek8W6pjoucPYMUWHHSU7p2nt2DoLjrrDhikQm1TLkG2SFQ+a
h69LXBUazVBWbEa5oZ5giM9U3Ow6AH1jsAMXYMXxmYy6nqHlzP8lgjngfOXJR91C1YoPKewYM0Vn
A9DSNGPEcB2N8DyNw2iPXCQ/Clq9HDrFsGQ01YgP9RezgKrhlza5gNN9wvIILMWVcCwuqHq6yLvB
ogK3wuO8tYL6gymDUhA6U9Zh5ptWtIcxtIYMC6FL/Pep+d+4BgBGLjr6//l8BDokjH+bM/3xQ/86
IJk8GctxB0g8jw1nnT+eG1f8A0GJpE/70zawJM//64QkUfEz70QWQrOfh+OfgyYsBcKm2nVs7nXE
IPbfeW4c4/cTEopGR9DatgXvgvnqb0OFZWkvkUgae9dlSjwgSHZ9RXA7oJipPseD2ICtep0K11rA
WWH0qHeIjaUuSvyzYXctSozinurpBzhE2GyUg3I0msIKrECRPZQFktUVC8ehDlq23wCUIsi5NxQW
qYpxzqnwsVFa8WS2qDiqfODm7k1NfbfwA5/KKPTOchoJKfvqFoxmY72JikA7ACXSe2oJmvqBE2Z8
TEWZjz88lggsCHEjh2uC2zYKOoYbjslJT9LK3dkI4h4GgVIMehzJXNcdilEDT2Kp4cexqpZeXtFv
KjcJMaFhE23YV+XaMQm9NdSYrVUaua9ZmoG+a9re5bKUprk3yEg4Yzunwk9tVgTdFCUpUQRIbVFZ
yFXQpO8yn4tTOFA0Wu4s15aS6bOiK72xjECuNc7RfhaI4ck0KfjhKoIDREgQ78oqr24DD1Lvbgwi
eUAjr720TRaDBxvHx0hvOPPEqMvxcve181Q1cd/62B8oN2c1MxsakwD5TuBhvSNVSrbmDdZUyjON
/f9BgUp76yDJkyGUDdWLDKWLjsEwHpDeLFc5NbgWyDeNB++r9TOZA26yuEVwmOGgI0NCZMzFVNkC
aYVo3vmQ7+l+COQBwDatnuOpGxGi4WuqpjE54IWguM84JH39a2aQzEUtaiviM7uCvzdFOT9jiSl1
zlUxVi+mN9PjtNo8eEqkS66D1dnuuaU7Bo4jgsGH49LyntwyZUX9Go2hyUbPo9yeA6MHn/EBEikf
AwNYvMOah453bD1xEFFrvVVjRgOKxhM2FRQ188krJl5/yo3yZIYGTaAEfE2DM5iLYtZKJjgWCew7
au7EGxhg9oUbJ0y4unkfVDTPcmrpkOiifG1NSiRrFyGkXJNeaJvXRBTRqYXarYeHdgl4WTFLbL8n
SYkphow8mt0YsGOueE2TD00tTSJc5D1tBlvT+QPJ5kFbyF4+vDu3S2PFpDfgq2Hk/8y1I3Am5rTC
xmVcOTdt9WJjG/OlxgABBoqp32LXt89frwith/j5Hj/Ngegj7s0aZQP5jHT6ngaV0oyjgKNhIAez
pyuhDPmmTxONPdiDONV0Vb3UpkFfoSbxkI5pYslLmICPT0UdleDgY0WMj90J4dfm0kYPRcbHmuiX
I8nM7G/QhCbt6etd4rXown02wSXACWfxZq3K5i5jIzauiYIpqLLShu2usYdl58z7er5vB9p0W842
fKWmvlwfWsB6c91OXnny7KY8TQqOz7U3xdhxXS9s7BU2PSLOS40bgqzDeOcMGSsUGBhFP0g3pm1c
V9nnPFvckYmtLfcUuAjk+oys813Z9UN5cgx4ZGB40pESMm0HZljmvG9me7hjNjTe9jSiX0BqdwIh
WmeAgIqK3IBrxOitdTu/rCx3WlmmBgigMRG2dHkRCn+C0HVto/Y9Jd7kPfFl2hGHdce4SyLib1eZ
aqqXVnZNgGrMHO8Bgogdfu58O1Nk+3ofWpcubpuPZCGtQb3lsci8bLx3bU4LpL5xY5tqUHwYLsDZ
1pHe+kVO6BoWBILC/HZQGVQFr1j6lHHYY39hggclxHM+6mpxOhlFSVNQBgTnIQ1P5SEME3kQdJ4S
fCtR8KQchxWko1bjBfPhZjAsuUFyR9WptQKQV41nkV6TrKCNxGJXZm4U+YiPwkthVMVdRtIRmahp
hsnISSMgVOXsbGm7Tz+kk4sj2SfxPuld4zvTrPnJDbvR2RIdCulK2fEPUY8DKnRrOlQ5nagpYXRU
xtojrUj1FJmyWRd1CpEu85ARTwZObWhg2dkYC/z+3lhAYsixoob6/GMRN/IEDFlzcq0B21GfOJME
WheIlylNmlOL87n2GdeDSptVegXKiyboMIAAA0JF+zImbIpjItpnW+U/EKhEcjMDqc9W41RPR/Iz
3GsAsXdGrpnjBqGoUH7q9o1xzkD71pdZiujQ68SULRzWuReUWXVaXQ3EYKxSrQtuiR1kNZkcsj+1
qrsziuJZhCRM+a3XzCjLSIo6Vyny/cegEuUTyBB1Dy/3NgL8c0d2D1MohG53jEmce6BeMFe7sXVv
atIB9rGTVRs9jPRnOuTjSQbuwxya9reOpjzFK7lsO2soSpolBqStfU+Pgwd/IEfXwyhbmbdNEy7J
iVVkbTI90s9DOWeotutWvzRRWW5GEx5bligDNxlSwVXUt/g+8NtQzDOtG17JIcxJ2pWdlWz1vOtg
GNdZ1uHmkECABEYgd9TbBxNp5UtMmEbDVojRvktkh1ZQqw69LbirB5G8jmzvpyHrums0iq+Dcuur
CudDu8LFU9m+UwTtmZEIqljpmfcTlo/TRK78JTXs9rOXo3qdiFap34CtZv0lRloXnloFjSCkfeFX
tXo2pzm4RAQ54iBK8d0zkjr3rSH8DFke6Fl17Bqh3SjV2pvGFCE+Lyf/kbXDeK7nONkE1mRekrjt
X9zYDtYhbddbr/Ksm7EboK+lRZTXKwTM1TWE4fRKh+ZWrCOGyRcJ/XTtyA44XZ7Repf2eKyavHiN
u1b6Vlk9Bsw2j6munlq2xE3ERGgNAOLFMMNDMiTNWZss+TwMIbFijJUUZPTGgNQeRSccPOGNcMvu
qnMUeOoBepxjEouqIzKgAVPRKR+iFiMbcg7fjKRg0oYPtWXz064xM5s7HddEDqAN/ILxLUgYDoQM
DVdkB0u/GNoUdU6WrQ0AN6yFYMOjEYJSKLxgXoeyJinIZgvfLk3IcQVzSVzcUNq3rgceqmQez0Zf
kFHSgKfz03ncak7bg1NnVld14aOt18apUFq8NsRYYUcAjUP0X34fgznC18/xY2sWEHhHE27eptKJ
5exaG7/PRMz3LdA1sU3RnDzoSvWnqRH6N0hNLFB2CLzbcvp9PDZxs25z7yJavd8hxUES1GLGPaHp
ru8AYmS9PxXNsOlKIlmYbJXGsSMC7xLHtr5WgX0AZOyeS+LVHvWG9MmVlXdPURc9w3QMSFM0XA4U
Yx8+9hXEHKcZ6TPVjTja+Ej3ox6iAvIid2t3Nt9Dq5IBIHSuI592nc5W2ymNLJ6EvE39arTqrYw7
dscs8mAMODm22UG6T5XHB++rUd0HSelsUZIFyYbtcNjDgoM1sehA3QCewaiMO+wUBXbXJJKkzoTN
CUKZFCs9mrrTqCQsQdMcxZafGa+cfIxcH9dK/z2pO/vTJRFqE6e2Ne+B0mUflePUe08x3M6Wo1WV
N2qV9VO9miXICz/LExu5al1tEga3PvNprF8LcyCYstZnrLYg/RzAAkneX8+NW4lH9jcSgopM0MvN
vRF4BCNjCHNWedflY2jfZYCJgAVrnlr1JN2t3GKQ76lh6uHWswv0tr3OWRCgbnoTssmGfTaei7Rp
NlOXQs1MaKFdGo4BV2YGq3pVIPF+dvK+KDFMJZyxpPcSdkZ5NzMkrlZ5GOHx6aaz1VjWNfE98M68
utbo7lrk/5VZexqNetoxvBlvCSZtHqIhP4JaOFXuPK5rz0SV25TNB+Yafde3tcILbQU7FbpPHNSG
rdMw43GUvCT9xHSI5luabmEVhNkRpfRgbGNvnqfVICFu0AYqICnlpj3fdQLq2EhIJwp6NN9A9wqc
KgIwO+h5EO1pp7T8Y1rI7cRWzjdgJRQ49yq2une3rR7gmhSw3tVP8nuusbgx2rF34MSdu9LIvlVi
gcWDGgMcLwr9DX1GdTWiBEa5zL1wSIc44HtOppSxchI5d6iaLP1bnPNvaliptAhuSxQzWwvZ7hIa
alXDtzmSpS9JDwqd29Cs6lt2vwMIwlwb9r9U8v8f1eNS+P7SUWJ0QAaPpGh3LalTpy86pl90SimH
pcBehqTWtJROVpwsqkf8euHhP7/Qb4Kony+0KCGgZjDy+D1CDCsH2LyMF8qiDMVZ5aLNaIuasxpf
g3xrYpcyK6RbjBuNBffl7746mXm09YgE0T2BK+bfP2alTYajTyPO5qQyH+xhwDldxxNHiUzty1Hj
Ve3W4TyoDTkn+P/84sYiqfv3i4yW1oRkaZJUAl37t4sMNlcLykCV+8ao+O1Ikzp55aS1+VAkmEJh
YkPaYkeb4NCGFccVHdIPNQA292wfyvGvkn6WT/vv70dYZJ8YC20Zn9Dv7yf0hm4yQ4oZRyl5GATt
BwyH5gNm8+a7p4z4LySd1m/iSr58KaBAoDl0dMn5kPbQr3cZAydEsHpT7guiHs5tRL0GEYTbQENw
Stu++4gyXcrrsHc7iC/KFsHkN4YW5VeJlaD00FjNN3ZdSHXzpWeAjjBXR2Ua3lMftWiHU/A7eGSK
gLN6bjO6DlF50sWR7Xxv2hoDaeDyah+jf3qB9Wi9lbQw23vsD1aznVvwEI1f2LaQrzNFZOoH7kiV
HgaWoMALKUCR9BgPuSOqlyGbmu8LfubTxQ1wL7yQMo5QK/6+berViw5udjyHFMTasmHqVNWGFlxm
rekaQuKpFnduWKr9xF9UN7KsDHunIgMJR2O45ctXAyS3a+P66y7871Dgr4YCcEd+eV4X6sofNJUF
6/J//w856cWPjzb+6Np/mwt8/dif/U2DKS/KBJsmGJLkX/ubjviHw5CXFiZAGuPnbPjPuQDDhCUh
yLW573/CT/7sb0qdGCKPsTGiLKIv/qaQ/qeD7tcnGuEyC4tuSuQk9DfN3ybAaNJAt5DivS+LcGn1
xfhUYWDTT2qfJzt9d3UGiVXJHBMNteenCTDecYQT5hpp5eut++D2bnokJx7eVZede1dy22o2WnhF
ia1r6NMSlJ9MDXEK4effSpHra9zHgoY/aL/K0wCZ2B1BgZ55gfGE2i7CmLv0sjZG7Yyr0OA10V/2
fmIADNTxa6+TtHkmLohSNgaLXpWESVrJu41xZw1MHI4ebRe/ZN8/VL16NtgiSPfrxSqZMV7lgfOk
DfpdIoz3nrMvP1s9ZyWmibAV0NjAhyIxvxgRoTRmweexq7Hd6Kp+to3E4wiJ6G7Q+HjQJU0YF9Rj
veaw+rgHhsAtAkAuTc+ZLWxzWgdJ+klG3biybS5l6apmrdf80qznEpBA8shH4DLoOM/iplmj46OU
JqvD7ysJOyEwkQKSD71POKHQy8GQjPeIP03lZXC7ljO5e0ioPknS6RjHm7QHwolLUGWC4XNrzJew
zC7elCFwbXhJ9IDWyZIMnjFPmJuu5g3RM07XhJg9pg2KzcBZcAtl8TkVNSIooUzfCiYs+SmL/4oQ
tI8ggy7WKu8B0lq7+RoEN3qS+GSw8wW3OPlKvQcDk3jNQ+AG6RkGaOATZjhvq5lRPsBfMH5LiMRg
OQcSch6+bpK4nuB2yLpZVw73AXK8S9675KDr3sMAWQa9If/IdevSx7ypMKHBAnmDcVbSNesyzMej
47WQYJEArfWWv6t7znXcGOm6Lhtz4yyKBDsgLmhGCrXqMlSZyA2uuZ8/MQ7i5jd569kQv4vFTmnO
X5ZErGq9oRXroXUbMIglP8PBmRh0ICOmU81Xet14vmrU89f3nYcu9U/GbdXCQdyGEbcMYc189Qt4
md5sdtSN8JOHnLuaYRf9X+5Ol+bNqlyehbBup8cs4j9J534XBm+EJw8WQpXG1x2Xi5nJw4QOdDPU
PCcOjrIjPa75KgLx4XtO80xfqPJth2/Y7biZXJ7Gr4tRVDwUg8ZfrdL8PS8HcxMgeTtmjA3oWXHT
0kIMjhNwlrscUKNP8h0xUwq1gGgryP65aW5UWupr+lNcUh1W2hBG9H8abdyFDGrOog5iZHuYZFOH
hxL0CjOSpMC7XnKXFfwhxM30itm/vhY6CwEiEZStHCE3zCA+aR7Elz6CDrw8XqQdzHsKaXMzyozA
jxKVQdnR+KLZ0awlqdhH2i/FboQJsOmN5TFMMT98fbdazsfXguLMUGNZQrgFiqr26Fdxbb7u8tlJ
5y057ETAwKHZoAv1tuS7Z2t6dxWdXa77cofziF9izgc7MbGMeT3Pt5w9EhOWr7ntBsHf4jaC1QTZ
PDGCNyoAbW9FfFQin8EudAbpYPg6/cSK3wEh8BUY6Sc8GQFqhqdH13iac9F6PoV2cNRVV5zRHI/X
1mjt3CF515AaoHNBEROk5iIA4InoZl3bhxbPaTlbxnlCVLulh5KsChjNZw0mOwMqli8nyQF7sTgg
mkVTJndkDjcQCkZ+mTH0vmwE3R3crWv03mDWzUYdBhvNC0Jgdz3Gub7XS6ISsOOyKIYQkoOBr05z
SM6hW36JCMojVbyYdkj4cEbLvvfxEpNI2vMWhs7gKXKqcs9Aln84mfi5NhGvAKdweWiRbPeweZDg
GG10ayluCUWb3JySaWcTnrWycFCx7QzcTPVYoayP+f7KjBZYraMRsuV43TnpJ1NqLg1mTkSRXGLb
s9J1mvMrKUm8rSQfYCOhuK4B9bEELsASJ9OCW9rzqK7LOtu5Qf1ZO/zvvEs2SWBRU8SsJ1LL4i3e
xA9X16wNnuPQL5kj5SXix1SLbrWhuyY8CCDz4IbHKR5p9Gq0tIy1jQx/gxMS1Gwxajbg/2x+TS1w
kitGl5JcBNdowH/PKnmHIDvS4kmYK8a6+WCFabZuXNQ/V/QPumM86HyFQkd5jvOWht8m0euEKUjc
3kZ0e3B5A3MAbaWasU/8KW31zTh5TBfAz1SGb1NQH6uge9PasvzeeP0HERJlRxdpTD/dWmgzZgZt
nhuf5X8gIkOVWzSr5IRQWNbCrxLFM5/IXluHbEVrrH/BlUe/kgAnQZL8NS4r1zmgMW7yfTvNrfY8
hRKac0d34BxEniDrQWWG7ddTWsfXVm+bZAWYRaDdFR3Hh8ixH345it3+PMH8yg74vWrkXANiEh2d
7UAs8H7PB6aJYc6yVN3eiSeoHnP0GadsLqJwHzpFQ99C4+DL+C+jwX+vkL5eV0I+oljTHaH/dp7C
6WROXlt1e2P4Wux4BkWcfi8GOMFjlX7+50/5e3n09WoOeD0Tx6Xuub+92jyArY/nomMwxA2ynAS8
FLBYCMhq/d8i4H+jcWD0uWgS/meNwxWHshLWzK8lwB8/9EcN4KL/WRKDHdBD6Bz+KXAAtgEwg0xo
DPL/lDZwvrch5dtLatCi7/xV/GnD2aAbwPdt6FThfy+B1Fr0E78W8xx9HBPVEfZeVzjk4v7WXFCG
TZuJ+MPjjBS5XmVZaEMxkl/hb5Ut+xc9zJ1rzaIzGFdTcT0P8Gdql3LWLzhqbgx2KZSa6QxRyBzT
m+grcM5esuc8QuhGDytKu+TS5XhK6rXljvCSygCzxypIoaBPS54dA9/yrH+F3JXE3VWRSm8dEAM7
OrQRhq/A2cmvgLww14J1g4LgK937QHCSfcWoBePJ3ESaT7g8sT700c3TlDGFiYlRY9iemwkjyCD0
F7v6DmsWYOWiDO7KWkoQAdowHjr9PU3n8o3kBBfAiAgEg26XXR6N/GZYJkspfbubAWlGuDFsL9P9
CHLRgWgAuYdHon0Mpao/nSr2bkRSuIcyyNWPcDSDmvNwZdzGUdXtcO2oO4nw4kgCpC4w1CZT7gt4
XeSDAvG36BQwJhKg5rE3XId6EZ6aatY+CjtUjGEoca7xABSHKa6fe2+s79gS7R2Ci/4xqtr23vNa
gGWZNqt3GTjhM9DU1AN0CZLbtpk6k/aBrLxziwNhAMjETT1Wh8jyUgewuaHe6mkcOt+UwzfbtIHu
dkX2Dvej3Xtz3G4NGccfs06BhzvxRptD65iqlkZKMM+nKqCFX1hOs3VGtzHXDBrBQepTZ6oVEMn0
GVMPR1+uUsdvoxW6NRuRneisBb4qc5sPOmI4bIygOxvL6Smx9GhHi33Rx8joW9rGUYoeohIID0Ym
YznFnkFWggVKLDIxgmEDGFNSfSRzGOmxj3UlZ8LVZPTBNpqZe2fE1DPpagpcdQyDw5XFRveJHBO4
BhGbBXFx2eJvSCJQEzYnfllPhLOqcl5b89QxFnbzq6rVkrPJ7Hhivj4Q3UFjH4wvE6TwKXCovEgb
DeU7I1ZZYcm1wKJngOLLSs/3czWjFICJDabaxSU+55Z3AXEX+YOrbaooZ7ec+rWtrGugEv1H4Yj0
oCsai0NCrtG6b7qJOINoPJHIazfbxGsLZr9J8KzldqgdGXfVJIMWjgFSRG/whupgaPp5gBHdT6nx
0uLIg3ld1N3FILX0VU06Kt9qMN5SJRQC16md7prBydy9hF3O/ML1yj32FrwbuRiR6bRRFK+6wBBP
osfzWOPlfIeHrhcrQ3LT+o6as30VFi7Cat2Bkoq29UBZ5T3MdNkAq5HHRWwYjNRsXZGou3WZ+r9Z
YeQ9qli+a4RyIj5XAn+uPf2wKvBr3BNGWSAWCornJOywnGcqaRkqZIV6aR0I+EwJk+rgBmW7JvuD
WLKWOfI5MkeQ/q26GA0oFCijPM9Kt5jau0pu3KyaCf52aBj3HEFHWcVLNQElemjrIw1B50jPkRxB
ESUu1wEkKQRCljUlYE5rXsWgIZMxOBLN2pWxTryq5rUBc3xH6S9mGqEtkqyoPU29yUfcEyOqhKIJ
plLU1+SFdNnKK0V7h9dXcmGdPPnGhL5G6WigAWBFC7pDEI4k8yCJrF57Z6pQX2hugyPJ4wxo6VNz
I9GFfZSWQx5SYyT9LSNzboPQI7EiESbTG0/Kfqu5Uf1qD9PwA8/S8DLJwrgSTRzQQx8aRBYCEU7g
e4Gob6LJC9I1pRkn4mgIDpGpceo29Oo+TJtq7abegGhNUaxkab22C+coq6mFqVrQXoiabN2HSOwT
zJ2wCmVNWZY/hIXV7UDaBatYSNCjDYo2gh/TqSDXqbc3tT7O32fRjzkFnF2vS9HlRPogkqd35CY3
IwCkvjvJrLaL1pdqqOJvs0b27X5yZJHqz+7EOBmQkBIGHauOsLzkJhhJbzYXXpKRICfC+Kfu7DzT
7+yFq8SyCGFpYS314fBkyaK4q+nB3VGrBOZKj5NF3AOnicYCyKbCKQB+LxwnKGYmi9RCd3LjqrjV
O4ZngKvqbRNCgWrjVF57uINoO1H+Jl+4KIMtjwbRROG+0KTqL7CUWBhTiafzdu1U2xrNgqBqFhrV
8AWmMhSMqnqhVc3IJK4sqwBhpRaalWQYckgWwhWaJWBXEOwIGkDdelNoKGp3rVaX5wnaEmy6qrqn
Xndoamf6B9lF82HAoISyC0rSiBr3NZXJSLGM43sfGtm0TRhGL/Ga3aZug26TEo/Rr7vYmE9mOztY
NSMSIobktkZQu7JqU9wEJdl2LLJpcDfMmCvsBMrWWIYlMcoSSB5pzbfh7CAq43o+qHI0CMye1Z7l
wtkhKNJu0rTv4f2Djr1k3hx9h2wbMzEGXr9SVHu8jt5OxwmL3gWg57BD9uMdeqNrnlRQQkI0rH7P
84QSmQYDavrKIWqpGUIixudp0tfkG2Jw64RXY4jWc1LmEqi0IDeMTWTF+j6pM3kDiD+4wl4wHho2
xniFv/u68NwPvYy9D6MRZrliOFk/x2D+XvUhSA9NqVW7QkSUp3HPUsPtF7FJy4wEb0oCZxv3SYos
sRxeGeAO67Q17BezjN0bc0J10y6lK6TNzIx3/4+9M9uOG7m27a+cD7g4A20AeM2+JZnsxRcMkqLQ
A4Em0H39nZBsX1FVVtm+r36whz1KJSQygYjYe68114QMclrXtWmWd8XoP8cgh1mxIzqWR4CLyljq
hWdG+A96/wvByukdGa9NdSMwsDQ7uscVJSTEIWeJG6DST6Yg7mIrfbohzOhhCdL4LHy+eQw8411d
hasBwO0I4FJAQvaFu4yKYib/hv0FrwwxcW2dUcWpVoueHWk58aspeMXxZc6kx7on/A+vyA8IJLb5
ASRk+QMQySNrgot0f8AjKziSnH2HJ5LtivekG8xHv1XuPYHb8lBBoKxmFGU+Qykx9gBZUh0aLIiV
AnIlC+A3G5Jl0oovrgJtaZUz5dKegZcN5EsXivKOKjq7qQysJHaunfhxkFLOyMwibatvFu1e+jOy
gqnZV5YH6gCG864ux/YCHCMdl0rZEdjSmtyme0+oep1P5nSJ6O1Ae/wB8fxvCfWvlFAG3jdk1f+8
hNp/fY0+WSv+9m/83VthYJMAOsIGgYhFMHn8RwmF7oqcV/SO4Bo+l1HUXGBlGGgID6W4+AlFZBs4
K7BcIDPmKMAA5t/y0OFB+6WMmv8GaEhiZlnaBsrzzyNKUporurKBuHIiW9uHoJirI4/2aK5h+IzO
TAUz89QqDoPui+xuiqXjv8HS+4ho3d2R0c6iYZSw5IXBy+Jq8RE/CGsKvlQM1RJ2JrkLU+OXK3QZ
Y3urZWbI0h/2ffWgFxVbHdKPzMqPqY8Ho+tQxV65ZoQUpq8ybxM3UbHPg5EEH7izy5wk9RVKBnuF
L9DZYMCnp5v46pLizyJZkfXtlFlSnoijb7ej6KoDZ4n+K5voi5233lfbb3RUvKW71RlJv9R5qpOt
kos9gR+v5CVzth68iIAQ9JTRcRqjYafL0t7wQ2lXBLsFZHe53SbSPYODR+2bYVcvXakMYlYcPFic
tekYI6eIzCcwRCdbkf1sxIMkQDHSb8emKG9bVRH23upPBJL6DwMHzeuhwK8mTf9pGDwBxXBcBlaX
X+xEq3a2qs2rOs/rvfKsYKknuFPyruz3jojis69lr35bgVORBN2hqk2PMBL9bVZq3Rs7QrAfGeZu
0sLIPiAhEmOSeMYHhTuUEK9hNu+b8Yei1ln7fTw8I0cC4IvYF/kQnAoSqDPvxTRVunbchOBFr3zK
4/yJtI74DOoNWkrUd1+Clu6iZRFuZacxFBw5A8Fp+XbMifLOMWgi+YDEp8EWi0CP5H5+Ih+qrhEb
j0wSKmqVpTvXVBXiaNcF08vwC6It2+tW7ywQsTKjvluI1Ahv7dRIbxAqT9dBH1HNTnZ1iixY2pjy
B4eroM+neWBv7SSrCdsgnvWOpnB2cnI5nqJRWGeTBMeNiIL+pq+relM0zfDeAjunFtAt8qxSTX7z
m4ayM+xtY5sDiz7VUxDvELg0pxbPX4lKuw+/RmamLREKObvIaItwAQ7YPRrSj0rYNK4Of2AkF4dw
NDQuxZwNV4kO+ZvXqEe8c6onE3k0kaCl1bgcmJqtzDDqNtjryYDUcvSrxN/6xy4nUoDdwFakGFZl
vfGRFYKn6E9A9+UBpWPzEDLWy1HWmtE39NLl2vMyn+5hKk74ur8KmiQLHJQIogCAiAXEUBhHc/rO
0sJGj+BY959iKq1FV7tUxEV8g4ybyDSYkG8d3dmNGRviPWVbPExDTkSv6CLByUgjxclo+2e4R9aN
lgYueQdQqRVt73BZpP14LHuNVDePGufggU6RK1AEEWorc7pxHdrQUwUyQ4hhjjCyzH3DSek2o+2z
9bJePTqRUyKlKyJSMoNUYxQVEmQrSXp0yKQnCtDnlkAdeSSiAWta5m6P6ohIlTUj1ITzIhj2mNj0
hw5oIgqUythE9JJWERPFRd3awTnyivpGcHg3Aq++j2FK3PqW2tWFNV33Su9JVaKgUrzWi4RI1D3F
B7K5XpQ3SW5qa6M3GkbD0hvv4P/Lc9505r1JNfsS60a1IqcHXVFf93tC3aNgX9DXwtVaUbyWZH0O
oBpzV1vrRdlfQruqTyPROEsWT+LrKdqWCLcjRNyErXZ65a9CC/T7VBlfjd4RV9KmowLhydznjRKL
2CDmbSikmc4/8rY2gfAEsbzXXDmCszGt9m7yo/Ej16FCTpo7krmc2xfI9hwta4DSqNE5q9HDSLeu
AoUYI3Re6ObUYgZSw0OBVmVTySJcCoxFZ30o6A6ULEQ+AbyrAP/dF6vUox2YlmypAcNZ1zZQeIKk
HfGFTXDaEV+ufRgQnRdDH6GIF7b6BjSVSGSmyLcNPP+lJEkBX7H+Gk55uOZ8lKGT6botwmmNZkdQ
RV/MKWxPdZ7dNiSbkFQIe96qa+IuZqP2VDhIFAdvutENWloNHbmKQVcwre2QaMDcLoFiWaR8gZKi
QHAj+wMsVLfu3eGdQ1hHlLGLNYYWH7p14WinSLMrmiBO/0Sbh6a7Iadb4fX+qsUcRahExLthCbma
HHLMjDgdzkWkNBYsANy9E9svacZRjtIpvjICUsQmvTRe+zy0VxjE0e6ypJv9aO6YKsic2Vbg3MUx
EZFkDTBT97PbSTf2nB6IJ6dKFOtU5yxLaLnjr9y4u/Topp5wi+fLROXNYoSsepNkzUj0aUWBqIei
OvhW5R5CzuQES6aBv2Pd1JZNq5+IDLdup0ndKEw/C2Rq2VHxhS0dnr37ZDTzQ1AilmTEt2WqyjRy
CqO972m36YgKfMBrwFzHoj9JUqVH5SPUJvRg/TTUwUvdC04Ys9JtKRoaAjrNiGIi2ayXOFh4oaKN
yst4G7bM/U18OmuCBfNT6NQs333Qv0axTtA7NIzj1DXuu0EMyBsWCe3KaepLY+XO3eRhyRxtBjh+
UJ363kLF0GrT1lMuZSDy3QeQHurgiHyOu2v3UeKSPpjizu7UmO7UlNFEAVTRHGKTmtGOQ/sWFF55
M1XM3zx2rg781MUIifzQ+qI/0WjoyFk0gu7JiGNtl02dc8plnBzM2NmUVkLmnQkKUdiPVIH2ArtB
to4RXC5cRkn3vhfKrWq96lp6rQHaXVobvQo+vDRkCSQue+s1DK3gImW7psymU0QXF6ZsGtIzJczP
bZBCyymrVjYS228OuOQop7gxSV6+SwM+QmukLQYbkv1EYp3p/hY054yXoKHdx9Avuk5A9WJKGM+D
GE5jYNgPWZUWhyoh3AC0QbeNa2ax8ZAGL7UaByLK4/pl0OALAJ7x12Vndnu3TxTg1ealp4lMqBbZ
vCH+/tQO83WmoldNOeOqhoywcL1kOvg+9tU0zI5De8QmZaNXK9Hz2lkZki5KcGOku9lDoonijkNV
eiwqj60e55y7iPuULkqJ/YwY2VBeZeS05sKSW5wB9bm3bKjEg6Nto8TON3pkhic3IVuyNhO1C4OE
RE7SKcRN5chhH9mZsRk8BWgkSZxlb/cvaCAQzbq1I7d9b0zXEh/ITMo2DoR9FRvH64dX5QVetgCT
Nbf9GwEaHwBMsRAwS1ZOOQ3vBXKFF4HIAE1285qHfrDig3zLVV5tkrzwAe8VWg3ETvcoclPm3rhJ
mFpXaZ7QekyLsxzMlCwKZqp9l1fRUrNDWgm1ubLhT7OlCYpzx9eH2zRNrjn30qzRSZpB5rvRA8kO
2gcAc1gHlmzCEiYh9g5Si/Vv2KqdRYt0BtE72SeYjxkBxHTcOHrAdsvSCyYbdCMNEtFjEDT6sirM
ZM88Q71ALwt35hAEa5dUZAIIxiYFO6EaYt21ZlXhtqAzyYDjuYr0WcOiXGcRT/rFlWxIkPHC5Mro
W+OdYIiMVhDxamhqsqWFCmATFFNWGHfeEKgkWAWdF5XvMDg6gQGnyPz83h2iNLUPgePF6REjjV/e
92PHtwa8c9DwQ/sFJ+VFUgtjssJFBiAIt8FMKfLjFAYOpMeV1gZJSxjIOHxIIaOvPU5dXECN88y/
U76A2ySDxuzkPhgD8quMzhtWeuPFBwXr51xJ/nTZiPIL/caFhW8CEDHpyOQjVisV4nyIXUfitZJD
8bUOdONcxoNHBq4x8QYzc7tCnn8/IY5ZVLUjvtqZbAIkvpM8Bo7fr53JJ4x2lnkkAiSIlsv8ovcw
LoSFYRfMQ692ZG4SwBg1JCRUpbkqbY4wZt/kizCM052oM3vtZo551IsGJIiOmDd24FGhwh9WjhjR
4Lga19NTWT4McWc/ISViONDEMnfpus4Idz2DG8U3d9tbHtP7rB2/kBV9HSYeX6uOxv9u6Ang6xKa
o3OkKEFbMiSNvUXrVSMBp8cNI0Yx15fetccujPprQP6dNAZn5AbV+WHIk+Q+9DJAthw9qZmIjhmL
KbzLnanZoL+rzkBJki1N6HmyQdjUlRZ0hGMTUNGthZIAgpKmuguCXG+htfFH1eQ7+7Spi1sSjutF
WBnVIz0s4xlRU/VclAw0clc/2SiAaKUViE0sU86xwj4jF9XpRxpt8q4DA1usgkAW7hk7v31Bvv/q
TnWWLuQ0hBDLIx2bRa+z7cdTyMRNx79xnWZj9pQQPfvg0Z/devC5QwSChklObdc+pLXqv3Ya1iBp
2kzB8lCu+ETFJsG7QQh2XdAOFbQn6RESOtzO2W6rIHL6t4lTHyd+DSUL3cbxpqLNG4GFy+LbOvQ5
iUFgoS2foChqPI0QKUIa931qx/tompKTQwrMPieM4CpzqBzcAXuh0LW3zCunB3QWgbNgFM/NWSOL
hu6k4xPQetBMRteTkpu4uABGJkaZksG2NbvsFlommoOJ56rGWrygQRcegtlDKjn5gmBhwlIkgbFM
KMtK6s/5IGs49Ql7bwbcUnfmFSxc+2PVw8Qkxz6vnssWtde1gcPOQvCC8vhcoVTUcaYDhFqqSDR6
v6AlMn3VRpKdb4zvvbKozPkLO218ajEND/dTryXsr1pLwdveKL2xXLSAyjVdiSypHvojX0nteZsy
rKChWI1REkD1f3K7ayK71YYrgJ7bQHOrewJSh8ef2j9/It4wfh1NezNgGuy0y6mM7s4fVPeM0JLM
MvorlAwOwxUT5I4JXpioLw2YZBC+mLm17RLzYKXORrPrjRMZa88NzlJN66ZErdppWx+/GnKTv9Kk
/9Lv+f7Z0GMbtpgprb9ihnOjqwo9oEcsZX3lSs6KwS7ufmiu/yms9hdhhz5fBIH9zMv+YYD43FSC
AjNQ9Hb9VWxCCuI/Qss2hVtu/tuS/FdakjgYaNP9844kZNS2jt/b/ym//Q+mH5W/fYal//j3/67x
BtVC6w49hvdD4v3/JB6u+7+0KJkn6PA7vyNe/iH0sDzakJRraJMApdsuoIq/a7z5Rx5mE5N/KBz3
32VYzIqRn3UePD88TNgocFHMaIz5zn/2UIxGkRrQHvVdyrwnD79loXY9jEzqeJOKvtjlsX5oiPgB
nPRs0CFIrOaHeOifPs0+9/KHj4AUy7As7pnl/BepSekIIT2CtHclY+cr5d3FgD5BwzQSw7PekxQB
p9bOeH1lyKzUtIt1b34hSIAUO3SbkPB04KBx6REozd7iAnaMRLCwKS84ga7AKKI3kO82Cgi2t4Uq
2HrSlwTJ7/w/R4asdjw+NFO5jSnxGm09Ov7OLltmCiENHpSsxbiY9BZNnFY3lrXSU0DBVvE4eqSC
8DTsBmJGcnZ027SOoYK9GyfTxYblsPDIeI4514BuopZrrWbdpCec4xdM7Qo6SLgw2Zgvwv9iWNq6
Cd1XMu0QoScY3oW1ZJVZ5pVPGzDCAckQlXNerdLbQQvuk6qv12Bu110rXyCT6ds4Uzdh4x5Rwr9N
oVq2CbHGos+2Ypqjptt2tqgV7/lg69s0Yb476v17geggFKo54bLkAKfLpRQNF5s2cWpdh3kSLv+7
rPwry4rBGvDbdeX8GhcfPyvF/vZv/G0lEawkFjlHLCPO95gl+x+TDpcZiKcDw3FYUIxPijH3f23H
c034TvrfmIB/X0hsCx+Ji6/D1ZEH8uK5/w4M55c9yfZQq1nMVOYcAIhVM/rn0zoCrtCiGzXtkJSM
/toZz5SWP62yf7Lx//ESRPAgSAM/xUcGmPX5EkGvCC8BaLLrUGGlk4cYis6P4Cv9x1r+H1xl/hQ/
WRfrwB8GJ+IqbvHSaC/l8NE6P96Af7ri/dWNzAviT5dw4xKUa8cl1HRx9cuIRXh6+/1d/Lqmgkv6
7sEE5sWCilrl8yVwhZsccrx619tIAQjxCZexLC95Xm2ZRP1VuMIfbuj71eZ9jz2JGdwvvwzU6qF1
qPR3Yxk6C73hv3CiDmsig7LV72/szy5lmLPxySF7BN/n5xvTG+w25mBwY5EX3g8J3UNYy8ZZB0K4
+P2lfpndzcgpn1Eb2dPsxFzxl++QYk4fOWfWuwLf5CnFxERRSHxdMEzDogoHgCaUv//us8FFgRiz
GXpYGrGWfr4/Jw4MUyuZ3o8p3yIlDmUFIqMFanf7L+4PDtanfXe+P84PvLlEk4Cg++WrTC1NTlJq
9S4fI3poWcDYXKu8ZJ+a0AKyrK5u5GgMtGSm6KyyYfiL689PxSd32Xx9CCw201kPOesvTw0icLjP
KfRkLydEWRTcoKj6h9//iL8UC99/RCITdG/mc+mua37+Pgeo/GPrm/UOAKWxhSNPyRq6VnCVmViN
ptFkbKHIuSrrvN78/tJ/9vxYyHpNtNffEX6fL+07WGxD06p3CYqCNWoJuEqJhkjM5UADkjSMINFH
bbD+/WWZmc0Pyedvlj4VKRYmemCIsL9WIbNcKAm7qt45WlG/l67Q4QboOHrcnlXHCdLsFsELdhIy
WA8W4YubobH4CZKBXJmh67exrOtHM0IMSWneJKu6dS+mQ8d2FXUDjVpEnBusx9h02oH8MgKA77Am
qOi7QeJ+TD0CJsgzPzaic5deKV9yT644UjbrrDS6nUpqsjzobC003xCrlEyHM2O+kfRWBfUkrgEk
1SrZR3rmHnVvEl+03C2MReSMEYYqTRxxuo1LbC7NOtKcDn8zxMBFOrQZqPlUkbWZTw/oU7NVJCP6
KW71LszcPQRxTgMHctCqcad8a5vNiRCY9mEoRgxzgTK2mnKzdcmoeg/QCGySMuwNswysH4M0zp6e
ksJt4VZkEepuLbflL0m99uRixV+Xk2eOi25sjHMQWGyFCctuWKroEiRd/w46Y7x0k0WTT5A6gVss
4Xrx9NGjsXlGB1wnKyYS04PogeKt+sn4qGsAO8wL7PabVtkDmUFJ1j4yU2Z4OIjWvhCYy180f8GO
TY9sdMCL5C2WIzE6YpVLyCyZCHBYxHP7OHAKVy75fOnSd1qXaNJEu0pC+6NtNJumYqu+JtPwYE/m
h1/4zhfyWhk+KC1+btOBziWZDXMOHi8S2IePqS2JV4hANiKVYsVIMsmP4ART+whZhV7jwOdIYDwd
cuzQj/H86NPSco+5p6LzjKtbW3SDt6rpo0uf0RoNCyg9JNvWtF89fQsfDvwjG06IBnEEoI9mNFly
lg0PDlaK3WQILmBOOEeqpN32uZeiDk66u7Sc1F0rA/4w/TAeDKCTF1S+mMOyAHcqa+/C1kq17qhI
rj2fr5NRMfSZvJbmyuTYdAVwIUn2iSnyjczmXN6hig2CUerAuLVVEF7GcBa4F0DAFrTBnGsALck2
CkOd+JA6eAtcx/J5SrTgyuz9MlimTN7Vwib6l1FrYF+PES3oETPmkjmxfUDEWZ0qzTUAGk3dXvhS
3ASapW2bGf4NMys89bZD462aLq0LNX05OJ2+U1ElTLTNHO2VGggsTBmDvrWYbRfId8t2YWlK25Zj
5H2zk5TIihBMZqM1iDVdw3+LcCevQ1XZlBs0q9Za0/qLoPTn7yPQU7EypuErjDe+yaYbcP+GUt8Z
jTHi2fLNU0aE/L0+pNM6GHFgcjHH2HpuUQM3svtnzwy6lyJwooueV/qui01Cz21Fbk7MbM1a5Fhl
3o20aQ8V/fwrZQ3wtNE5nAsV+tcDfeR7Ij+Ymjc05NZDZTjH3gzHG9IksU7K2rvB9l68YhXoL/VI
ZMEAx+aKnAABk8odz03lO8dUQiM2QB4v0aOKOzlapOZM47Sres3Dj6ZDakZaOy9emRm0lxpcYEG5
B1Z4gXXfWcWeVW66oCe9NhZtvogIuL6rMOJ+dSbR7IyORQg1QbPl0XBW8HecjRxls0UmFuarRgK4
4UBpr5VuV8esh5M0E+qi+8nMsWYxuOLvdIJIrBIfybvpFtOBTxvC3Sunw5iO1dFJzHGZOUFcLRNB
uAzD+cTfY29iKJYkAnxR6O8dRECbVgwlnt9Qw/qfxjk3QBN56eGV3FAgYCcc63qv1aRBLKIKoV9A
ds3aDRQgA5N29LILWr6HgcEL3mZYbHAsqjeSYFqWsS69ZCgBmAahn2lZBV5oUU7MrFx315rkHrk6
Bm4z9JwjXsVi25cxVaenJZLY2dJ4a92iGZkQxMG3xlfZ49gM/bVv6Onh+x83C+Hc5ZHNLGcIc3Mx
OW5/3RP8c40SGfekl5bjmmcYk/DYeivbCJm0fL9kzHCGo0ODpwwAhY+nKmtn20bbPCGVwkXoRPxR
u6bAhho0ngvaCEuzCc1buxiCL4kdlY9dnKOQ9VWxdZyJKI/J0NmrycPsEVUv9UGlB1GqV/o17d5z
CWMFUss8BPcyOtF+lhGOdXflk9kDBDzCRl7TwzgTANqdDXiKPkLYctiVwGDQIUoDGoVpEaWqe11+
oJk/pOCgRKtW9uxqBbTOB9YHMe2Yt4g7Y2j055bgGLymDT+dzDF5OtIrOM8I/AuTVFwW5W9wGCY8
ZeQ/4G93K+1exkBJoJ3z03vQzk+la6FzAu/z1ceCdgAUJ+5y5vDHwCh9TLqMHcwqZAiLcszbUojW
e0tq6WPvx/62KCpxB2RbWzt2jVC2bYttiK5sWc+bXeNj59QSd7jpBZ1qy8AQW/oNRv4AOKlVj/ar
kVfZupA84CKwU5xFmOAge7Tr3NaLj4Q9fG82enPfpGJ65EEKb0Skhddtovw7Ek0wbtqNzwhVFuCv
LfHcUou2C8V0maFrwVEcbpe/NQNtuGlxHsHG0LuPDh/hQ+7KYDm1LcaQ2fD843dK4RF/GwkmwkFs
9RvdlsYVuBzcpkHKIsNQ6oAkRa01Z4i/FKrxLn7ZAQ3RlfOEo8h+Ag9gPyWOHK/YqcQmqiJtNTK4
XmlAQXduEJTnKdTq25Ix8tqsEfdqqTVcff/WWwdESdl4qH5TfaMXEJCwZCZH5vPGoiL0HW8wUP2S
B3EDLo6ZShUV68Jnzp6PrbWWVc6Iu9ZtXmKXOHBFftB14IE+NfJoJOZ2fpYnD4M/ODaPc4VnHycv
Hq7cpiC7KnND2HBtVwEVL9JrDKP5XoyDePbBKW9BbNrOAiG7ie/f5uefqumcNuV0Nirc7GHvW8wb
YWOxBBogrbT4rU7H4YpFYdyb6JuusXtMDJMcCGNjI8dHfSgdB4FCn6wnZPgb10j9U+ajBFSpm4CR
j7SNssz0YJOxekz6CZ6T22vroJbDdeU2bN1uBEPfrUoNCgNhcClG0zoAWmngqGBv6vZ+HU7EldkN
kL+WAegSeX55r0rAhIoFhzNQ4TZHwr3a6yrE7F4r3MVhlE3nsTeQHQei31imwfiTmb123+h6WS+R
KXBitq0ZycCyoYcNryZzEWAKTewAKO2YMVayK7Yt1J9HXfE45XLiWO3Hxpse2uPZzmEW2H2vv42+
Rz77EJe4z23M9FHDixnTm0X11U+XGhzXQfT2uPbasUbSxPiUcVInq0Xui25YQKBjpSsaa7roAqz1
QrOykoKU/3MPBylsF/6ch408O1kG/NGbxKK/uyinKthhA7G3MQnxtHYDtGWMPuY7unajgUaq70RE
J8Um5qg4v8MvVa9LLynWk4y0LbU96k/MICbQ3tFDT1JUd1Y3j6HSWDvCa71REo4iE1QcS4n24VXk
sxk2NgmVGYssGYFYEZazAtTEyumETb3xvLpfA6wwt0EQd8AygvbIDK1Wy6zSSYFVhAXLCd1NG403
poxLfPkif3cL7b2Z4PphEtuYQ5/P57Zq70WuuSDE4b4vya+pPS3csVohBgHOT3Z5QYAV5Z2fes9a
ASeSVBjyCOOmClZeT5hyatXtSvdabV84QPQyF3fQgoxqm1OVydScfObzIGlAF1G4TLuwWAsS7+NF
aXVqy3AwegkVYTjpYGQTIkXmqiikyjtpCxPwaKhXpOyY0TFKhLwhB0M+a2EKxIT8NIBFUr3LzhV3
rlHbwyrzEKmrbpzQvPjp1s4itdMi5soQLCr7BpPHdJMgtbqTDKnXXa5cpI1DjSsHof96cJHNBjVS
FxwTyaarUrpxehYfwsTAqEZs0ptfT/mRsZ+1m9LM8etVXyJ7kxtPDWl6bIo3jvfGl4Fy/GwQ4kYU
m4lGsCOVFNtMqfqbYBrJjxojH8ck6UYgWXkVYebhavO1CKJgza+4GgLnjdzxql920TRe20abXArs
+hsVj/UXUXO+wk8SmVcj6WFkUBCWyKi1eApGVw8WVaGsR33eIYWRS9rfXrQbikIdo9izz1HetE9F
azk7DCv9IXPC7ojoJn1v8acCCTT4cUvy5246V+Zf88bV5xx0aGBNUpq8ItI9GKlpn+qWClxoFNiL
sStsat0G9/yotfaDVbj5Og0cA+Ba10VXpTZ+pJ3rPZulW6zRonjLMATggSg5WSZdPi44401shRGS
qIXShn4lcNQckyRLdomEWirxovPzstseRqqKVRlZ06I3vFWIk3PVxPk9MIHnoWhpaLHKL+jZMoHx
R4piQz7BQrZgY0IfWei2W6mVw8l4W/oivy/TvDy1U2bCmAk4SkHlHwOAuHYqPcVovgHqsaNcEtrH
2DJ9htnh7HHReY84gsgTkcoDzj9Al9ViktgtrcUl5GY3HBWT18GwyoekSqtnqeTgbiXhucYC9lyc
brvSYeidwn2hmGqLC1Omvlg2CDVe0lowkVV1nxw6U32EvdcvFJ3dE6yS4mhxsn0vpC4AmrrNSmjp
1VR2YILB4GXbNgUM2/NTndJO9oQNVrK9ohEYXmFuAitsz6xJwHPVGbNJsGzqxLzl/f/aFjrDHfY0
n3xdNHxW0KKOKht1QzwVdUeYRY8D8xs2Lhw+BijoCwqx8o022IudNP0LrPS7SZmNvXEFak2t6A2M
SMA9WqlZeGxUdscwr2+XERzCW0fHCbOEcofSWekAZjtUVTzxO80r7W2Eg+ZkpgKtCYoFDFK5T22a
mOGbMyJAQOuJb8jSwg2EdfeeUof9JPTzl1lYgf/Rf7IHtGm6RPbA32KuqqFq7+zY/ooFs77uaGq9
hVOAljntca801picfX/qt+iL+cZKz9tWYYLsRvP5UqzAfYJuY9/HHermRJELbtY+MZrEc4EMF/7G
wavYWhGJcL77yIKcXg9yEoeqAkPT9kBXJZzn19KH6J3VvUeb0EquxBDADZkjD3HAcrod8EEtw64v
boupCTnhavSb83ZPCG1+CWJN3LhIHFYigeWNHNb6ZoSo68qkl+taxWgfUHZeFw7JD5mTYn6AeIEY
FjKspr4kiGGDKG22OcvtupMIsSaS3S5BoMQO+DpYaKKytmNnZXeEGupQcdDr+36nb+tM4YibAH+7
ujhYYTluQTW/wFV3dwmqwGXPQfDAQqrtkHd0J45y7gHXUHjVhFXK+RfWEWHkZL1krXyzqgTKnIfJ
gBKgitK3ErSRjihdBUdCAJMV3ZKeh60x75WpDSOOULSk2HZrdD1lUaExsmr0rpuqoI289KLavyrG
OrsvcsJ9CLzwt1HchCtJC+temM3HMOB60CeOKnVl1Qd96t9dh6rByUzCUh2HIqnqmE+i+YAR5Rtr
yomdZprJgfffeXZz8ZiHnI3toAx3nAqzFe2O98aM1arEDIjhgf117PudGsSrSwlCJOnJqfULZyhB
54w2kaY84932s/5oz7gXUVk0UtKivg4DY9f5WvAtEpZz4+iaeWkG/1s12ITO8+o9mKZLgI7TlDgP
/HrAow9pbEGCTbkl/VOtzRivBrq5buEVdAB+3wj9YxfUZOqEyWceTpnMlz/3X60Gdtmch0M2VJId
sJA8kGqNn1FQ3ZJ08J907i2GLRAFGfYT8/L5cmFd6QZcey7XtM49justFcCwrgLQo7+/MWMeyn/u
73JnPiN7juFMXP7AEcHl/aOpTRBy/958b9KPgfo6tDTpNfgyZ/pK+lZ4k/4aYcLftbgE/oPuPZgJ
ZC62BSDuD9MD12ohjOg1NsPQvjiqpKVHNu5fXOXPxj38hHMPm5RU83un+6dRmT0EtrJzZjDfxyFd
Mouh/XFA2QmB6vff6p+NI0itpxAihYQR4/xRfrpUOqgCCGzPZAlr1MrsyxfhlS//f9f4ZboTO5DN
eVtxuZrteUIwb3v55feX+NOHg+fP4Mfh8QAh+Pk+fD/x+tps651kAzuHSjcPJkkiy6nr4+dIY9RS
FZ1+Hdb0WqUV6vjjrb8a7fzx1cP1BobQ4/3zZ23J589gO1JZWkl0XEhcBYaDVsxcq+qUaUm1x0xW
rH5/03/87bgeUhoUV85MQ/3l3as4W3mjtKpdXiBOs8V4cSPD/Yv15I/PosUM3TEc+jum9Z3W+PMD
4odGi7Y4q3Zxi7iikVgdStmhiaah+fvb+ZMrcRMo3GxhOBbyn89fH2L0GIcy1G+WNnBxWnOELXAv
6+Tx99f5k5/JcIHGGPxWrFzf3Ys/PfI4IlLLr0lY/r/Uncly3Eqapd+l9yjDPJhV1yIQMxmcB0kb
GClRmCeHY3z6/hB5LVsMRpOl2vUi0/KmrgIBD4fD/f/P+c4UqySnvShuhtqw8OM6+CK6XP/YbARG
98elTpqNHFTtIJ/DnNuO2HIT1Qk8Fofk8cHrcBN0xfQIRz3fWBRBxbI2KfGpog6+wxtRVpI07FVC
C2ijN5ylc6SxOdXjKd1bblLtpTHgreyj6RBkbAax7ZCbF1IyZnMliVAluhDjcTZc9WVLGWts7czn
rA29zo6nL2509puerM20Minu4zAlcwD88fvfLssmxfAwnG8hz8hnD/7jFdrnO7SY8Us+tc6+zRCJ
iiz4LgZyOp105OA04JC081UMod7XakCxevuYY2fxJbnYRUloew9+JuB0mZdpjYYIshxJNM4iEOAc
sNER1iI63dkrCakUg1maWxpcRGtIF9DikCZLzvHOZWqiZUiwc/gD6/XSC3t/csJhaXKHHqOlK2we
p0Z9JUC8+OKldWau6R7NSBQslst7f+6W/jHXAjJHaMOOjEuiNJedRoYMv/qwDRHuYvcjv2f7+eT+
2PnFT+WYpgWBGyrvaee3LsHNYYbBgulKMl3iMl/VoSBB3KgIxHYxOUXUXx7M2AsvPr/ymceXtjYe
S1BnzkfxhQjHTolau9hy1h2/dXav/agp+j5YQJXePr/UmZuky8tqxIGH/5z20GmOsOkcW3R6HazC
uNOo5FMOBmWXFGJnN2ns+g1dNhjmRKX8/TLFvspA7mohkaDZ/P4nxXUCHQEO7rbBx7Sp++IhJCJ3
ThIXf70NIIWU58lBYeR4HyS/HASJwyBuYAuC83kci36pu0PLU2QYfz1N2W4gmEIYhQxDtU/uqZpN
b2HXZjQXW2ArNtUXI7mGw2Cjh7N/ff7rfZwopmpwYzrecFpJp6+tMM6qAnoJt2XlxlaBo1XSSKCw
22Qzt+jzi318ALkYWxu2BhZdraMS9I8HsKZBHNltzp0p5kNkKM/15P5KBuMh7O0v9iDzs/x+f8ql
0OfY3BprvnXyOs6NKMaVQzd2zvI0KJh4JQloTtaRuFR0e2oVX+1Gz1/RYysKnoOH7vT1YlaOW85X
rLVun3rVSzlqD8ZsTkTzni2iVr/8fDTP/XRsvI3jroMrzqP9x2haDecOGTjpVmnbPR6grWmm12RS
fHGZjxsbGGxAoEmPhBeonyqrOlcd4piP3naKTs6aU5i7auCN+PnNfFxFuIqmstlwdRWt8smkH0jQ
IUteS7eCMPsFxz0/S9rfTmHfJrWkq+ZOvgFF/vOL6h/flFyVhcOxQC2wWp5cNcgn6aF/SbceMY+L
PvM4ixdVOh2AkCirI6G0GeGgLJTSTCMfO0ZF7ZswNznU4S6jmbTu2RZNo1XfeQTZk51SsTmYtwX4
eawLtDH2o6f39jaUjfXFtz/7w4DhZcZpUKJOfxj6klFGeROmVU9fJhm9ZK8MFDs+H6OzswxdJQFp
RCF92HLmZs1rBELztpBOhhu426qp9uA68qtdy5kHFuoFe1vWIQJ5T34KC/YqANyChWioDLrZQbQb
bHVYf34351YgAB3oEV0O5Yzd+2dmSlR9gE2UoiBoMDI5M17LAlVM3vprl5h/v4vmzIhMlFcGBnVA
n+8v58rY7lBdpJwdg1/z2InYvs1F8Pz5XZ17eGaiJ5REhGz66TQeGuAPU8nDk8WkN6ajRp09sH5R
cS3XIrTcn31WJdAk7OaLV9W5NQ9FLHh4Xr4fDz3UT9TIMLt0G4b6tSyUlykJ11XyVCXTPcv1F1c7
N+E59gCVN2e65OloZtyjY1dNCsQN0zGQPee21xNl+flgaufmCIMI/N7UDGTOJ+uq1+pDS+pXuiUu
SX0C6lFCKUNJEyRGl1Ggd/rHhDwDGH6yu67HIr2yMsfYRC7CrmmsyP8JE5AgNYbjrHdpyrZt8tXp
Vjs78nBr5ifTANt58rgIvJwWUYW8bQaTWqGsXzQ5O1ENt9nFjvvcDlQnnCqiklkY8VPad80O4NOP
iLbuZFdyX/WYtKkieThdFTxVEffx+UCeGUcaW2xBiSdFZXn6QswgDCTxwHa7L6Zf1aTJtQqZrgyg
sZXjy+fXOjMc2lFoaM2KVXbd7x80XRtBk7qSrX2g/VIpOCxzS31pRkBsjlckKzTD8osdxpmHDs4p
JFSupnKTJ9OkE9k4iLDk9hLrWxSHiq/TuqeYKaaFoY/1Yy36eklLttv+/b2CYPXmihQbxNOV0lTm
qA2XzBHOaleYKwTy3OwWWTJJn2mIJQQI1edXPPdLsmWjDAA51mMpOxldm5ZDY8LaV9QQRqHW0Zos
DHnb116+zW0O0p9f78w7hxtkD4X1COHq8Qn9Y2eTB8KMYsATW1KzkHCD1VuqdVkvDWRx/5NLYY8y
XJsNo3v6Eq0cM5YkDZZbjUCBGyur8W460r6IW037Yvk6N0cNHqjZhzBLnk/maIcuBu5czVklbx/a
qHyzLNyJDb9fHNa3ZE/Ivz4csYBhutBBBM+mppOfTRsouOvNVGwBhyH0cfo7gTm+og7wxYXOLMyA
elUL7xbbEN2bf88/fq9q6pGBBBwBock8h8Owcaf64YspYfAZJxv6d9c4edwwiaaJCR9ni6pXwy4V
g8UBe3entxitggwgaByqGEt7US0bOwkfy144KAZo2LQuxItea5FEFcSTltiwVlBStVXvjtk2NqTY
T6YZ3epeOPjF2AXfgwpsf96g0OB0O/po4cBNkvy7ndRhuLE0gWAvoYd3N3k5iotCa4gxzRsBy6gO
PA5QQ3idANtYo0AD3ZrG4joanGgDOnHcZRY6rc4gAqiDx7CFW/kQl2njM8LpOqdWJBYRaqEtCqV8
UfZTtQrayEIxmPaX+P/B1sfgGT4f3nNzk7e4ozFPjgHx739BG5SfHG3mJlrBl3qQL7BErk1DWRs5
WchKX/4PHjv23Gz2KN+jjD95FqyI6A4yFIstFre55nTV6+mul8UXm9ePJT+TWikKf/YmlOm8k8uY
QxrhFfaKLUrS26qKBcIh92edPtKJOtCVhj+s/whF8cWRyTh/Xaq0jCiH69MNmVfldV71FjWRcpy+
RQM4RcCuyi1qdzVb0TjnjFNbebCSaVcvswKlkNIWLOQ19A0Lqa+V9MrOUFvwm9Is/AB1GBOu2mD8
oI3lJa+W1nFQh+bvp84ULnHW29ReHDIXteBeT02CsyerXqQyMdOFnKpwlfB9ljKr3hB+azcJgb2b
aujrNY4u/v98svyokcnKURz9qTasr36Kc2u6DSIPojhlBkObh+yPNSJWGysv0q7YqvJlxBeyGHss
gBpZiJ/P5HNr0R/XOd0YEa2SZ6WHbZTEc9UvqDf4OdbFzy9y7oVoG4DOLZ1+m32auq7WegWhWxRb
mk4EoltEmqn6c5lGCGub8QvT2dmLUa/kzOLhbjvd9tqCxaggOgIRDrmb5B9vOrNaIwNDUCnjL4bv
3EIAkpAKxmzZ+7D5zcbRsBOkFOTJiVu9cWwf1sxzmYk3GWPeiuwvRlI7Ny8cTkkcYPFSYZ19Py+m
psoYX/ZpyZBFWD10be9O0LR0avHgdpVoa1a19EmlNe5iNQA+FaJsDsu4OLihm67hko2PRODxRDVB
aE5fjMfZr0fjljIS9dsPOQ39EDQKwOR829fVG4lohBB395lBM/nzGXX2OsRqzFlc9uybeT8MDeSD
qEKUs+UkWlHNkS/FqPRLyP5fvEjPbVspTuFeU+f/ck6eQwOsqxUgwNpKhONRg86tL25Fae2hBl5n
Zf1AzswXhYpzE/iPS55uWJPJJBXaAjIOzn4TtuWbZ2YoXO29KL/iEhjn5i8nUppkbB85C5+ci2BP
mKA9nJxlRh9/EEj8u4892+8yqDqUb0NfqcgwylmRV3E9C44VbZZnkalN7EjzDHM4eg5qSNatjmwZ
awtmg0iK+3ACcOkWWebnQeOuB6d3n1yLVXNBliqqCaUZlhNpnNup1H+rPdw4pySgplJ/JJBi8CRW
YHXLt9jt+kU+GjGR4aN+X6G85GWvW1/MpnOj4M1OXUoczNvTBmwGiqYpECnPWPfdJCfCsFTz2aqs
C2qmzzIe+y8ueO4nnu0ZOAYdiq2nw16B1RxrNkPbuPYUxDEtWWATp9+lEQZQQptZmPr5A3PmFnmv
z25jDyPOh9OlZ49uLnUj26ZeSOiwGG2wbOzQxqRsngmlnrbokF4/v+ZRr3GyCUV7A8tV5xHlaHsy
u0JlBCjmZvnWzifPh+Bj35sRMV6FMVoXUZllT5Weu8tkzmM66pTdSGZPeUs8HdmM3kbpeySzX3yp
M0VMVAlUfeZVm7g8/f3SEQ7WRCwdT3QzBejZDBBaqNKMdRMQyOg5NkFVtoV8yspWXigioHxNivza
1JaffxHjzBo2+8KRY2gcc8zT8r6KNMLOZZzjW04MWiOzuDk2sukWgWVhXfBzOTuZIEnEZwFvKqOI
rCk5fVSQZN1Nb/TqehwD9VtksvEG6q1+Y1tcAN1hSmGbSNcoe6BGttHbiCKTJbtbmXYSrRAMmkuh
FHIb2bWzGqLWWbrhhV6mxj1g2+GaxxYnCrk/03Pktt4+U53v6gyI+3wAzt0/HTA86M7coT8tHFFu
g8snDe4/S4f7CH8uWIYhfo41JVr//aVQX6I1wI3Oa+PkrUnTqa7z+bUEpz9aVrU7W3rI79mTnxU+
f36tD4AO8B8cC2ajLEVMOqgn58hCsbOW9FgOByQXuwtJwxjHBwnPG+Bk3bJwMu1CK9XgRg5gZ3Rd
CW91qXg+YeIVgdqq2B2/0F8Ffh7in6Jsyt/yP+e/9rOsRhGHkfyv/3z3Tw8l4tP8039l81bOcZnN
6b/07mOb/zr+cfhWzimb7/5hdQQv3LZvYrx7a9DwH7/CP//mf/cP/8nt/CLwk5/A5Vj8b5TAh8TP
y7KNm/iloHj2dvxau1//+3/987f+QTi4sFt4PWIqpNjhzIE//0Y4eCYYa4A+Fi9OtGPHUv8/gZ8G
oAb2n1BkXCpdHq+Uf8NgdD6QKcGcp8ZAN8rT/obhYMwT948VlrKPAaJkPrVRNqcBejKxUWb3bRlr
YkeqgMNKmijanRrh/XAJ6VmXdeKCyqsc9bVRnOCBWDnMWnkR7BURB/tG6J3vZA4uI9UuNulxHek0
VhjXTZUHl3jypRNVVrwqVfLstAhrl1Yo7VtC4O7lEIXZk6nXRFbO7qYwArtfqiaotUJ3uuWsffS1
UAXzL/OZMlHn9n1L6ujflU0ZAYKLQeEwDIwptd33y3lCBEhXdlW1G4Q23NgBfqNwbEnfk3K+L773
H1Pk5l9j+2cS2cmqdbweVWQQA/QnOK6ePN064vMhTNNqd8w0HMIMWS/Je3HAGHx+pZNX9nwldFHw
hiB3gzU4XR+nFpZfQy901wdIaPQkgfI3AncEeh3fgw40N2OUBHefX/TM7dGcgNaBC37uwcx//se5
k4ZP0+dFk+1aG1MSnUVCCDmsOdayHWZRwt9fjbYBJxa0TPaHJnDouX1c5AmcWLW30kMh8gmXtND6
65Y02M+vdSqzm8eTzuW8s+aVM79z398a2h1iOFM13tXRkBm+EQWEnPBeYKPK/mcRjdFw3YpWu+yb
tNvCQpXVKm7QU3/+PT6OMF1o6pnErM/U7dNCeKY1zpi3RrKr0WJEy6EZEdSHQfDg2VWpfnGxj3MI
8BjH7nmDz2vvdKMpao/YWGEnu0qbpttjWq1UeIKrqEojGJyzIcopsNl8cd1zN8l5n6o7JH1oBSfr
UhomfRzadNEKtM5EmvNr9kbLEaGIodv+1YDC0OHzPU8jIIBVkJLq+9/VjJVe6yIv3sWEUaC7Hx2Y
UqoYL0LySh8/v9b8WX+st8drUR5mKEHZmfRe318ryaWtCIU5hB+515YlYT/7LDa6rzaHpxWx+Z6g
e9GuZpFhuurvr4PerRF2OcRggq0uWcLP46bMsdAXQWdY91Ec5wjxhMTSNMGYDFZqHkaHz+/1ZO7M
9wrPiIVujrsmX+Fk996RBBPXluQ7dLO8HVAeujXSeg6BMeb7EtswlWNj/GI9Pw7hyRAjAuPG0aLy
Dj0tFnXE1pVT4ABxROb6LKCB7ilgjVcV4S8bYVQFBgcFi+CxbOz4QIbGjpDTYvgFzLEWWLO8fJ8G
RbANVQVgM3zyfYCE7Yt+1rnvafHDoDuewW8fipapZQT95CjKFjGI/TqSiC2A0WceP1EGD2Jb4KN2
FmOiOM5KKfv0oHY4PuF5BcGuTUvzwpNegMrNNa48xW6cNQT5MsFl5Dnd5vNf8uOsnY98IFU0zhvI
BU5+SdUrZNngRAKfjQfUT8mkT30g/3L1+XVOnnpmDHo2fjLqMXO55PTdGCs6g6I08a4kTPTWi+eo
tiItrQuChaz7z691upwfL+Yg1uPtaIHdOy2TjC79DJOW6Y4AAJQkbtAtVXgWCGGcdB3oVehTrx0v
tHZwgJEU4QZDq/xiYFG0zU/i++nq0sdB5oaAlOj3U7xRJipF58kItgTbiHHnZDqLqfQGo9qFbTXd
Koatvh7zg2OIvmIxVhFllThOBfDxXLUumrAL9h5RVzcYoTCbNvhVhF8TnQGYPSXdOYtm4ylU1Lsp
M4LfHaiIJzox02HKAHvithJYEesBV36Ok78TKgtuk/f6nUW84r0dAYCQGk6uqDDHdknMxyxLwrw6
hgHHzqyIuutcUGbOglF9nRS2cQ3CtmnhDUXwO3cVq9oXFOgngkmqAJGsZpJX50SczA1n7uwo+FYJ
xa118yXyAu0nvhDjsTcMTLBD0OWQ1fEE/M46afbLnEyDCFprEh1CgyfbtFhaNNHFr3AxyNIDRPU7
RBamw/hn2+gXgUroBjWpsIVnbZub3sSbyRlqaH65DuDXIqmd727dC/eOehXzjac/TNdp6XF5kJ7K
rUtZNgVx1TrfJ/yqy4EKyAGyB9BYCwtEONLIXdVx3/QLZ/aSc0QcD7xnsqe6HuEdzMOL0Viu9CJS
b5GsRyk4bCeLdoEW2sZeV/PokGIFQxQ9RUm1co6rVauNF0KSEui72qD8KMqUGVmqg6b6GdIMlKYV
YzcCdG4IRFejB8ji5nML6YHOOHmRN0YKWYLaCJ/Tk9Z1sGUVLpvawbmtUrBHSCzGECgq/BnIibwU
ktAwHt2iE+ivKI3uc0OPXzPIDGtNlOZLYtUK4G78j2IBVWe6tXplkL5MxXBDH264jkezi0BTaPGP
DKXcbiAk5gmlgIkicJ6HOeGDe7dNeixeEVqd5TRobGC0HPJg0WXMJSeX0yHsR0pYAUevcXFEIOSW
osLTzdnntBHWcj/hBvDX4hnHDMgEW6lNVL1EeFO25eAye63UHG5EEA2IzwlauLKtUnmwo5QBO/qz
QyXDLOVSoJmUFIKwOVyXSlavJb3ObdiT9gEAxfJHpRS3IaFZO9UVxUUf9qYfk/myxKWlHjQDrEFb
qzZ+GCt4CKWzKs02fSGaLj2MXM0PAsu5zidnkwKsAAUeDBvy5IzvrstjRy7DRiV+CjJlC2BSGSZI
IDoBe3aBb3koc5+GBzBpRpWorLi7jsMCPIHmrTEjGmsKWyU5BAaJlwoOz5Q8sAXZMsk+S13hA/vO
lmM3p+c0ZoB73fwunMY4hHl8LQYg2ATBDMtudE2fF46xtur40Q7Qo2Pd1y8oXflqS4ZYJYt+k3q5
6qeThs12Uu2lV1H0j73oronGV6/SX6oWHEqi5MaS+IlioU+dvlNU9xtOQvLoOwSh/jjQgAraSv+R
G+Z+QrC66PT4KrIxzoFpf+i64KIsSCmVlT6tImyZ+yjLWYDNeY+U6+OVHRvGQU5NfavFWbNXOvIE
psm+xDk6utXCzBOn8UhxqPWweYNZVG3BbxA3UwRdQPBZaCR7jYxuDapa6Fy2VsYXKjMTpH436tOj
NZnGeugzNESyIyBGalp9zUbJjJY9zdolGa3Zo6jG8LHV1f5+LC32D2VDoM+i6qbxQFPQWM1uh7WZ
EoqU5LHYDZkNJB/JBhdlF413Vb1zrb6/c/pxXBlT267m948FfKUi/4VM3Pymkc5EMBNBBDtTQQO2
0FNAQmJkLzITtoq0sEFJkWvDUlT0CxjUvBGc0HO2VcLRp2X+IYcci7U3qeam7elc+QCO8muwA09O
NhHK0gMnNhECJ36YYfhfSpvkvzXAmfxCQey1LpLUmsMMcbk6bfgsSYK7MNphKeOAsFoCXORCJ63j
h5EM8NetQm9iv2OdJO5bRHujZt++0Hsq+hP+2WqBo1NyRMiU22wUziofBThxkqbUXHbfW7Nwf0va
xsQrFBoxL7nlPMNF8KaNasVEhLb9AJyoZT9GjNa2mibvalBq+5ZMutHH0V/5iqwdEgB6b0uqHSis
SmvFW0WrbVX1ybivpXFwgI0cvEAQomJ62qVpkY9DQISzAfzl3WZBjYM8IOeXw38SmZQphPagxISj
aDLz9vyo3j2iRZJfowCkBCFK5s9hUptbRypUDeqiWbolyHFowKvATopqgRnb2vQOiGbblSShEOv5
mI4N6YcSOkoeaMkuSGr9wAjGSwNHbt0F2qazLCa2Vxxsygd+kHv6TVhn1taqHeOSVDog5uAR7gOr
1pa525ebTJ2qdTY17ksruSUWmtrvmj42ALWUgpgRaP+bqCv0bIEvjAowDbunQh2Mq1Z1y2t1IosA
pU5pL6oG88BqTJHdArLtsk2WFs53K7Up4pR1eDEollsCdjez3QjQ5k1yHL+URt/eSlMZwNxWNHN8
JS14p5teLzCwdNYVJ/Zqk+aOwwFAK/eZBtRHdhJWR5JnN5VtyWu3GYatUTeR58eeu82HSex6t1AW
2Brci7IegkPSFu7GDLv8NS1qh7iWyqufgSTWa9tO0t+elQPSr5yq3NHSp5ZERtWT04BH46NXAk9I
BvlsIiihCabuRa3MBGKI0mAfqihJ83JVpQ9oBbR6MrUXdF9jXy2TFb94vEpz/WdPwOsyBuEOxsKD
5ltgrT04Xlu+OmjNwHigiHRxut7U2Ps3o0UEtemm8oZyefOaAEnZkyrJW4NFQKSh9DvM/Kn1CDcI
NslP0jsgk8GrGKLfkTLWRFGQ/8mDLQuOSVL5XdsRJAqr0q/i3mofoXl1r6aI3e9h6xF3WxTklS0H
om0sXnsjlJfcpyJC89o2xz2eYC8kHrl7HqUWX4GyI0DJpTm3SGosOKSBaD67qPBq1EcHsUJNVUOv
g51VZoPBt5LD1iwS9WD2cbbMsCDBpNBHgqqztkXVxOIE+kBL6mGrBb3cayKv2qVEBstyNhJIAIYK
jtVg6e3O8gZeIxrVIeZl5rH6NJPyQLaxCqQDQHvFS2FjqLNScorhY3A24oQRZYSW5YyCcOMfoA6Y
ylSU1EPkVDqBaLoYtggGgycoeMaLolfKb91u+8vAHcMHq5gSkvT42MEcvEetADqit5b4EVRmzHYS
ylPdxI9sjNGFBLaKmq++s42nMMTjPk4sr7TSmFT5k2oVKuAm5c7pwDYl8Lp8TAJrc1IA+RcSp3Wq
5ouBzcnScSLY9IUIFy5n7EVhmKXvDfFrmulR4aP1sLEnyJJX5RwGoujr1u7f5GR4WHc906+F7q1T
2k4kStt7vSFIVsPig0u8hRsAWxA5v7J0AqazCrrxYrRyshu0l4leNowxuA4oIdNFno/ZxpTxcF/b
BFDprRsekqL7rVSAL+qJLDm76/R9TGF31VDN2scCZZanUh4AckgKcCXaTRXNTC2peQvO+Lx12AjB
6inNVePF9TpHonipyiG5TLVhkxK2A3QgGny0WPZS9sN1b6vgG83B3loCSIyady5Hk4o0BFBzeG2D
m0Fr1IXMEkgksnmTQgFkNsstNDsuFzCwf4hRydcCie+FrKgdTDhXk765xWj6EtsmOMpoZJ+Cmz5v
9rlSf+/zifTWYC9L+7ESwYEll4IRqeWwJaffSR0+ARq+c/RiU7Gb9ouEpD817jdTSpHSkcQwWqSC
k2jaLj1Fsx7LOd5PLfXXwdPYWIEiXrqRvsvIj1niQIOrUF0MkQPoIrR/5h1mBT2nqr2wFE4EYd+2
z5Mx/RxIkbCTVl/XThb3/uiN4bOKuwnlo3DBH4mqW4xAP+IyNjbatOpqoCDdQEtcRpdW/QgxrH2o
3dpbRU187wAR3QL1TH1Rd+03RRfuaug7cuw5w1y2rVC2gjg0HvNR3VtG7HwDk1bAOa9tIrqiXuxi
NKzXbZ/MxwnHi4ZN2WtsoWMBaGjS7OlSdpYi1lE+3FlovH6ptkOStFJlFHQAvjRgGvVO740L6eaz
qr8GEHqT6WL+PL1Ok5eRonNP4UILJHHDkhnt9CnhvVQ1TTAnakJuEGE4RPql7Ie2jgGI4Uq2krS+
RikTIu89iqZ203PkPMLGWj347oYpFDnAYsxuNBszQM/lIIKxK4uwhpUci0KmPYgDlhfqTHNPYyzb
4PvRFhooNWeM2SKSxNNwVfOOe3LrYDwoBKX5egzCSY61rV4lihV3K1wq0y18CJYlsCSGT9YjpxNS
J7u3ZNL768QetUtVg0ynhUTcRnDYvoe5QpE7JPz0TmssiQRacBKBOqW+EulmWwcZdfOR15PwmyKr
ap4xZbN1yBR8+/DhxI69PR9NbJOyikoO6EtrDKH4aQDW1N6WP+ws15exYPtHanp1Y4nJT7Wu2B3p
djOac6enOP7ixoBFFVkUBRoO+S45QhfHTs3xel1lgrsvbbELbDCJnBO6DUrv/NvxXyEBUL9TbY79
pUP/HB/PtNWNFJ5fLjmDDQJeF00zCBQT255/YQXdqbDvvZTBpK8MCzqS9fpYKCZikjbKgC6jTUUD
CCeuCK+IwQgpHl8xj3oQexNIOTu3mucyltxAnPDTso5Mtw2FlxsU3tq3vAU4yd6XxmaA8nUnrGK4
SQf2uxOBMkCNWgxE1TiiWlK5LzOnFl5ZHPvqLqpK3xqTesNWjbN922aOWHZp0AP5maiKULxkMSBq
hhRN4S0xkFq41QM1z5n/ZAxcemVY4bJQ4o0KbSNy3enCE6Ih4wUaD1TLOpDg/8IJEGPa9+ZlVkv1
yiJM8KJMQIIBrqJ4FeBPOs47JYaXiO8FWN6EUCETNOsj2dgckwhh4vtFVfBbAcNIUYRj1m3WzmOS
wfZzNP6R32q4Kp2OYaNI6Zsk5x2OJMVyLsU1bTEdnDHor49KkLKMp7VtMgOkqfLZXjd/4Iz/C3Ua
/F7UuWTqlc1SOhXKmcJRv+UqfyUtTLFzivlPS8loaQAmR18zoGt2fNBqBLBqLUFpIhzQLJNIFUk6
KjaNmQrH9lojMYwncj7wE4gU/J40k6JSwmwyJj40GZTyhVJiYSx5nXePErT35RFN2EVB+RJE6nAz
gjSrCAviETaNlt5kL4N9UGnlSwppY+fVA0S4sekyFQ90Bp6VwwF3WCAlmYOTwpQd8Gxn9opYv+Tc
Ip6lNw9vTjjTvi0Zpq4p9TsoMAk7Lb643gC2y6e8eqndmEsPbdPtiW4KdqiamJCtqzQv0wjaV6Ui
J2v+nicI0mLxfW2tpvMjLeboIaufBSICH+Clu2k6AW4ZP8JGyoCHfaBXGrSj9y9koRSdXIUlbEqD
EjhoXFTQoocUhFtk0oAd69p1YdgB0BeDby45+VjLguVwgw2T4gdtUXdpzbOgryjNWZVFSQF9EnGL
ruRM2GOP29vOpL6GKjhOWpFK6dOL5ZkuhRUsS06n61ZlffRMRiq0Q+Vh4kDw2wkqbtiT8xwUKils
hHIF+zgEXco+AJiK4rTu0nEdjn0u0KQ31+acTFaYNnw7gqCGzqUL1bAhF5RSEcJGbCt4M1ZJfak1
XXEV9bJ9gE3t/qo6M/gdl4O3B9iZjZjaeTOZMSLZ0XLgKHkFM6DzYAIkpAQg+hSGCJZOSYF7mQGI
G/9Vfv4rocPD1xKG/54W4v8noQOCJBpR/2+hw/alf4njdyqHf/2Vf1QOPOdE1DjUr3EbozL/Q+WA
Yec/dHOWKNGhRaxmIKf6R+Wg6/+hoxTHv8ALhh68SxOLHDcZIaIgDYeKOPIXSuO0y/5O5WDNndn/
W2M3aUK5MAH4WrY6dzHdue/wR1MaNWw2JVao3zfNnFpWTTm1xU7je8KWzr3LygzFbQSx6WflpPpD
FKXKne7V46YwlbHys5got6yBkLdQsT6QQatB21RIhx460FBHaqTN7jBcKF0Z3yQCZRALuGXsymhI
qcqQqV1piXepK6xuYKj6ZZykI7TrMb2bElCqXug0UOxorBaTMmFIMHvzWhniiCDrLMbN3Mj+xQur
8cUxItIjwohh86OwY20QqWCXkKk1iGylem31KHmRYT+SHjxqbI2S8fsoJuF7VZg6uHon+daJUOOJ
zMxdCCrkNozsW00qnFfKrNEfoTJP6fKP+XJG9XBUxZ38BHMrkl+VNiuKhFlV98dPkOP4IOy7se8n
YYAuNlokcvogbNBlgwK6DR0IITp67t2UnO0uCySd8aKCx0OIXqp2Gyrj4woLf7nzpraDjAG+Um/N
8hcJscpzUVvNXTRCurHiJDm0lqRceRQDZhlrcRihj2wbo7wGQvkoMziCVkXYc9hTc4r0DbqWX0lt
16+f3/Qs03k/7+jRzxMYpSZtZetUMVChmA0DtSruzTIPvmvzr4+DTfuG02y4URw2NG3Cxo9KtlyZ
UQEDOVfktG6gNx+GdlBfq1RjGDyL81RYANDtS+r0wcj/qg1df0MWr12ECjtS4BPapRHWbJnc4Ck0
B33jxXH2lBZoS+w0U7cx2U6biObzJu0MezmWQq4mNWdOG1LtLtTJ+FXY7SUgIW1LvK+1RRjTyIUZ
GEtchSkFEdIEVJK411b8PatwP5tm2f+MI9CmGbWgn5y4jJ0zZmIrJGTwICL7t+ratYz74Y6HMr1y
OoWHCULFNjV+qXmc4MAIhE15NZmsCxde/SyDGdplDKhzcdyBqpPQ2Z/Pr5yiGO4GgMSkDxdxcsgj
o74c3UyntlFUb25W89oretFgCCVpYDtMjrYuoqahMFjFF5mU6oED43DjFlp3sNKam9OhlcIIiaZk
O4oo8fzJDPU7JZYgqCkBX9IACdfxhMy1t+ZnU0k5FnQ9uuWogasZpuGlaQJGVjFhfdHGPlmzZokH
uldAlASDIINHCv/+gdHp6gVh5yh3HMPZc8xwX0VrgGgPvPmFg0LJ9Oa5IyAr9jp+/UbOvRGzH6Nf
hNIOV5WtB9Q/1frZqU3O3VGmboCSfBs8M13iMs8f85pPSTsBqSHpOAxksyyrDCiHqvL/sHcuy21j
abZ+lRM9RwaADWADg54AIClSFCVRsmR5grAlG/frxv3pzwdVZp/M7FPV0fOKqHBVlC2JIoGN/7LW
t2Jy82zcgEtJpTTrW3MoF37VZSDr1krgOHNcLfuRSJPtQK3JMrWb3tjZvWaSPDG0fE+62EsHmf/x
87KlAKA52XDcXWtTJzZ19KsuXP2rC0r91csM9Vppa3tBckc7XjZwNcnPrtIflZ4f2NFqZTDM3tZC
MXw6WMuay13uJqRkYlb8vRT4p4E9n+KE/3debW+/4LnDChpD7ab53G7tP51XU2soLV676Epj62j4
SqXhL12rPWWrx29gZKYesBnQSHVOoWfbc+M1d2RR0k+7+ra6EtyDrF8KwEouNJPv+eggf/LaaVss
wzF+69im8k6TInBsU5xH//rs+f/9AkjaeFmYlQXm6r9dP9WaKyLIY3kt6LF2c2bQDzUxcc1ORN+s
Ks6ZqJ04L8AtUTtvBHPHrSgVUYzcGpMT/eLeQ8tsLvV3MaPxc6aZVtcEe7hvCzd6LmRLTZhUMcz3
f/3aP5/Hf3vzLUnhbUANIlHx7699KruUgMzJvtbDVvdNSkW/uJoj96ZTHTvFNV234fl8X8gNw8wK
MIVQXDlHt0nHU73JCSfQQ1j/mHd8YtF7p/QO3sRMjLnJUN1jDk3P0uT3nwjgMFk0TurXyGOCjyi1
fihUIUd9XYkLyFvI1IM15bDXR0liemavpDwQHNoPQ/RqJgYZOq7mnhQb9l2EXHtfKIEtn9DYt86p
1kM3jdExJf0BwoWsSBs2zfmn8YmVNksLXjE7N2O3MkTfizr/YZTdjUpERV5MjiyxsGgNKsmtTk0w
P3zeepGnxWTkaglxrtuqc6iYeq1059fCVMxASqzzgWe2yQeDpnWf6Ql1fjuNP60C/+TCqz+icohO
A/3onUWfm7JB4+TDsaeTa1/mzzqLONLtWieFJ5m9i7qsj22czMd8ghjdbcJPzSrMczJPKgQmMV8y
Y+VZ8q8vBIrEvzxBuQ1x71IzfGo0tnLwb2UDZ3U5oKZrr0lhwKVcdG4w//NsLqa5PSzE19PWRPwC
yZrEe0qx5rtj9pDgoRfkgHHVMdFaGSYFQMiW1SGDKdrcPBi1DI16TIxs3+bb7QqJ6AceueILx3//
w5ys8eeQSksLgWiUktGZC/Goohy7G6ve3kFtReIwW5Uo/EIUUbEvjIjGx1vL4caNtTlc1kYeZ6v8
Mk814bUkeCxFoJnpYQPqP+IrWKZQ0YJ9kI3OEZnTNXc1pm/QsAoKNFEAzAu3knP7XAkc6V/VnN/Y
Wj4u4Wym684Ty6vRNFUoapdkYn1JSl9l3BA4NLhYM1a/ATlM8h3YTBl2I3MDJA4MTLxi0XxHrO1h
bc2kviOV2vKCZsiTF54D6QvboKIgY2ASrl+nZfaqMFKBtc5bptZQxfQ5KAWngc/aPfnQkOdftZER
mKF1c33S3ZlHlSqdsFvHPPZFAvCjn5mn8OvmHHkMHbYOcer436RPbJqWxGSV7zKptMJiNaBKsSlD
umZ9jiQz8YO0qnQJYsNp8lsN0j/lj7ewmk9rsDFxq//AhMi52re4QRZOdj3QKsIPYpsR08KF4G7A
tPpWsxZ4DEDcxFeAxICyFp1ANhLOI6Z7UP2uHbXlTa9VXuwrta5sE3L36A6rRg57CYrYddBs0Hyv
0w7WGIkIykmTwOmIVp+6bcSQtlSZ/hx3Ye/ZuYZ2OtLDVKzFLymna1+zCgpsytbIn3JZBcWUlxcp
y+SBrKIp4GHg8c5s08fPG+nfne3z0vz8z//4/oEd4o+Q1r+0qSaF95/OnP8m4adL7+K/hrka//ia
PwT8+m+EOBqeJTl8wLwKesvpp+r/8z801/7NQQhs6nIzn2xV/n+1tptX5/dWVui/CRvzEgwzV264
pf+NXh+d/18PRBTIRMvyzUA3Ice1nb+1sh5gTzeq3eJGuPHblHMa9mSt7HB9f8U48tSN2k1F9fXV
LY2vMH6N/SCXvZrHU79Id7dqrXkUU7kcFbh4v2JQeWRSVBy6RW9CCR08QETW/Vqi0UFJiCOgdpV+
1uKi+aYjOb1qJkHtqwY0WBRs6Bo3TfeRVs27gUoDYrL7MK1puM2gbquJbUcPWM0XUwvBEEJxuEwW
QOMeedpY3i8KI17TE4SdFfOxA1/4aCO7CWs5ycBYpuF5A+IH8TJDA0jJfbc043FahX1QffzqWCUP
/YmsU1kWyV2vp8ZtJnhNul6lD4ajup2tOe2DK+TOohMa5sXfOlufOb99U8rxez0YMInEOIWd1cw/
Uu7623xC3SI8otabonUOtprAZFqdPEzVooLJKuBjCPHRQ1HbW+wlQhBxRPXJ4bs5LhNqhPGUeXm5
L9OWGNu1Sg8MuEnsllAKElldCYbY98WyX2vtPlqyYjdobE8b4U3+LGvj6jVm8ZUFTPOKbHdfehMP
sr685qizz4TrdERJuTJHWjQUdx0s12lnuqOOtqjNvw5rnT7mIrGOQml9QO28yYzisXtqhYZLHRfI
rZUvKzjm0u5AZDntOUqa9NLVxfQ18kz1wQzFe5lLQVYBVDyI9rV0zwmSuJ0iFx3FeeE+yonpeQWu
LiY+iQyEXrjNm0wzvMsZzM0XRCr2rV0w5t9q2wuJ5SwskILV+Z7xaXeWrclsOd3Ct1L0iiwJh5bU
e7OpTp2KIrDotV6dWm0dWr91K9n6KatnzTfqkhV2zzG+nfB7c5LZN2mOmkPyAPkMtplGL5lZ1Gyd
o3I3l2n9ZJBCdBEMsG+tifELXVr2rWm2asEz5NbaIWvalxljg14XzJ3tMb0MPdoQNnrWvFO0IoeV
avRG9FNU+KyGFnwprvW91QV1VIresRukOGpCDNtGu+dd7Wr+zbYS4w3UgnFeUpSQum4848mtTnPP
t5TmsAkpya95MCECvthDhDmOOTK/fEtA2JVpDq+xRO13zZ2hvlUkJueMbvgcGrfgGxo8T9td0aWo
NogiCOe+bN4S7r9D6gDH8ueZjjmacR/4crNENmy/L0trqY+0XceDMYjmpz0jWoiGugEuzyvLoqxx
9+Ng8O0L6vLHeE3IpLc7m7j3KHEfrZlrEOx/+asgtOlU2dXwrDKLxBpnQQxAhN8S4sZbrgvjly9y
LvmHRZSZR3vkEAnJ1FqQm6jxQNB89u3zSstQhwMIjAHC+sbCdi6dJ6ikllffT0waUJzF2RDYa4tR
yJvM16nS0nrXl5Z87OzYOrLrm68G9VXYdT1zgniQFq45PtQBadFJKwGo+mZE1kUxlf0HKWrppdJr
5x7P1nLbRoZ5jfTMvU6tVu4SrsjcZ84efaN3aP2JvB4ao2jmG40uP1HCntoXcaI9Ea/CRMrJ6qc2
br1DXfTe7vPTKqeyfkrjRcHgRELeIyEaMUKTg3hepGWfMakix8PSStoAK3M2PhNbBcpnrnqUJH7q
um8ujWFgtrCGVbZeVJVcxnZ5QGT3PLZx7Y92/a1KKWhKZwk8987sh3t9ih+ScQsv7JObMut+2ZN3
i7IHEDO+QOxUV9Ie92JMDr2zvsTMSEJbn90zOXscdJFNqDRRH81SB65Z1dee5xitq6iHg5EazhUu
/xfCZIyLM3KGI08A6S8bERjACRFELpd09sJpzkKooCdyNKIHpolYvWYz27t1TOQPXK7k4NR55rvs
oXZLk5e+bIirHMeiCXo3bxO2icZHBREGMfRPVpX1bZukzS2iHDQ3ZmkchWm/d0Z/U7n2I4/JgsnF
IO4Jr4remL1+VZr7vgx1CW9SlfuCkDWM39W4Q5i4hJlaQfCaW9vSOE79NLD4C8YkWz/K0Q7MNSHV
YCXapOlncqeG5uTJ/CCyPgnYgPIBp46xn9sh8rNpyc+5Y3xxFp38GY9t4byU6ENNAXerzcmUGZrd
TD/m695wamIkWlpdv7X6YPlzVevnJdcls5I+PWQQ20Ob7k4nJivQSsiVxvJLLA19mCt/pqZMb6yp
1b9JR6tDI8+fe0OxXl80seNeh8AjWhcBBIYGXGv9yfIii+TfdeU8AJ0GZ5c0T3+T3AdrHZpe9NSW
6iNZyB/VK3e5zElHEIOIx7QPqt7UF9KaumGHfrM614ZzoVnKH7ms0EBQ9j6IdbF2kzlUpMYPBMfm
xNqEltJG7OZm81PZZr5bSxN/YM08t2m+D0VNjIWrvDAzxq868iuUVTztaUztg+YM77qlv6GaOkCT
iL5MBr03EVyjb4sphxpka3edZX+JlopJC7ehn6VV/JVxtkIYJJjI6O55cod4R5HgfmBuHK/STg2U
du1WQxBeHSjLWYC1RZON3pTJIlkV2ZdMDlhhlIVJNZIZupOuOHldSfYfArmwHrVxzzN92tMVnsjz
E2w82enKKKsfIU3NzN5bKiuCD/2p6dxLMzbTt4rc4G8T9LCL06P4samwfBJT17DgLuIk79NBBojM
2iDKyVH0nTmLz+Pc58ZJmRGJu4lanQsrh03m0yKU6t34pXdm7d4xOjfIhTm3fIg1usAuxvCfZ8NZ
2p3FFVMRxlG3dkMkyzrxGITzfEH0JJHGA7yJwN7sImKPXrw27Vl5ril5XKqtKjwGFbILXDhHKoX8
YOh1u0vnIqIpsVH5JN38i4m0eU8QZf9l6tLppklk++q0fe0XnIUhjAaiNCQDAM1qUM3J9ZiXVGHl
OGonnf0zcy6zJR7cVkHT9aTmEOm5x23q8rIKmner+CEV0yPVsbRGbKjfdRHi50LU3YHGFAzplBNX
0XR3c53tLU07sGNxgsJd37KOSI0QTVMRANVhjWPkhNQkqtgj9uwDHB3WYSW9jBXKcugQdyP9wqNv
F2p8WDGq+vlYK55co3u/AP9/ajM13bgi195E712MqlE/JwkYqHWWfu81TrwfioidtGi3uKM0DYeO
fJGNVedDbL3yBK3vMRUwCvWGBcPjZL+IZj7MIINCwrueFvA2lzk1IUO4bnZYKuPgTCj3C4PYrbGO
f2I7O4ieR97Y1sVuBDm1m4FfnVB/kdCVqeg4tdEZctkVD4KNBIzU5mV15tsocxOvDzMio4wdTf3V
yzldjVs5aA5SlqxhcrLJMKcsfoQ104bcwmoil1gx4mDHqjHmRPPW6jriHj1G3CcnUHvIl1u0QEx3
EUkS1JfbaMOzMZzdxiSOkvigjMDRcRjqsHTS3PSxoSTLewKdeiSaUYBCu+Fp+DqX1qOme+OeoL4h
iK1heorkuu6MZVWXOLPrfTba1l1vr1/bFU7H2jjX1Ku1IFv7/squzAwLz85IhGvsH2qTImRmtf4w
lNHfTaXU9qkx/oS/be4m2xyxLY9i205bJ2um+/HtRD14JM2eJ+m0123hvjMj9PaLJr9hXyV3qhyy
71MfLwGKX0vwvEeZoqUOGeMIXtgSVME4pnMQNcjWGpbjh7m3UIO43rOn9YTf5qTsCQptpBUfDBRH
hmZld3EI3CU78z1hIBdGfeqd0PI4YGONreiPl67/oVtT/yFzOztPU6Wo45V1I5zUPnaZ96QTUa37
pMytWpiPfX5kOU/OIxSA5WyluFLY0q+vBW6PO5WU7zSgcblDfoXieupZpixVVIdplby3ZclTX2vL
Dzk625kV9f1+QAu57wy9e6N8cXamKeZrH3lrQA10FWlm37OBQnBsmIU46ZbXhnJZudOGanpBXznc
tkSsntdidLE1EDF1v0lzkS64IvlRtUqPgXem8740Eh4FutcRr0prWFMHFJ774cY6B8cY28Y1RZ31
2neyeVtFWf1Yk5pQsTESlsaRLxE1DzqMcdxn9c42Vvc2qskTUxyMO9dYmaliMGgmmiy0LvkljYfp
jcQGI3SQTCPXrRKmvVkGTQ2BGJcQU7n7rHYTGt/U65+FqXcx2s+6rVaGNlTP/YpaNZ0YW4VCYZ7o
WjX+SlQJYgL0003H8P5m1qqf+YYFU0RZ0T6qM3FPJHTGOIjwY40PYBOaq8i8NcwJSvZX5D4gSmt3
x34sJfLVjU68sC80fmgZvATaaVa6iAq1+HeG+r+nPv/D1GfzvDM3+ed6hru6Auj0/c+Tot+/5g9B
gw6cAcc8xA9oPoa3bSB+n/qAx4TbsKEXELAiXDAx9CEU2FQLlvebzsRa102QXrbFbPW/pkCW9Ztw
cBZgyNeB2TsMuv8AV/y+PYd58U+3U+So/XUMtM1agEbwH8FECWzs5tj803pqW7ixD1mSe9k0nhEU
iKS5uxLTDuzWyZcbCYyFEMw8TjKGkqK5i018YQVMjw8VkVSIaaQ0m8CF9YBJZW2RBNfQx95Zt9LK
0F8Ql102y7lu8654TeFonmu16h+ZiGfPNzj+iaiC3r+EpcaReyDrq/4i+16aRzKYx/E0i7SbGFFw
5iVEiaOoNlH45IuT3zVM2wJjiCBLLNpZH5YGEQNWmsDIqpWKcem+jYNJPrGZYIMZZ30JFmhZP4lF
Gmz/E7jDTZSwbJkqOwksJ0nvIF5NxNwO8kYDunkc6zJrfNrj+XFstYOJ/BblukcDOUMO1ghgDsp4
8wAvy5q9zrZqAkFPHA7LfE48I+1ustXoDCNEIR/14VAXrJt8ljA2MX0VQg8TRBtSYS1iggDvx+Jd
1tfBeEjN1D7hJFAPCv+JczsZ0n7nHVlukWZmUfe8OiCi+o662bqVXTznO+BJmMEmZ24OncvTemfO
5nRXk3qXWgU7gAUsbrV3VrccDSZQSdKLG07XBHcETSYbdnm7kn3WcXzzVDTMeTcl+ZAlow9+CNXZ
0ShzwxsJogZk6+D6NuDB50fSUqRswsbEGzaCkbgqxXK8gCc1f3iExme/tpUsk0Adre/FrOAJGk8S
88re6VNZK7+RkfzaTAWNTVuSojZBtTg51dDwRnV5BPioGLJjanmVIGkmfzSMmk4iZdxPrNt0zzZk
9PU0zbgs5xxFfJNDCyMX6uRmDDTjWEffic31gMng3kgbnlDOYKVhpBWoYPEaMT1v+/jkur20YN/w
bgcmQac3eqWjrStARB3hjnV73ETqe43a5d3sW0NgN1COzdG+JtRiiIj9GEgSD37lUYwz6PEtERcn
LFyZgfth+JZk1thTfFv2w4YCtv3aamIolpZ+G2cWo74ZpsYoiByV/Li7whENMm5jfqzq3oCmlLsZ
YZg8K8rWnQY/N3WEg0bcTltAxxi6uVMdx0m3L2nPtMSf+8I6O262nqpo1Xl86EvI1uQ7r5FuWi+Z
bRTxxUnYpYSD5ZyZTiuQl3n0LekSb1+TJX9oMgToOZm2p8GQzRe634tdSftxu7LvI2T3IUItIk1b
427N5OLTaPeBK8io2xKASc4Wjf6rxrp5X9t5/DVu0vW2ay14qGNe3KjCweOUOvEhy8b8EKX4wKK2
UR/mBP21cTrvKbYoNTDom2c3ly+rqSNmzNpAahGWvXW0z03aajcZNeir3dZEPmbEUZ7nVJhvBOLN
sz+wtYkpF3RxBd4y7Axavl+adBPiYXk39vlKLPLQF++gQbwAGI1yQ21YWo/C3rGeGtZT+B7kWL9b
n16QzIp1v847+0dfbns8Tym+R6MdCxQkjEobzW+HEVSK7tSnfG5LMk2ybBeN2bwXVezezDbc26lB
F+sPdG/73o6xVMmhT28NLxme+wTobcH786zm9pHLur665nL2JoZodh556CaThnB00cqT22mp50Pl
cz/QlCUPXuGmN2NUVx8y1T0ycxfCLJtS1x2U2hYbWd1ArZ1dEXa6x0WMc5hzdT8ZWt2UvjEt5o03
iCig8Pvi6gReL7MdS1/KNr1kxcjJPujiG8m7oPCSQQMGQZYaniHHfrNx8oUCHfEVFWYaWLKbXvME
wJ4tMvaCRUMmySjnd21mkjKaov8VM4oNcrslBh5fOdYaU3ylIC/vVyP17kdScB8Wwv72RhH3D2bX
NbfgbPUnaXRrHqiWfI59jUt7R0Cg/t0FXBdadKxXiqS6D5YpEUGSDZpPemz8a8bxcVONWNEEK12N
bJbOo0HAx5f0y8g2Lk6msEJdfyT/TPOlOzp3ZrvGOI40xvOxYX6hvm1u3clOTrXXNQ8tKZRh3+oj
76yXLD/hH/VP4IbbLMCCn4SKPr5FiLflfM6t4xvGaB7XDjhDAKnoZ1mmYmfMtQfo2KzvYL5nAS1h
d16renoscBHQLXl37QiaHLlMmkRHQdbpXaIbOC/NNvtG/2k+ZzAn72TjLk86vjzy+5zEu1rejInD
7edjPUep5dcRo9UxSfV7fAT5a+nV7WvsVt1DRSf60uRRejvMZEsmk7t+MZgZIrSt6Sy7cdlFS9/6
IJlUElr8tnUwM97pj1WxIm6O5fAFOBHjHrLlq1BL7SpwbAvPs57oD62SsdhJdkynigjBPihzIAh2
tpRYkTvD3LkwkXkf++mrNUvbt8fEOSxziYM1a6P1tA0M30k10bWgjljE4BqaAifTvddltdWNbq08
6F1WVFjJY5Xu6R2ds0yb5jmSyBJ9ze4ccjahIVkkNc/noSXAVDWQqIN/r0Q/IWT/Q3FsWNB+/1Vx
fKw+/hvT7B9f88dK1PqNRCb2ZuQmMfHaYhP/2Ii6v9H4ep4jIFmANDH5qz9qY+M3SflLZh+MHfTA
W8X6x4ZU/ib5i+3L4HCYtnT/V7XxZ4bdn9RDWxInHPttSSooxM2/EzUGUyXpmhAQF4l1DkVbFN/t
DDGdP6Q6SvSEASeOK7UgmRvQLeAFRvbmJF1JPmNkzYFBgvou0tPxQw4GBxsbgG8eoak1Mc15TOM3
aGU411HPTGOtvpU2ukeqdfOeGRn1VTZ24o59F5K8PCtpy5VXAIt23CfKouLazcN4r4/fy7pD56uS
/KVnxPpW5+moBetYIBjK9Wb+rihSZxLLtWVl7BSzapyppGbUmjLOd43T5j8SLRfoK7oyziivu4gB
wJIykG6pVfFYDrApSFlD5h+tVmh39BE7LN9SBEhwMzygbiYOrYdwxp+TKDkL1nfujtzBdAtspY4J
ci2v3xs00281IsTLoBY9GEShbmNPTe8UpNUbiipoAaMbL7fYSdvHpcni72hqTYzE5mbjG9gplU3g
YJynt3any2rP9YMtFk7RyZ1b1B/EAh6KOc0vrijnR6sQ675Z+hD73hHVxBD7bT4EYzUgF7WWw4Rd
64FFCu74TJTvM+GnvphL94FkmOYYEf33JBaGkqlSaoccUtxEa2PggcaffLL7WIbZgtMXBkMaHVdl
tKdxLZKNDGEj+0jtVp4ps8wq6MCPvggsrU+DlXd+NhjT6g/5aHxNZR59xVI0H5vJbnebCfc8rczF
UKY6fs2gPIBkvJ7X2BheC/L+2sD2yu48RV17i4lo/OVRrmM+WXr4E6qwkvvRqopd0xKeEVaTR0o3
JNbxrtCg0vmes2ElPgdHFBf2IU5L9hwmXshvpI3DyAXw1sKAAPH+ULm4Jm64XdIriC7xaoJ8ePRW
m5+GUrl7Mhjf7Yc2sW4NMxsxvQ51cqOJnmnPwkTV7Mf2ZlqM8QqPrwicMpvftCruTkIvvZ9TN8lu
78CKsnxD4Gvfsdn3rl7mrBP6U8ArX4GIOA8Jue45g1GUAb6n1vyduEESXYaEFQF1fRl6CLSDtkTp
w+eYM/tXyYOcM3WnjCU5SfY03s6op/acRJWF3n6Jy5DLtX6mftqCTMERhVrL3xt1bPG8xZeKZ65s
Llkl61T5U8ldTrS6kVmZX8QAmLbIRaBDbHbGVOe/6sqI+88syiVzrqr2Zr04V7pOHLtvsj5fmV4O
WIDHVY+uyzSK5ZTYSXbTTs6DQYcSNhaoBiGgHSxIgJ9mBHXjTsHWeYsib8EfFo1FKAfLU0HemDU8
GmU/DYPNhG5JDbgpFm7vpEr1i9WU87m32ZBZLTgIBWopIGMd1UA05kDHefR13C/XSM2sdlNWZl/m
aBLl2Rl6PXuQKcstj0THddCfrBX8HgGs0qnsi2lQZE9D92IVyfSo5a63wU7EdBTdeBrjyrmrm6Y7
lH3OkHXeAPVQkh/b2jXRpVMHwWmIj+6iisepE921mLIZq3OG4kN4xU5iowiF4wE0UKlvtMmlzLg/
Sgxxep+ex4zMm5TvJLQW0kLU7rzUfHMiLIJ2pp0yWh2e7bqPVUDxbbQpmFmOviSWsI6R6urA4G3Z
g9RW96luvXkD9BrEH96unkbtjvYcJsZ2Wi+D/loZfYPxiwF9vnx0aryFFFIEUa9j9zR73Gteru+B
xHwBHlT5RVa/uHKRx9Jt3tmXFDsG81cddTOT2uIlFt29M2XZQ99WXxm2z7653Ep2/ftSr5/GVBBE
Oss+mPSl9PUpHzGyFWPuD3Pj3hBCm0P8rQp/GGHt+Gvi3LWpoU6dULc9xN794rnjwRSjFRpqyVsf
SDvtmJcnpy6WFqjMqVnfklmpO2+erL3DENvkMrp1+LTPegycRwd0cNXntj5odqVtSmiupqVeL0sX
ZcCfa9T3bmo3j+2yeFdBgm0SxmlfPObaPN07Xvch60Q/5Wls3K6l1+40NbllgIXM2I5ZduG+y+X3
jD8hDnH71DDxbHO3pqoMMYotl2Jm97GMRvdlJRAy0GxLsbtKH+1Oa7klSG5DbKguZZeXQQdw+Gks
oujRNiOGShsP0q7paQUfkxfpAGBMkXwv5uh7ovT20Wzk9GDO3nybdormL/Wqp2GChtML56RkWTGF
5tLJNP3VVgnJDRp/ABaNAnSabDlz+T7No7q6yBID5iLLHseLtx8mWfzagDQXpHtqWDE69PBygSYr
68IZo50zphomZuayvSJeAewoq/xWyFoEdmQ2B29WybtVYNnEsaJUIPPhykVYXLxaLx4yO9rI5I7c
pc6qQiY2D5IVY9ibGRL9VYiHgkirrUNt7m3CQe2xc3atoeVPpcfuxGZu9trXVrtXBHMYXBlJzu5+
1IkDsGS1X1KT/gbe38FouvRWGx3vZKtpYReezken5xE556tz1ArD+Z0k+O8h8v9QJzP9NZi6/vMh
8mUb+v6f4DvqqPRvs+R/fOnv5bK0f8ME4RDjREIaOPPNavdHvcxU2CTPjRHzZ0m8iQt/r5eF8xua
LuKm2M9j/zAdvuqPelkgSdxKXJNE+H8Mp/82O/5Xs2T5iWT9c73sGTTpwG/xx0E7wcP311my3MYd
AHWym7knhsbnsExkuComVKE5dh7iqLHRa9/VZeIcI3NBeFOZlecGXOo8m4hb3IYk61zmO9agcXuj
FbVBzFIzViXcjEQo5Js2CpgIaRqmYuNCNqh17K3Nd72YWYudyBHHMTVQ60xZwbI2L9iowXx3zx6u
4LdKITFrANZ0uzFTKTuuCgCNkUCMq7rRuJReqRE0VMUOeI3adJuDWUj09opcQ74EPVhJLZ4it2p7
72UQTEmZ5Wwaq1658xWku/fC5hr9b2aKIyt6jA2sb2V3H5vwB0+13dXuCVCp+gB/YDwXVYn6zUgq
LTDwP7DoBln1sABNGYJ88Pg1Gs/C22aacXej064864jvvkuTNKO61oYbpDjiy0r5+1Cx7L5RQmeg
6pTKuMTmRllrZIyYzYGjHrRtuk1UvUwxW2OU+ZGxfiYW06rNZ1gxzZuImGf4s+j4Z9Zs1Ldlbdvf
l5ivQ8bGC7CNiVc7Ffw0nUbiOYsolajjHRZhjjfzW1s5P9PNRfNWZDq/O5kV64g2SUfPYKVIOROZ
XFiOZ2cXUpHfTel8l0XpeBS1lx+rlLGwL7Xt/XTmKIt5PpbI8riu+X/+8YEWepx3PIUi78Uctk94
XLD385Eq9dVZasbuUxNhV5xzMytDXRV5+qiVJr9CveC+51pK+NNVhG0HdjHwvkyZxmukzQMWNy3M
G5kuyphQ4r60xxtW4In+ircMrhebUg3d1LT+SiI2Ir4+Vt7LUiDHXpW9X8isgYIG5pM5pcoe5Wh5
ll/MrYZ8oTSfK1K93uZk2q5aquF9Pls4YBbMlLG/RiZ//u4/2C6iTxkh9Ateq+xHrgazo5zzPZo2
sQO+LIgANAbrrpCyb4MmVlx8mgnBIhpNbj05NayEkbrFO71vDKzSLTehpDYd/brBHoF8KkbTl2cN
LLgKpWka5F6Bhw0BAtebwW15rhtyOIntoivVMmZ2TNVgdWFjG9DalZtiTuhxFeGVK7liImNQH/Ns
8SOxnvLZjdt1suCZe0OkiFtO9OIIfqZ5o07jmzFOwsFAKuBOWixeF1TwuwYSwdtGkX35vIRTTfL+
5qq+rbebfZt2vUXO+H/ZO7PttpFs234RPCIABJpXgqRISlZvNX7BUFqZ6PsugK8/E3L6XlvOsk+e
53qoqqwaZZMEAoEde681l76dmLEMwWSie9RoMa+LxUSZGafI6tb00AeifrlwfVVbVlDnHgtmcEV1
nperQ+ntkRiwfZ85Ce0tEIIDN1uwcSQyaZ4Xt20PyGAwjTl4Ie9tCDMPRipGY1N3KawR8C9wi1qX
h9OpZvqIppec5bFiYj8lBT9HJPYxwWLBcVPM/L/wdLLADIuHHAcK14eYPFScJsqtWSzsICjDMTzG
lX8xVbl/sTQOt5CwD/6GCrsvMkrDQ7wzuLh5rtNm5ORptAxZdpjr/JU16h4c1VKY5mhTFVCDrUW3
uIUHl/F7LdIOp/2CnSfe+TwUIfI1evubxWLHKkya5rdzpxnspYO/S+YmObNonN+u8RxHr8wMxngy
5++xncI+ZtmKXujZMoQI5X2v6oErWNj6tmaho6OGffScibA5+JBZzoBamPeuxZrHOjqFey8mZfGu
831lH/TAFomhwb/QGVxDYC0mNyqHa34f4piqT1HlKr2zSlTZpwIdwFkqluQME3S2BOPEXcqT0H7p
EpOtGdwWaypEgU9Hxlm4rW2XqxdBak4ScHyT981ArHOq5okpSFtYRL+IivUiOySXVckqnUCPOZuC
WcZlUvnyvigk3yctakb7o7+uHBft8cxQruWvN6Owe40yRgBJrFjdpD7eM77zH9pEyfTcpiF9YGYi
AByta9426Z8Gouc3I8lc1/8AtfpySEb/gbg1l98p1m1vnGTTM2pUmd7j/mN/wzvr4bm01vXor3rQ
uvH8B8NauJFft7S0k0mxpdxlKQGzaYdj6nUNc4jRnlr84oa8th2erjzPwGUNE5fXyvX+7YkrRs9+
mMpeS05Nqo33bztrVcXEkk2x1zzIxCrLhwlWWfaoJot9IrdX3bMcp+TMjnv14jMP3KVDU9zIeDAD
Lypf8Vb5x7au15dBI9aXcxixA2Oel5fTotjIcuqHIfAqsu3pGcWljK/MOZ4PbD9WMW1lNFBCbKKq
rGTgVIt/Dgqe86DphhrdVJf4+c2S5n+mIsldIqd7AyBdkbWEHauCW1QKnpps0Oy1PJPtNmaLqTbG
ZKo0oM3uvFZl8VBFsj35IVm4eLloEVOHWO09MPojYAiuLjiV/D4htuqcd4x3LSGboINrR2vfNlay
aaTsL5WwUFUzSFs7V/GnxG3wwKKZ+dz05s4wq+aiA08QtFjOhJvyDHCulYUxHfoe60QM9wk8TluE
1yJeAV9+jwN92Nd11+wNeIHXtT1u0sK9DTE3isfZyWuD90RVOOGRMWjBrsrA2CLxZrtYgtl0Lepi
C75kKQO3Y7S0cRo7DerKLA4SKHlMq772cNxlFnwWmiOQZpc9kMbppFJYn4DFphm6WVnH83525twF
5mWs8XvdsJ5f8bef95a9XHm6d09d6vOaS3RzSLRRI5Od5CebfLuPBiODK5Q03slFLbnNAfVuHHxv
u8hDRrahK8nBK3OH81aP4iMkKmhinaH0S25X6afZLT7ZqdvkQHA6+6bJSMk28FV6gQ0yZu/htPir
45D9R+z1NP8xaG4WFtmuUYCfvHZu97OR+gcxNiMTrL7YcTxniAc3gLO11aUfPSza8FLE4LymvVfu
l2GC/JYnYhcl0ydS+up9lrjtmRtOn8dQB6AA3D+wxM+3sUKuKPPG3FuZm27MXrU3qJRiyp/SQTJZ
6C8oBO4NPJHM0zh6e0mM05uccRBZQ7GvZsM+C/3Rvahxh+6iprtvfDSwm9ahMtp1RVMBJw3ZosDe
oP6M6x12ffyVRStPZgeTS3FoPGb+YF9U1oI7TekSFWej7rRT4RdrGm9n+AtwOXas1emQXdMLAnXi
nYwlk1e8BFDn2mO5Z2zvHPPWwv3G0dQqrfJgGiRheusbAu0wCr3IHw4q44Z1yWw8dwyytmnd+ox6
1c2QwJDqy1LcwjzzLiqSzz6hNzAuiPih42N4ZBhvMOk4f/Qw96lLTHM59djuz9Kkr54wlveUd0Mx
JqxvM7un60zTAzXspXAamsOOdHH/2LiO1LxPq6xgouq6L0ZWPAHu5FAr3bwIxrbt9obLstnM7sSA
c+mHMxHSOFBIwQM2/2i7qJwXEWKq41iq1zomdcrs5URbSOTrbiWPMyPxl7AVdbMNq04/URHvqK5b
KsFElNs5E9mub2znPmzYUdj522KXVDLZGEirD6JDClKAndl2IA25abmcLhiPuqgxcHP4gLQdr+Xa
9Qp955TlchepvJ2pxXEEp7cJst0VflisIo2lG6NXNv9oH6dms108WSNUGMuaWJMQnkcVWSHa+xji
IcE6DiGkw/RgZJ3p8doLTWeTDBL7Z91zAsHY4Tpt9THpeC5IS50ewGDkx8WZ440PL3u/EKy0G2LB
f01dJmhmLj5NkfZY4sSH2sYpUWvhx0ZaJP4X8nGjCzTFl/HYd49G7A/njJE/OlnZBby8wruCzvyT
P3VOCx/LD/tT1jRz8tg59SCOmB5RlhuNXExsraja9tAKhmZCyGhQOUUc3MKrsPcnqlliVDZaJZX3
jLyXTT1Eeoem25hm4UOKZQJs4UpNK6IvCR8xBEBSA+dCEKHrAYqMQbTZmwOq+MADah9BjQtVcd6I
lv89qyi5tkIVvcfqMX3MXQM1KJIHqq1y6ihEnBFYFESuOp9PQi76djYnQK6uT4bcanSPfYP67LsT
/z9hTdaz8Y9nZ87z6Lpgm0C6+SnPwR1F3RbwDQ9IhHlhRoDr82HjT1PrajZpqyvvkPR4Niw63qJb
bVVddhptc7wd7BGOUzxO/gOzWIp3++01LRkhnBkJNR3hilQTSdRRAoSrgrldj56lL/J2C2Sdw1vm
Mkz6uJI8Xr/WyEkBamNY1kNJOdf6FkwDo6ExxcG+vlZe6Mr7F+XSeRnqSLemIPv15TB/BJ7A2JGO
a2J2hPVDR4Ocoh9bCbE0mmQGWnEGf45bYlZLGYP8XiuvUvPtWYf+xYxlzbgrzYWznC5ivtacDMud
hvpX3kWWpFhSi5EHaW7zj1ws/l2jg4p2b6dVy0QphN025dCIFjVKDlXEgTxI3HqMdtGIq2SZCz4d
QwJnSdRwWCU86pPXX//Yn3K6fKlcnDAuaesCyIvLVPV7Dd7oR4lhGVgxgUyjavJnsGFB7MBp37TK
R+tf1gUiG901L4WdzbdNT4ehiTmBJ5Vub4uy+c3l/ykvj8tP5WKDDLNdTM5v3/g7VaChVtccb3vS
RFczsmM4qKZoJD1gIKN684z10DqZGP1siW2tHjkVlFPV5mcSACiGo65eT04cR359qdbb/uNTYqNA
9kz6TKZLt+ndshgAJ6MwStJDWPms3qKqLP242MvQPdG9Xpq9TRu03ValyjFZTxk16q+/wD/cK9uz
JOuTxC2Lb/FOLznFDoZvs48OSvtAu8Oyi9Dw+zI0L6XRxRFnsrA+S6wkjoCNhkvJhLULL6Oyl/ee
GLAxVuiWfrN7/MNlIQjdUoLTrWO77xdQaQ1hhbosOsA94SyrKZIZRVQc3UZ6SKCATQ4IA1w6zFFj
VD//5prQQXx/V9Yc9vVfnFSl/S7VoyTnZijHhWsy53QMUtnMNYVZ4xWYLYp4VgaHzcmz7jM3NI5y
PaWWdm6n56Pd1OYV3poxWzYi6yGS9mujqW6iMgXSqTjqlxb1yNsX/m8n+jedaJatx0b7nzvRxKH8
oGX++w/83X/2xYe3jQrJxfdaDd/54NimAx7GlQSfvbWlv2k1rA9KsIe7uN3pFUFM+3+9Zxs3OwcY
mtKom8meopn9L3rP9vvkbvAeQPRJ01wpH6ZrWe96z3PR9+i7Eu8kmkKfG2lXI7k1s1tNkvxrweok
vKy3XSySKoqY7oXZpWUV7XOaOh0jP7czrmXkYjiI63m8tq0+fMgWBk3nTaL1l5g9JzpWjdWEQVgO
lhE0aMr2gwz9Xahz92FW/XQztLUFXB14NjEpqZe/juOsLsZm8B5IkABSRU6KVyAWleaM3Eyvs6jp
GPt2chzVmO/S2GoGpj8+oq+ysJxXSoX8z1K4x4h25WXq6/GxTxr7NgsNMPIDKSh/9TQCriJj/Jjl
AyPJGaLV8xJazYsN9OlR854MTDi6f+Es5nXiRwqLdKvd65qOAOKT2eqYOUX6I20vSYQL8q+/3MIw
bqoypSxzR5jeI/TNo2PXLl6WzqPsnSrLvjDjNEuBRy/S32hCJEBHR+UhJ/duhxUxfpboq3VgeYV3
1rnKcjd+4eR3s4zjK2bXkMGHKjokE7U5TSzvpEwbfmyla2u7FAT0FXHEVsZbP3fRVsem3lTSHAhH
y5i3b2la+6+zFLoOZq91RRDn43DORLIPzDBrTkOYpTv6Is5aOlQ4vRrtn68UEUbGDFWxktTepY1y
hBH06A63o1s0hwimxyEzRPdHbIReD30TGAhnTqe+a/KVSu56aNGAbd/w8sEVatRlfiURLwsEhEt6
ldB/xpmk3PEpH1DFoTLuvXOsKy7+44WeGpNl10cA4aAEj/BR7XLCfq/KeGiDRCcNrkWHI4iN4rRC
0Nz1pz4tLM6WsY6uvb7+q+NvGQhIXpoELLNV/YVSOrc3sAroKyT20n8pWwbgB/hG+UM46PQIjKvZ
wZlKeUeXzviCYh55y9SO26ou1d43rNZF/EIMiKwo7zc6IfFu6bsofSD7ItTjzWJ4CT4yCaqhP3Pl
mNxOsxtfF6Y/y/yVuwvgJojhLHFtgdjEBjBvdI4VDnuHJsplhGZ9W8gK0K3dj8+TmoArzaug0uMz
MBRu03y5szveWGz1UgU9UsnyEJZy9buGxabkCQ3II3JPc28TJVtk5EsAuwsoV2l8Z4TlQPckLQDh
YUf3I6A6Cvc0MzgwuDRhsBTjv4msAu68PDd7XxIOKXG2V/Yt9oxDjmL6YqntEIZLK/DKlfPB0Q3X
fdAaWexoA+IvvZYVaJeNuDRUNTvbrhs4NLehv0/wlxF4tB4JU6QAlvani8GCXTE1BbgxNQz9Bi11
c+50zXDCQFDczrIk3ySpHHVGzEN/a/jdzRLzYGZV+hfep0/SYBugb/3qkZezTR0nBp+TdvfGYOaX
8IrcoCsbejlayTtmLuxaXoFSwO9sH7Um4oowM5FCTxFVL43HzThk1+jKH5gl5UFESiRRSWj/++jW
QTaM41ymQYiVM0gTMZIjgpfy0C5OEejMWa92Nd0Li7xaMc7+0a3sZWfmznjmmal5y+kOJHO+ZDvk
K+roKrvYOVStGiJuN3xUKCZ2jU41jQG1PFq5bT+5BWF/MX6Qja7j+IT22b1H7Tec15OTazapjj2F
gTl7ZaJC44tYdIXcLouWK4HIfYN9N71eRvbGLEIqUS22fRiQ1F9M0mDKGHWRJndrGYK+FEUwgZ8L
oiRrLosBroHbFt551povgnYqcy0MbDokUwrUX78rutX8bnFRbiakXLtwsUrES1HO1TatlAcVOYD/
JaEryDW3Roydie51ADiqvEjwCF6lnTe9jgII2lhmC5IYU+yEB1sptd1h33Ze8YQuxruO+wjIXsTt
f0pJMTHVYFxy7i+v5Dgk2zmPxL3pmzmNLrt/dmVkr8la5U1D2b+bZSP2OVLWj+PSe8dU2B2OfTR2
Ozw+OZtunAx3iW1VJy/urBfOjvPBIlDlQptN+ZGWQof5TMmrrlMZil4ajl0xzXeRLBwPcCQBD/3o
oxFBNnTRqRwnREzflIFpBtjaY8vMoyvpM+dN6ARDBx1cD7U8WQMRe/4WtzuiPTr/y4nRRLwvODxd
JmYeforLBYV+UavuM0KEBEaCMSYX5ph1B8zLDa5Eqf8o+iELYJgt9xZukqAOU7fFE5nQLnKb7lMD
avNiicPpYpkqbKe5I1LWWxPfKmeQd9AOTZgoaQ0hpkGwg+s2fqybusN17nB07yrkm2xMzYE3un5h
WpHfAzoBmkrHCcMLR+dAmPYCgWToT6rtb/oBuypKMUv2/ZNonFVmMSOmycTTDM6mPFSMd5NHJvcr
pqGvnIE3USbwaixVTPOE4rzYDdJptqvgHu6G0Mur1yMcD7MZQRaEOncTW/RNN207hZsonoezSRT3
k4ZLlmTMi1ik4ZFbmW+HssxvrFXTiA3jNERGvW2c9u+81//Wx7+rj9HW/lKpcf5Sdi/d924/ZDDr
H/lWIdtoLXy2KgEmmFQliXnwb4WGFOYHoZjk4SPxIC6tRsBvVTLnpW+KDOeD7wuotgii10bQv3P3
0Sn58WRGVUzEDwdVjvN4ZJz3eYtA5b08jbRzjkfPkwHiEgmLB6cHbbaBcD3U/S7ENPSJWWFV4WVV
zryCWyUMNGwLnX55l+OvIL2y6xiO6J0BHNAOD17IimbyP5IHT6N+qS+zGBujuy/asbCny15kCUSp
2XSpDrCoOX207wlbcC448nVfsmi6wfzshuS4GG5gx+Rd5SSrApgiew9i4HxneAvctYXMNJzBvixF
s2E/TJczU7aApEotcxWknVjtGsyDukPeeENzDRo4u2ub0H8mssBCP8ZLV/KQjWl9Th5ajLR59p+I
QrQrPoJJ4U5DbUzOatcVAGznstjBWfCusqZ0nhtEw1vDr6bPyWjzxkFdta8GevlJG7erPtvUvNut
2CBnsTLwxi9FfkyHPP7sdKp5MjsL4bKs6J1Wvvcl1/OlJ1rmNWMGN4t/Cz+Og2NdJSoRB9I95a5P
LT/QKGT5/1h+czNAwAfmNs+CJBTwGhuKcL/AhlOxJdqhM28miUaBU39xPTB/fwCOFx7NdiaKZHHn
G5+ONElQ6aqNTihcNyEb9gGEYfLKelA3aYblkpG/aVzFBelIeJPQkFSA9Dkslffx4lKCe0N1zSvW
DUZN1EZge7350Vaj+WgAecah35jWVWWvUSekAASF67qrAmcBlKvmkcCj1XRllsMOyCRiGSNE4jNB
qub8r6sA7uLy2WBmgGEsN84aqEJHG4jfF4TT7jHuZH23MES/xORcXVRGNBRnpOXMV3pYnFHCUhnt
Hrbe5tt/okAlO/CjoUz43EEiijf2wujbZXtKyUqZSkbJ3ZRXW7cPG7rQ6OGQ+EmP4cE4ASpZdjAu
pfjy347D/8Yjsjbq2N3+c8fhKk6q7/fTv//AN4OI+IDHY/VBC8we2DDYav+/4s2DSUtDwkMaTM+J
re/bfio/oEEz6UdJ1+E/1q322/7qfUCfJugq4+jgj2Os/hddB7ky8r5vR7qEPXtQfV3kdaC235un
w8mAVVEqdcRbXIckoy8ZfFFiDt4CFLDWdY8+AIQ9WksSXlDyn7y8r5/9TuhPqkSKZjtp94iDsnuM
tDB3313J66/f4/uA+PddQb4drxskNErxNuFFxbf/ronrD14bysm3j+loVy8qtvU1zqzyolSani4M
0/nMr8VKjSU39TcdSVqh766NtzrKeSNhMHc95w13+P2nY6tGjDckzRE59VPRhCgepiHxP2Z+Wzlb
p1buhSm8EibY7Ljn2vaTTxJF2me9lAt+mY7hbb3M1inKo24HvCw/6/N2yHYksTk3buxRPWuGgyS5
FD0MaKve26ImeKhd4Uq6wMtuj11xFZsACQMOrjIQHvModkzX3Q4DKaAbbwDpig/G0Yw2HPMZV1yG
ez2NN0w2qnO346CDaHO4jcuuZHZrlxycoNTBn2t8yBN+GCMnSGzxaLStscOhej8QPEc64NLQH3ed
urxsbU62RrzOuNrKGg8kUYXYYRZrw7kRwsviTmODTc2Jgzou46Aw9fxUpl6hNgZG4gs1peEW4HP/
6E10qTaJ4MC6ETLWI95Bjwmglc37KcYZpH0zYbRvTqR6OGZzuw6Wb0SXJHKbgmV5zitSN0nHFO3W
Q6CxmwarTfajpT0cfDxKtzr0IpoUTeMAbUXbcS/xdOzKHuvMEcNVTt/F5LiqoajHBLlM2HXhWSFn
l1noATzpEf5tlIPiZGdHi3Ve6laQLRklJvUF88IN4h+b25oa9oEXiGnwEmNYOCn15Kazt4uVU15n
Zav3aEZxDw+K2ZQN8KfcROTV7kWatvu2nxQKSdM4Q3gVvTaxCWZJJHu/H8ctT6p/pFFZ3C7mPFq8
lof0tGD42Hq8vF9it68PC3k8Oz+v+8MMam7Z93Tzlw2UW+aFSGZIoh2JYjzz+lRiOfX0iRSC8IEA
OuaWUzzVMItU/Kc9ifFKVlIrjqNu8SfDrAw8yNKQi6YIzgMMiHAScfuiLA4crZNuefbu4ojexeWQ
JYMi0pKgz+mOsLtE1xtk4hXBLogwowAVeik3Xt1nr2XK7I36ok3PTFFNrwiwyAEdsxij5KYua/QT
dFja5GVM8rw++CVjLg52RMYsw2Id8T2n45Ojk4hxGVbTlwWLzhCE/qBbnorGoGcU4tHYtn4PAdlB
O57s+qElOqoi/O7jSK9iDjrhQmQfRqYLdzP4vfkwA1dDsB+WqwqpxDi2BcIb1Z+RHHKszwygfsyx
VIlyZMogBSM94VXQlxdtPCUcWpDNvHQVo6N1XsRS16I6ovTLbsEcrJshiqANiKnyCmybSz5DBfLd
MH0+rV1/2xyH6q4NFzmh+ujCdfxpd/RGndQG1jDy7XXkLoem0sshwQiBeEFVz9NoMin11Yi4gfAY
y6NhNFAVDUIPf4i0HcTHNKH4vfRxxQxBTSrCCzIyAnNQMi37t63c55ejJUHlQbW24sIzUJ0rkGl5
gNYNVTDIqG6wr+vQDHOyPm1bzi90gZAXnLyvliEymlcfEUCGCFdRJWnIPAGsy/EbGTgxXoa5pwIk
a6M7r2jDXDaUQeOWqXhl7CeM4ikA07aGwW/mV6hOR40QMTE78GmpRpgRMVKh6dluyEDIr4Dy0wNG
0VyprYfm66gr2mJoV/u4uCiMFhnLxDdg7RY1emwpvZFYV6LfmNmocNiWXet+RoEwzXDT2swPcmIN
CdP1ANdhxKL9uokbd3qucJETxAtakgBTMiFDT6ypINrcZVNX/dHJ/hN0I4cYHj9VZ5JJ/83gALze
Gpkd0ktCbIYXzEsK5EeVHwY2Vsu9HASmZ2uN3jWMubyI86m9NxF2rTjKQX1RY+ms6FUZ7wm236Vm
ZSygsJS+sDHnnBP/FF8M7tJ2m75B+qAbr1Y7DyvcuQW74+gjSnE3LCDjPuM9A2MHGvQWTFFO3d4U
romfuesw6lcEYG7m3i3ns3KyZna/0UnbLfs4SYqRsmkhseF3hdU9/rdw/F8VjlL6VHT/uXAkOylO
opfyh+Lx6x/6VjyaH2xpAsSVJn5h6hDqn7+LRyZZNqdsVKbQQTmVO5zTvxWP3gfm2ILIDB8uj/Um
xPi7eLTlB6opfA1oEoAne/iV/03x+E7iYHIqt1bXM3MxMl2gAP1YniHTpfWWd/K8ROSHrmHEYKkP
raJHSXhZ6XDOi0EgXqREt0yfEl3aR13PcU3mgl/jAWCbM0E0CBD90MNwTs7ElryNVb9K//2wZE3y
Kmu73wzB33UVsPfyhUkVccVa/FJb/vjNvW4g4Lpd2nOEe/r2zb1AmcILZnTF5WSsmufvbu0/VLL0
Kn6sJvlIW2BUtRXZN9gjnHdjdyPJrdpgYoR7DWF67xppkHP+c85S26a2wbJqNAfJHvuMgohctwBV
DAhXDK9juFdRLKtj6CZs18voclVKJxxoJVD5keKSIKmvSiTqaxfuPjdlv5zZYVmdM0BCWhyRbTBu
KHGQ1jRts+ry4JdRA04lI2xj1aOTh+1tTbmoFxJk0EekzfpmwHGCjgShOOKRScGI3UyOgQTF4Y40
QdF3w7APsWWT8Z6Y9620WASThWq5tQqk4baBOGlZ1futh6k7wJOAcmVKVlG/XL85klE0EG86EEm6
D2HqbrfuQi1GGGMNqIne/AMg/j3kxZyIn03kZwt6WrOJr2gV8I3erAQzmez6U9tQbnEuAJ1zb6ax
7M7NynbNyyUjgXrvuLNTP5Fzgw6nbzvWX0SHhXfyistc2hLRo5Wb+pE2kzY+g9ngyn0Vwc99pSvU
wB7emRHj+hKEjsFH5/UK9ScsgG+HgxjhjV5WA4pBmRdfk/SMGrtqSzQLXwVNKTjoF2Ya4cMwO/7D
OLT8cX+ifNo2iXMTc0SA2d3BPUbFbnMXHLvvIdpM5VgfbBKKCpATGe91laxJeImRY4nQqm+AKi5M
aBiVKJMUJFIN4tOy3hJ3xmcB7jLj/tXofP3GwFmSoDbGETiO08c4mpYbA/YVTFHNw2tFhJdtMdpI
UhQJnSXRwZd8y9aBRL6tRjPf2aEbbXPVQAwnNGS+dyg/mSn5zHSKNEQnu6iheonSXn2c58h5MEYX
zfRY59f4ITHETzYyJSO3vSAxS/eljLLxsbbI8N1L2CHn8UQ01DiNqNvidOKKM4smOdrUDlJ6RUzr
g+E0XX9D7APGGjUi/92MrcvyQifttFei18raMzHBtw+dtbEknHMb0p2F2d02SLEuNPcOEJg9/TWn
M9J2/rFI/6ohVN4mBdKsr26jKmKNdGZJlYixQd5DouH2MKQAhmKEiAQ3GWPLYre4FVCA0eThIu+R
hzKrK4wCnSBD/ulNAULDlQfBoBelD4lZm84ZKVTVuQK2y+Bed6CyRwSi+zQ0NYN71RyGddp6YZWr
R8et1mQmR5MMtZE8bf5O65TrAtWVYnLAj4UpKTPb+2xZDOPBoFpoLnq6Qu31zCgv3Oezxfa7MCDx
P3HUK7JbWD7tAWNSC4R1tKzjQiAmdoo3qVhLpgSGA0GRu/H9N0eXKFAwQgfSe5tdJT7VjYv8/20h
Z9rgxqHT4Tl2xvWhAOjFHdGTxR761Zk1GGR+0DGOnSede4N5lYaU6ghXYZJ/ebNWxECemEatsagb
I4tSfXDDqE0/t7KdIg5kQ9S/Wgy0s8eWHULGAUQB1V5VBUE3HhETBiIGN48MQGmZ5G8SLKcTnmPu
OUdufDfESutHbwib7E/llqaJ13iGlrwDUmiaVwXvn4Xu7JBGuPpKk+RXmO+OEMfYxDO8wd2AHtlI
IvE50Qsn2CTyLktL+E9qHMKgWqCBjZFGkFtUwycsXMYu6wHOsDAQlg5RfLRyP9xaYcjEqEjGCWKA
nNU2Zox4wHHsQJOyU8wnj1FsD93erjlGUlbXK9Qxr6tjjeHpoQNsG1iF+GyU9FH7Eooz45ce1CvC
/4PMzOiPHIzvnxqBLXEGbXnV5w6ywLaZd1ne6hsI9tFnZY3lruAlxTkaUzHJv+VnacfF3ixFFAbu
wrFd9G577eOXCBBGchw0lyz/mNRR/slMO2QQouv3TNOh9YxaByR8k9RcTMDT86W4UPY47AY8xjfI
++rPqIfju9HOrydX6PSsRQ+/b2ZgPSKtyrORpOc7bFz5p6mwu4ijcVle0M6WjLqbhZxpP9t7lk0z
uQEMyrnVZdsbreqel079VCqisYgWoLXhJaJ6jB3ClhH+QpTyHIUf03GHNfyLAHeGpDi2aT/8xbAK
j87AwNVc0mgPENW8VFHn2tuYcPN5oxF4lNuuNcfzpiuqMy9vCKtJIfFicNLmPlLyJg2r+kzoeNi2
/ManNGvraQNfzjmWcyhHksLc4bLp7fDOr2ECGXAf9ooo58DAqeftZyDxl0bcN+ds2PNBlOV8nAzO
/UufTbBl2zboTXsIMPykBzo3zv2YjMurwB11ThcDABmIu3z76wrlXa9tJSdawhMej+6qTXxfEs2A
LHrUJ/apdaDG/e1hZNmyz5V6jTy1Hf4UbO6RfxZGykP66y/wUzWJ7A/H7SrBQojtr8TI79ttTVVY
Xrq2HnVftyC1kf2JCZHwelTEsSXAoIdsM7/51LXs+q4Bys9m2KWYKjOposPhr2Xbdy1GO1ywLUzK
P3Fiqp8TO2FnqvtVZ/vrX/eu0fr2OQiC8U9RbiKSfVf+jTFj1c6PwpNNj4BNXbS8NFbTlnqzif77
D3NxUnM56ev+pD2WbCJGRBVKsxZnE14oG6eOQ+TSKqb+9Uf9XEl7hFhy3Vg9yORWR/f316+JfLem
9+GcLGeWl+WqT1BY1oLO67EV4dr4zTL9h89bQ1XpfANVshHf/fh5EnptVeaFOi2Aeh6+vgPLmGFd
oMqOcgijB5f317/x5zXiKdTEPrZuXOskcf34mVVpN0Ijxz0NAzjMaTKso5ZTdf5/+BRE1AjopYJ0
8W7956E5lQAEnROcsJbOHuJ315un/8Nv4UAJlNXBo4iv/sff4vSW2RCc5Zz8Bk6gkxAeYELr+Pd3
Sfm2JdawWY/j5rsrljUFluukUiecjfgL36wJ4zxhEpxDfLB9rcflN0e6n7cP9nQeZn4WKko+9scf
BsY5nCfEuyc0V86THLzotIiRUgT2vr8D8o9l2OlWz+Gvb9vPDzb0AQY1kl8Lsev9T/XNKRFLrcxT
hmVkF9LiOu8dxORL6ni/0Y7/w09kcZCwRA2+xii926tcWkd8VGGedAv8cUaTdr50TGOAJrFhric4
va6af//7vk78Ie0yhH/3oaNISismnvOUO9gJysJeW7JejN94Pfz8+rPkz0+3T3eCjqLt+q7385MW
4xIm106caHj53iaVhSLL2xX5Lfjv9rJKcxSiGGX1tZ6o6yZqrY5MkFGHMPE7m8NFpV5IDO9eJboh
qs6lzONruKLAyn/9Vf/pm9L6YGLPHI4Gzbv9vEzUhKUsZIUXSHkJa03q5zXQHUhkarPUUp+y/tcf
KX/eh3yBEHnVRPie5bnv9toIgKWJQ4ol7hnUuhrGOC5rrXtUdqtVJK7Ddb2nibxshrx5HkeF0cZK
fLwWndnkZ0004DCgSkrOesSP8b9+6lF+4AHyeBi4d+a7p140yDuJPFenAtfXZSpU+llGhnXqcrJL
N1MjftfG+enZcyxIefhreH3TX3n/gQ3QB4r+ecFGtPqoRbrS35qSZaprTuO/vvz/9GH0jRC3AgXm
dfDu13mLSSYA+OLTm2Efp75/ITqPU44SNYaRX3/YT7eaX+YhK5fCWmsx9e6pKzJD1l0o5pMTrjQD
mEWsLB5ETom//qBV6/NjAcRk01nf3YofB3/lf9g7k+3GjS1rv0qtmsMLgR6DmrAnJVJNqknlBEvZ
oQl0gT7w9P8H5bXLqbxl/57fgb3cpEQSBCJOnLP3t9/dyDlSu8nDes0G3pAQYHKGYywStJ18jIyK
Bn6dDXRCnNgh/mpMAPHh1reblcqXbRDy8n1C7HSOt43D0roVMwD7BUBgGh6tLLpeNq7+xXU9gq6b
92/Ig66sQrBtf/1Jfv1+lkm7S8M0dJEMva9E0lIHtV+07QnxTbAZS8KiijFJ97EJ4uCvX+qXhx9+
HveAA/Kclp79fs3vYtPqBjJjTo0JdAERKZ9fMeDBLz2BcSinv+0fLrvXn8pUh23ND1Ai8HfhEgbz
7luCKmsL1bjOyVOT842g3uGEignn/dIQ8fyWro6ac/exmoi7/usPa72/RfAJWaT6eWiXEXVRCS2D
8j/XyDmpDc6YZidBwngxb8iJ8pgPoT3q0TciCgg+E/IgHQY8rWgvYQzHpbQb7GhWh5Mc9kum782+
oItIUjFLlGoWarbTIypgfMx91BRem+17fv+t32mj5DeNqXsg25WcJCFRit+5oJufmuX2yg02g73u
GlGfhkZD7rC8lvTecWHOtJGk7ydpHDHafQNNBOgt5RlBGLYqU8jibqTbcGm8zgDZm3q3lRbGvK9g
XK3oYpfYeHxlEU5kZma5Rvjfh2TQN/V1Jx2C5v28nsdNpdXMAXpOT5D/ljl97kJxxbgKtXDVq9Tt
6H2bw0he8Jzhk4AWgEh83QNfFF/HJpA0xQ0AO2vgIkszVMcyuR30xD+TPDhXR6+iRbkPGwb0B2+Q
HEpKNfN/Z8XE8a34HGRE5yXMl7pG1TxrSZm7+jvdcrIGpYhx+DOAm4DSxIExAbfAO3WLKTavrmWs
hu6uxUiO0x52ObkroqjlfTUvztKm74TaCRPDnDSt4BqSUCXv/VoAR2lNPgUMFXf+hsS4d86NEksr
asz5midyB9WOj+6+ugRAzR8Wun24BWPjXA9czQXc0tObSyUU/J1Xa16ePgidq25OaIQHhfbQcr0h
inoPDdPnebTLI9Lr3vgwVSkvrSR8yk1olg4tnCS3W+uGVHe3uxepkRCezu2S3HJcRFgvsFPXa7x/
znEYmtYHEd4tWFEmzggIF/yQC5OyPpXlwBEXmV/qX5MvLLCzvIF0ugmrwAVDID0t4MztvJ9yjpAr
Kw3pMsZMXJsHUboYBgHMcYOVCd6yC6SB6fZHHUDPHszJHHu0GhKvom+GY9TWV7gtpkDRbaum7yFW
+dtgHibE4EsLDp4Pb8ZOJryHmYUdlOj4aNv2LWkbPx4rsp9z7lCemdG3s+C1dFNab6MLGkRMIkkP
dHvpzVudwzLeeC53kQo8DkZJ7vJNWe3SM7eztv+sGSujHE/pw/8YzaA5eo1ceykkYofaLqh857UQ
2dKJbWjPr2rGp4dJmHTg37Y/3+tpMib0rvxr12cesULGABC8CqTZXhVhzGNa1AaThlw7XFimpDCI
stCK0zvk/7wRYdI72dUkw9wTUqumT/3k28RoIVCQ8j4ARYn+fsrFg5dlBKz1Ddm33wKDScY2C5Tl
3GlR0wVONLWxzfM3EoC5chkD4D9J6BZwrzhMcyRPcGf7zxTmWPRWiKIB66zydKgBF0TRXKRrlnA3
O5FkQLde5zZpoXTQ5oCOQAa9AAD5RKuNDnm36FrmfsjGHzv+fyTLfyNZtpZd5U870i+5tLj7Ub+C
MqvTn0elbz/3+6iUoadJISjYoBh5/jQqZei5qJUZov4xI7X5x98FdXgCOWwIpGZ0MTzf/UeCuvf7
dOhyJKAixQ299NLe+1h7swuSbkhiVi3yxGmcE2WVLQwsJ8dutAG00XyBeqy+1OTen/50Wf7NjNEL
3tUlVD8uej6BntC2Q8d8XzWmSEWhXbTyWIAWOANHnneG1bIQzAVHfLdLzEOnXGKbmRBSKgulkc0h
niXkzqn0IzJqLDzMPUj1qKS38B3F4lGSy1yiSR258bVBeVfLZiblKsOqfhWlvu63ZVtbW/wF8zn0
AdXzLkGRafR68oK8cPjmZwF7s0oRETaJjYQloyi9Zxjlk0oUTftghEow+7zf2ialDPBYBGluEfl5
5IwTFOigxiHjpH61w3Im+wF8a9mzCGpapAJ/mWOU9SEHRdY3H0Q098YpWEBlK23wLX0dYjv2dmPo
G9aTOUDy2RZ9PIHflInhviRmiNuLQVzYJVdVZ1NuQM1V9XirLJ9gbj8Oxvgyw0wIdpVE8nI/xqZH
VSsLBB9pXJjBjviKztwYCfP4o3CWPxmLJPQ/To2syz08EGp4Q5KYAbqCdASCJxiiCXj1drAW0hNk
nwJuikwciqqMP8NbiW8GX1dbYA85nG1fQzVGjxV8nPupM7bEFeP1IGpq33vzpuPflnqj+eJmarj4
QWaC2jVjGzejLe7m1Ko2YxQNH5v8bpHB7TF7mWeOjGxeIdrOIcAcw/n+qinGncLSfKuYKHHD1DgD
ux5JkKHD6G7w9PQoa1d+NBMtV36O2s9m2Ic9W7rfiD7O7jk3TCsVTmoDCDrcIYJKj10Q2i+Zi8Nn
ZF3epH5THmGZktIY5QcK7BzFaSbvyAAkis83Yn9djmpviBHKaVUep1A/+LANG/haYfvZrUR0Xyxc
xgnk8FHGXrE1R0KW6RK025ZR3pohcP5YDfislCGSfTxV4RcvxiizaqImux0YIL7Gg3AhRtUarZQO
lgAUMB6kUWEnI2SiNO+attb7Uan5ybbyh8yorRcyQklWtxz5JUWb++QFPFRMdh3sRBFKIYnwh/K8
ODb2+C0ihuN1ngiiC2sYryvWhO4VPdQ2m9lERTI6K1mP+McT9yaXhPXZwwxO14uj6tCw/UJwEt45
qnzxMll9cCFgFGuNNSL5AcJ0LB0dohCo2ocWTcGNTU7hQdqFfTUyNr8wqwPaHNfuXV0nMLqGOvuo
yiR74RsltW3q7au+mvMDZhx8D7OTf6njzsMYDHf3lDb2fKvcbrgukBxtmMmJYRXVgX+vs47t1YDc
tTPsKT0HurEBauPXW408Eod8aiIYcwRhn0ovtm/6oG+vh8ZOnykcF7WnHs1zLYf03GFbeughv3xI
U68+MRcGkDSl4Uvl6OypGbzuqnOrEBFc72cnc/ZnayeKpLilSxsd63ka991sxpxEwmDXqMH9DkZW
7TlG6ecps+QmDo0joZzFsXOjM8PWchOBiVmNIUNkOJVHiywM7RKnFIX2qpZO/5VANwojWeYHM8bo
Wro1QaOiHfZEJ/k7KzGnzTx56jMZsf2VqcYUv4dO117pjHdZ5apLIgN9qJrevqMRqT/2BLF9QTMx
3HFBohv8f/0zjgaxHpwRgVnbdZuqmLLDiI1gXzuZp4AJVfKxTikp+dp5WoxR7Uhfrb/a2E/2pB4B
s59An20nb1qShpruFllwaa3JPSZx2kJPGbSu9X22ALygoI16bmVdbbD5PNSTHM5JVNzWA6mOVmXF
H62A53/GNbibbE3RZerUPBNCYZ7DToYXoyqsOz0NPRtFq9GsVCLfh/l0kxOtB72IB5WGeOxsZiek
soxG8jpSDh6nuspIxAw8Eud6uzz3ipxT32apKfMStQlllqWw5XjYKS2AckZEGIqnvzDtn5DSAgok
C7jNskOrW/VZAhKeqBJP7CW0V1VlfcoYMhxzbH175aTpg2iy9j72O0SWnWYm2XMQXhE+oh7bsg8v
k+vP56Gtjde66k12NDHe52lFeCVPj39djqP+qo0q02uORe6hLN3xZMTFsI9aMVyGrrFPVm4tE0al
nhD6treTi59WOxS3NtlTd+xs9YsX9tXnoCv975rjDVxFHMjL+PzrSDrklol4iJ+w3o1V0F/pqSW1
UpDNaeDFkevQaI1jIGQ2rqB9YnEuAkGOgIWSBq6sQVWaOAo3dNltK59pcOAWabR2vUx+Lx1OXG04
qGcwUJ63daq4+GzHcbAvYWiccfcHV0NQIlNG1Y1PPzgQcW/Bd7PY39Aud/mlc8zwBrV2e5ZCd9s+
aKuTqozuHHVU1pkj3cuY+4haSB14DhyXs1INZ3DdOsZEXqk99nfAO4Pr2Qj1N9MmeGwV9gSpwIZW
MUlbnfGQIIt+UZiw95M0KvJcWiMrl0W79ohxjMgdNIPqxpelfUnNqGRZIlxcBqhLERi7wd7vqrd7
YkxBD4aAtZc0xTUq0OBV0hAHM2i/MvKC2haX7ocgjolrNCf7euxCh2VQW7cc1811HJXn5Qtk1GeL
/YyIeAA2sMFcZJ17xNJoPSt7RZoWbqHYsh99PI7byTfynVLVEtOblUgiOKLS/YASL1PA+5Vdkz1q
tnc+IdxfuqTBVQ+BHbTBOIQfhAuIraT3ujM5QT24UZY468KonVsZqQhD7jCFd3lc+pAK2WRH074O
ooZQH0CV5lmZ4tw5HvLtzgq2nHDVN0CfFrZ9PYaHqFP+ARVZvW7zVq/LSLe39ZzXt0vGwiEjduIA
OaJcz25qrMeR6K99JBr/mVrAephIvcA6DNTge1AY/UsB334Xyfqjq3J/C3vuzraaNuPzAV+FAxe0
B4slj6jULktOY90YR6+0WiRdjtcswFs1f0nBPxFen0bjyeqnjVuxvWkZxNyaTku0vHRvI2rTnUjZ
rHtPOtluhHyQbWw1U39MLMIXO+7VplXNU2k2xQ0qIKdeR7Pp7Nnvyh3ZBnKDdknvDNT+B4Lnghtg
RJzkTT99oUDzWibsAQWIjg49EFaQYxK2HolLQh6BqBG0gPLodqxqMnrwNRAxAFWV8nVo0UgYcrz3
mgboG6yXo2dqFBRSLXJ5WqPcHKH/lcI32TqOtPaSjN8zw3SK6YlKlQxhyxw/DGYeP5qyyh8dixrQ
idvZAZqu1E0tu/Bqlh7VSuxGR9OvScqMkT6i/KvYwVbghI9pPzQz1Do7O2VdGGLNHkTaU2KG1aFQ
Vtx+s4vMJyZiJenfB/WK1OvraHDJMuiC5gSsXd0h0LPPjtPoS6gasYGLG6+7WE2npMQaFlP4f5y9
4CpzvIfYS8dNbxEED/GTT+mcCumLTyltTxgghGmoCCrgyi+Yp82kP5EUS3opwVQb1Rvttrbn1ybR
n1PfuAtqgoTDZPA2sL3A7anUXFddOe5N23AIySIxlSPCVZqLYouf85GvhTQWHTjrsA37jQ1adWXk
KdkfqX1uyeETSzr8NJA8SpZevpEygJVQ5FyYYgxXeaFr3OuYNehRlCdyqO1d2Qe7JAYGHKTDTaId
68luEMmsgwnEMzjHZge3yiKocEK/Jwm+nSuN+dEpGLOC2CYN2n7RNHDB+831ugiDfRi5/s3kJXJN
diMdHm6/V6P1tygGowfUj96hNiJ9cq3WPBMRkm6GGLPoHDRsc22SHtPaR+zRdvOaXr671iT+rhZq
4KVEuUf4XqZvXJMPlwX5Np27gnNCDf+Dbnz7N73xX4+lnuWi1V24N9Bq3os7ksiBadUH6TErWo51
xuRHp2YOWKWJL/Y+OGbJiZRaCjc3evW/GQu9a8wvCmXLMy3ASqDFvDdV9J/bx3ggGk/PdXokLqz5
MmdNSeZdntwEMpT3f30Efjc2WV4KGjx/LaffX9UIqUozD1koL1UDCtjyjGhUaDquvv316/wK0eKF
aP+HNByQYYO8+7klLnGQOI3042MPq3vH2NI5ej1OgbxMu1ui3RgODWFipnzpxWvtx5yoxxkHiYGr
jMN1lPDu3t7Sf/pHf9c/Yu7OHfd/6+wv34bXr68/tY5+/Mi/WkdCOL9BinNshpe/+zB/t7wvE8Xf
ZfW4303kSRgyHZepz+KM/72F5PK/XA8KduBYVrAo7v+JrP698RDeFBZjz6KRxHiTxeTdnDfpnGko
ITGd/aj1n/TouEQdCnDY7pybG00uh9pMdXXiWVMC940atiYZ1VsGG/m+t1p17UZmb31EDS0vlZ83
yZWaBttZW7Wa3E3fOPrJHpzhYychCxP4DZSoZqi+DocAIEVNbtSGZa8c9j35R/cQZ8kdGKLhBngt
MNnAKEfCO+fGZ5JDubJLYfod/CaDpN/IoV/54B32AArralWTRyLXcUyPeGNoG3mr1r63SyZaKgee
rrmHc5+Zn/Gctxo/kZRfFdXETRq7Q8GpsphuIoimuADiiM9e1AWNB5TK0j9WunHIRRWEzexbInVN
clSQSJ5Qfmj6F67SRzTAcFqKQk/0g3iDzOaimUyXShWFfUc4QnUXOll8P2Mjv4GQRIfbz7sNU06S
+aK2GvbZ2PiHIswBFGZOBSBugaXcNkEviQt0GqRqZ1taj11dd/4MsCsyq04dIuGm/b6IrNj296yy
EoJng0zE3KDcbUrC1MtgutiILUtBXs1gHJ1WVD1Jl7FKOMkxYi8JXksD4gGm57aG/mjfD5IJVcMC
y87nptEwXSRmvxARa542IRtL3BS7mp4E6W4LGBFfj5FkIEmFNnZEaop2XLst+h8uZj/4HVxnYyAO
h96UXx3MdhTRldUkebRRTjssNw7+M/CuLqf9KRupOfD65cOp6/q+Ni9CF1lnN7jZWvIECsTQ1tiK
jzELnDW/THhzy+ZrN5JBUJAMP895dPefBe//y1i0TIH/esEb/+vwSmJBkjbsa9/efunx6//899v8
mP/w2nb/89+Gb/5GrMuC6PiRTvivNc+3fsMOzjJmUie8RRf+7xLo/ob6AYUax/U3AAhagt+dRdbi
LOKPE3coUFOa9j9ZAt9v4zTO+UWL6ogldeHr/by7OsA6aXVy+2GYoMVIFiEj3vjpTxfl37TL2SR+
Gqm/vQhTfJrmfM5f1FRdNRg1Opv5wIlYrSa/nRFkD/6ablD3Y2/+P0PK2Rp+eSlSTShIHJPQmfca
qqoAPE0a3HyYhhTBdp7KK8tCpS2W1NocccehEA3j6Nl1VmFA1/evP+kvlxNrP4I4hhzQBpjiv9tP
rJxKb8RPfcjK8cEq/OeAo+tfv8T7yQP5PBipYJih3yJo8j2mBfM44WORUEvCygMGjCec39W6R8dJ
GLjiLv1j//433xxSp/cXFF8+hRe+NwcvW2guopY/KRLsWHEuJrj4QPtVnei8inpNu7A4STcqTvng
PDoR9LIVzqrOJC2qygoEKyFafhD77HlAlAhDsGIoXUlGAjh69RBvTzWEaj3leVyt2jbEtG0pgbK7
SMJVw9jyaEGz+0zY4D4e2o7my+KRajrTetIY2pYeeV/gqKSNkaieMOFE2hswetOTJu78mpTokYhK
y2/wA6mwePA4kT6n2q8AC9JIjeLKvXG7Ut57QKuhtjUFcC9OC/2AlTgucBDQPSLmy3TVbujn+cjh
+txnxrCzi+K74+f3Vep8IR39rms48oxOUJxqc/oU03HkJTJvS6IsiW3wHDayntUe6Do9OqywbpuN
34jMVkc/S25q7RnEileIfqyi347V6F2mCawUB+zoxJ725BsiOmW4odeq9WtOqQNyACN8mBAfbLTI
MqYlKn7oPCdf9wE8qnCIcUPEnOjGaDjQno+2Gfr5M1Hqa5C4KxOn9njlMlaRW/KLwV7Fo45DRgdZ
D/gZkcuDIpFzk1B8rUkr8a9rPFYmxkNBCjsu/cZ7dErfeE7kAI+wEvyeACnMQyUkce9NCnTQhvST
Ng3KDBSwyVVUqOZc5aa7tUold5wquUUKld2qqtKYW0qxJTTB2uFKN59A3gYbfNPT2khSq3/pU1OJ
GK6NuMbWEz+kCSnQBDSIVUTrZpMob5l2pIuk32ii6yhKmrt6LpvbommvyUS0X+h5dA9Ob8uDMhJx
FpPtHQoSG1cK49au78ppD0DzJSGnW68w28e7zLeng0NwxJ3pxdnesOvmPMdGddsDbrfaXp8ZdNQg
4+vc3DUjFjrwfEDeaLAT0DS56b4Jnf6K/oxcoXr3brHS7KLIRogVdT7RmiKmtSqTIz/2PA3xySmi
pc4c72otHzPCUOgBZoTswSK94vArcZ6Akx56UEj4oQRJflCABGK4AyxT5+jWrbrSlbnoFWK3uik0
+wZ3NFI+/FOxeQcoQL+2tJgWU1V5PcSZcdXFnrWHQEhUSI6RnPAS1AM0y3wM94pXi6VNSEDIDGLh
WEa7iJiH02QE0Usgu5L4lDjcx1E0Xk1klq+xTpG4zOBuDxUv4tkvjJXlABt0YEuuC1eSXu3l44mG
ubieoAPvogxjXlVV2bqQabnx/OTVjuznUMx6G3edeZ9O2jxYg/3J53uFeB1/gMeO7dvnStspAQEO
BM0hIiR1doxuE42D3KgAy5I3Z2ejVfUd2dD5BnnMV1xEOLPRrsPxAHV6jIADbYVh3k2633UTcNHM
oPlehTUwJLmAOSNPPaLE8AuWp9HY1Kqpdj1Ny9d2wA1UJbW3baedqmP7wXXrcF2S/1IeS39ob3uj
tl9Zt4MjZHR7D36DlsyQWNsk6RcNI5mZlyiX+OrtqNaPlQjyaxakmUN7SF1suS9NBZbDCgNjNRKJ
vcapYW1aM7mGObJP2ABWxWAOHbAMlFc5eaaXtgiO+WA9yoLJixWJch3TpHKagPjy2Yg2kTSCcxzJ
b9FEqsus2q3fE2PWm07NecAebmqnLUI0MTx7LAneTaqBMCJFzo9eYTUHO0jB+Y3z+LHCbraiGlqc
KTQ29Tr3eIBI7p2y7yHKjmeB+JRU7dm5Q4/l0W4CriLyImtX5K+B4s+TbuvRBeQ58aavHBiMhZ8F
Abot15Ie5ZObuOVBh/Sw16rJ+7VwJocTAatHHiCs7Wffuc7tdATGUs/DTdEGxgGFADwO5X/xhR2D
sARkvVGRmx2DLPAf8nYSe9Q7xbaxHL32B41cTjrWVnhhcmDmSmbU1LsHt3PdGy8V8pAYcfwpcLcF
Ntp9DlF20w64XgHkIOMCnLzjIsECxFe3dk3BiMaAJfXBUd7WQw733DFF/zQNXnLxGm9+bkt7gyl3
JL2ibppLL+puJ4uMO0/72cHBMQaZkJuMzfN7STwDVJVG7phPtkf2x/E4ZDZrhqIL7111ouAAtrHy
tv9RV/ynq/G3XQ2xVIl/VEW/qGIu38b/On+b0i8/w6fw+/Bjv3c2TJvGhINgE4aet9T5f/ADhBn+
RiHqoZn5F1vgjyrf9vkhyvgwoDrDkvUn5LUtCGlk7ozxH+u8he76n1T57ru6lJhzXt6liiMfijL8
PXVdZU6OprHMrhurT/WrUzls0aXjdw4Is9AoWZ2JWc70IcUGVhjHimA4t1lzDoFZie1iT6+bkFuG
BsXaMGt3PWXQaq4mwke/8ZT6mxQzRTOrQ8m2IlsMuznxeB/ozYKEI96tt6y6/ZojLmCL0jHl+5aD
apaEN2ZqdP7dUPWDsLe11zW1/mCXTURzdkTo8YJALE9BH+EnRmWXVGZZnNJgCe4NfLaYoXA1jtF4
hoeaXHsEydbBh8Ty52oEOI2Tiqe8cDrKUUZKBTN8OrZiGyCKyc3nVPnd3O8B4wRWsW7NojSvyHWT
/XY21RfwxM3OV7W+da28xMWtx4wf9bQxf6oBbafnt7vqPw/g3z+AHqeKv34AX6pG/nzAhqb5x+Pn
i98oR63gT7SN3/EdfvibT0vcobvnYcX6Cd9BM3F5KEzaLpj38Az+7yHb/A2EpO2GwubsE2KU+UeP
3/sz1FsLm6kABwaOwe+PbPBf1GCacXUcEFQSnljG7o3djPUFFvc/9IM5uELwIQq0VrgRaTq8O9AP
tJqwJ4ny+Gb3nmEyXdjhiUbkClyjsfk7gf77ecfiQjHpxfr4ZWijvhfoNwbHLDzTvB5kL1rvULUX
phrhbd2EgansIsa4YMPEw7hgEv50H/yb4+kvh9PFLAjgAwOHh1z/vRNNwV+fqpbCa8ZL/5XQZ1ae
XAzBtV6ieLCuh0+RZf7dR/7lBM6rcrVISqNp/KvysGu7rBkDH/VRIaZbSUXzFSIFAvtwkST/cxME
FBOUm+wuvCKHfvyEP5/BM9OYaqttQuqSCNTcIobSCVGERWCDz4gG7+WvL6v45bpCpV2aC/SfuLg4
an9+Qd0KutwQ3Q99NSmC0AD1WzdEpiAsD0YHv4/uU3EJcjAzvpbiHllQ+VTWeFuWKJoZBJvf+ved
tixw6oPbDyvUUe01Be70kSCev7kLCMB5/4BBfMQYBvOFb5OH/d37LRkhxhkw6INLPpzzQIarG121
cU6GU1wtyioVi/EkYOTkME86VzzwDGpY6picLRMl2illYzgy6nRfY7vFBoSHl3upjcgKfbNYTWlS
JKfBtABE/Ej/tdiJUMkvvi8GAWg8jSaF2qItbOe1O4kLuCysY/0SJlobGvbNwmGJUmrT1dwMlfuZ
cLpab9g2pwEeoLKyq8YmHhJLI3KQNBhkeEDKbzxjxQuje9UQxXkkbF2RR4kNxaB1AtZCiG/cpTDb
ViKFUo2MIRycu6nU43VpJrilUAGNVMQOk+a3hYDICZ7TacDHYSAkug2lIi90ihTZq5mF5rQhYPSH
EWIaBhJYYTbcmm1LnyNU8xuwIiPDUTTua9CA9Pmh2y+GCLpH0k33BkrAB7frg006p/gTcGlzMCLb
9QWnBXs47nAcKW+0jt5p+KR0AWn85C3Oi7AkENfKJP6RPhjxF/ZcxzfR/lsMag8p4X4OVPg0Kvg5
3pI0lMZEVSlUefYOaSkC+nBaErdasvjuf9yrCf1AwCIcGfpzKifKkKxaZMIuHxbwX93u2xGewhp7
m0xOoR+lxXFBBBXdyuMQ1m87FAbPyUBmVlCznm462WOvLRhLeiuYYs5rtSRFQ7Tj4V+ipkLyBp9q
zjycfsslC2uStbF26BlcNfBpcw4u1XTb9xp7xOBZXFKe7vrlB2skJvJnaTq9AWsSYR/7JIPVMcJW
uE9HJyQlczH9vF1/+IMu1IvA2SYSUCUHxqRdK8K6Lm9/pouicl3grmHdmJODwWe9g2o4bEaYcrte
tdzAyfJ4eMAQ6kPbZlF0hQ4PBubQjv1GqikI7zGAiQY6IrVUv+rywMwuHU2X2iVHQFrTBwb2ZkO4
UTVFw44kZ72KbIMfKPNUmMdRdD7IqZio7AQudJca5Nj22bhRMW6B+5pkiXyVkB1NuHTSd9G1RQIF
Gi8LML421EDicjuntyNygZHxzKBpMOAj2bcWIovVjACE+EDMJhW+9JXhDi7XuX2o7SjZTinZdVEJ
KDpE3qUSNR1pYToMbqAqusHSPBjGAy2iiV5INT14iALfjJ187Ya+OK70MCUl4mNrkq5H98NboXoT
N4aXdPdjoujSdChCPpE0ERJrYbejvY7DdLoiimw4OAECsVVvIp1ZmdV8CZoeAGXLsukVqX8q08S7
1GZJRl0/O/paEIyMjG0y2moFLCOlKJ27ryHdLoz2BlD3DTd3iI6XWEScFkMb0gjxQU0SdUoEn+E8
duAigU2r11L42SWj3eYc1GizZAt/IcQ0by5iLd32awL8alixLk/3bHPcy+Do8bN4RsQuPWMjR0kB
LgHu3lOhExoj6LLxYrjDMN2/wQDekqlrR9QvupUTudpyfJ2qIH7KXG+JArckMl4ze4bhyYP1xo2K
gIvuU8J4jkEdLimCIMc2bKMVzVnIPilCxpaPEe+gigQuApvZDJ/nthafisYw5uOcOH1wJIUHxdAa
xyZk6EY08kTKj/15jgfX2zalPOVhHV2PRh3fIqpKjnEQPvhJop7yrnnVBXmw3ILiiWZHv8kQvF7o
h7DOu7VIT2FVW596A8D5OgeNdK7D0f9AC01yuhnGo2v3xrCxRyXWYSJ85ptVE+xCKKcApq2p383o
YApYs5tqAga7Gopk3DjaUj5yG8cd6AZH5YXOqfM5FzZ/vmbHah7dJLSiz2Ewphg9VR1VuznAgLWy
Ytkj5yFM/pqpY8+lK6J6NRPT+lH7QXVInRJJVmKbm4yPRNpKjdhdW1H7Uk0BtUjducG1PaJIk2Lg
awVCC2QLCDeLhZPHDaCwVjPszoKLMWmiiAs69xsj99qvP6Kh39yw0pvZLFTPndLGZrCJJ2O5lfq4
ZJyZVOLCIZa1VHkWa3oW8nveoqq9Lgmv25GvZp3nIetggVUabuoCWUhR4JKcJBf0yWSDGvWI14YY
Y0nWe7TnB50MiFwHSDHY8tACXNNmNdZZUPHKGZtJsWbIRIy7zct77khPyNfs4wQSkkYdzc7rTIQN
ecHLMgn4EQMTSnc+BZJoHOrdWAYYB+vRuR773qQh5eIGazqj/Vrakp1D2A13hDUrsGU5+2ObuqzT
xZv5S6sKoxOwcp+KAaEASLm3t/XDnaaSjEoiMhb7o9+w2qscd+5b5nw3UPsWAYgQMecIp6zR8qDs
9Esa9ll4aCDXZhNCHbVUTboxoUh8WUXNZx2HxYdXNkwv7h1iJlECckp2aCXnSbxkm46BOfjEaUwO
1AzZZoo0Sld/wFHsvniJYGHVjUHcSd1MAEjzPltASSJ+GDkja9ZNyEUO3oiWddFfCP6GeaphHX/v
GhXuk34MpxXvmSrnLWHdmkZ2vSCnjwBqvxMPdgN/YhU3E93jBq7tzDtJlyuqUGWv8Emyrfd1gBic
hnxXfoiWbzTLbL6mN5tq3vI1GgA0I3R9M6k6jEhqI6XZh7LiSRjaYVLHVumPHzw7NfoPgzflXr1O
xyROgns6lqHHVlWHxICwNRIiutMyNWLxCHE1quL9NHZoD8F83iNOd7ep6US4QgBgbTrIhGD2tLUv
jJAaxEd6fpJOk1zsohvW+Bw1NGZNZ54szlOezTVTjETdVwErixwS4+NkhOnJIMVvNbQJW48OigNd
d8wwiFl3eT++NS29TWkiQTX98MrRbbRWKCLigCUd426P/TPGCTqLYtVMkzpWA7a5uMvFfQkCjCEF
iwTpAahyMdR2q84r5Heclu4uGKroEAKjg1ClhmrDEziuWRW+l436buT6Jpyc8ch9TWHQK/Mm7Grz
xi3A7A8E3XitLg40PdWW2vj/sXcmzW0jabT9Kx1vjwoAiXHxNhhIihSp0bLsDUIehHkeE7/+Hdjt
fh6q7Oh916Kjom2VRJHI/IZ7z40IBB635FwEaVmbzOFiGDeGOhhnDBHVHe8293K1FEduPpj6WObR
oYrBd0orjN3iPOaw6AS/qhsVX9AbfIIjM2xdXOoJe5QP+ZECkoCSAnUH7LJbUWr3VH5VqCuz+mpi
vD8KVDJp6pW6ixfYq4iCIOJXydbPZotZ/mKMPMI71stzEpSjCnKVimBiEcgN3HsSmTonSLItQLiv
OA0HBChjq6OdFdh5zn1OFCTLRU6b1Or4RK4TRhKAcAU+fJnPWepPlN3B79uorev43kkOVcCm4TAZ
LGiMIH5u+9FxZi43XnNozC9FP+B31J5bUOHvv88v3Q/faIOiYKNBFkXj9mO3hnF5GLMaWvXXPNYR
x9xj23c45Y0FcIkFc4w81O04/P33/aX1317gJsfCsG4YdIo/fl9a8kJkpLAdlqywXgYFdl3ZL7Dr
Zjvh/IIZJ++Jo9rsaNNW5f7+u/+y6ee7w6w3LB5wfogvgJPvFtME7TA90az68BWXiRZUf3S2UxfZ
Lqc9kUn8L0G5tCVb5Q2Rn8P9y4/wv4ndHyZ2hChsIbz/PLF7Kzl2qvj7gd2/v+Y/83KUgKgzGM0R
A4rGj9HbNyWgpvFHzMSR5G0iWsQk33SB27xO1ZnUoQe1YLPwgfwmilHJwkF1gYiF+GhGQfp/M6/7
6cGFzcbWxhAb4QI+DmPAHz/YVIAaWWLtfBnLT5BLMXR/+O638ee51S/f4KcntltEUTYL38DJGDUQ
XTa6L+l0SV3S8T79/lt9caJ+dwqhmXUcpCjUWmh2DeZIP74YqfWk3+CnP2cmBIOMY1BBvUQcDFsJ
ZAnv+2yJnY8JBPdB3at0olCxa+7ttDqqQm3j8lNNCJkdY8Q38G/ae6xr6l461fg5RdmUlteoHHvF
OKlWs2IWclFgPGKLlBw8AKIeZTvsMj01j4zNtNusrQm1QaXREoAF8XNLRuvMgUG+pbD0nCfhkldV
lLgiH1rs61PHwKCa7Drgh+D+IzdRZ3Mx6keYFOkbuRTjqYjacYOsymLekRFfCByKA2pEc7Hou7Tc
nN+z+mYngdko9Yik6XygJoa4MRS7WU/Z4CbKw6xyq1ahmOLIVRp/yLNhiagOu/TfKJ3/nRp/ODUQ
8/5+zn/TfY7rHyHdX7/k26GhWX8xAXU5LVwb4/WW6Pzt0NBJ02LwzUedYTCXArfFt1PD+ktnTsPX
MaImcVjnaf52ahD+AsOMzdu3I+W/OTWgUfEoff+o8ZnhsidDhUMKPNkmaf5eK5X3I/zj0U1vsxz+
v+sLvFEkqMa5deNGjWHcGVYLJQIpDBaJKHKBjvOJTy1s31BYlkvLbqrx7JyRKz1dPoj75Ksu1WTE
kau+haLKa6YqP4DVV+fboWjVT6XazCRn2H2VOn6nJQ4KgFGrY2IgEz13pn3tGnFYJm12LLNKexX0
bug6+tb5oGy38mLBb7NzowXEGpONPqBuMskPIWq1XgPhFupNnqfETVTCGkevZQpJGF/RdMAZhKG8
sVXlg4OGmRYJLVVFpM7FSrANpuz3rrEapVc2k4b3c0YKgqE2ruV1lZXcd7aTJ6jDFnmLwipyg0af
yy4UDa+YsJV1IHChLRoIJAma6giE9vTFXjNbH1IWg2961uvZxSSoChBhY9+knUoJL7EJpmgSyN0a
6PuZ/7iLO3m9OqTywTYHZiW8E/I5knUFPNpFQi2XKH6ABRa5Xl8DsPAlP/5VakXJaZ2X5ZmyVCN7
01jUq7gSU+iy36x8VctKbWcPVgJhMhXNW9kRkhHHLe2VQxLuUekrldmUCdDEL6PVwYMx26NHpiUf
CZzJZATYS4ISErt2D9G3sOU7Ml5axEIdnyxfz6dyCeBqLEGqjiLsVfquUsmSV7sr6OEJqTz0qTHu
5lgAZ27TMSCAxb5rV0JkmKXlcaBD074jlLM7yhqLj1q22h306BkTVkmfathS8brOtD7NjasFCw/N
hUp2JT2T6z1hqSpJM9m1ldJcG/in5FmtRtVujmgnZqdhOVz1Dm65rMQ6RsJI1dwaeZvUV2uVaoan
ChDkFbcbFbc3lj39dkQeb+rhVHccBNjcwEZQgmoWd2Mf816t2mQ/0PRilbKVxW2eGAfYqPDqfpPi
u0hTOzVhDC2Wxe4DC5NWfczqqGOE0MTJp7K1ZQM+1s5tr3BkqVxPJtNhlEpLfemJpr2eKrADVlTN
L3qZWI2XM+UMJV22vFoI9DX9HkAD5ndyIpODzAq9PrBXLzRvwK+p+dhKlOGAXc7eVXGawnJhzeQn
7ZQgHeqikic7cuyI8a5MhwANPJOkJiLv/npdU9x2umKgpUp4N4NmKidChiqlW72M9Xt8yxQ17f2u
HEv7DEBovmC7VfcYX8Yggakg+cQZykTUJMufQrFTTMN1MaE2j4oEbLJqkXBfOPOznvb1fgALgKpM
7RnXDdl6R7rPR2V1K54pxarxFZBsbF6GWvRE2rRJOeziUdbPS7QJrBw5Jo/r6ug1ZPumq/b8n0xs
UAkMw4GTSD6gqYTSrpsWnRRJMlC2CzXRZySNkbgSddO9zgwkzZFOX6Rmvz5MuQ5Xfc43tH4XySVw
GoVYjR431xpl+p1RzTyPkeFmZZjFnGbmSBeYyzbbr4twjhnxe3ngzMqyXH9BMtnklIKFYua1dxxS
pAstjph+8l7Vu7hZs0BfDXGnwBxAsjkmRWC5mX6qicsOQd8C9lbSZoPFb/ifZjXSQAVIz/ucG3H2
oWvt7CXDLv1GdMX0rsdQ35HtZBg8a8YyBbSlIiw1Sxmuujg2/EIwVAmtpI+7E3/BGHFsEwLjETvW
SBJEHXhQR0okE5GBNGyzUb1MFoQbLbCXfL23kMmZVhczMydt5qC0najDaChnpEy1WcJ+qqtmdDwH
UO8jACvxhA3grcFHmHqoX2hz3ErVD5Yz23eWmWpBPEQyGPQEkalLhFNYrWQbI/KLYh/91nJfRb1x
KUqdvVzZsbc9z11dn9dhtbK909biuR2W53hZJpd5Q8roR0uBkjMuVwdmVlO2jGfsIdplpbi8p8PP
Or/m/orvtIXBFXsmo5CrPJQCqzhhsAYaxOjY9pwaF8PJtd2XCvd/9dQf6ikC7Ddy7W+6sM/98K+n
FPpblb782It9+cpv7gT7L1unh9/IqhCTja2t+ndZ5eA1MNlxGfibtti8rXb6VlbhaWDkQK9FvMmP
4glkTRuzjz6MdTWiAIqx/8KkhUrjx7IKrC36DPzuzC3ADjJV/bGsiqUB9CyD7d4D+z7VTmXypOhN
fxKMTwOs9cyecZlq9ywQPOjaLFyISA8KVZsPecLwM4yi0d51g9s9cKMpHvsg9yl1hmKP9mkTk47u
JgFE7D1a5UDMcZ6YV3202t1uzMaIEA/FmC0aJpP4KWz6VjC5nEdmUy6HNjKOlZPzKHUy7lh0OfEb
rerZ60xmF/mulT278/yk9UVkIYbtYf8M0+rzkuQunRTCOo1svIvnWjsONVshD2X3HA6RUkwYaKP2
3pRtes2XaE3Qqfa0b2rlLo2arA8SvEKHTrQ8urOsvKUX6tuV+NITVmf5SJnDSrTrk1uCrEBeuOv2
ygsEhqFeWmmQwsnbUc1O3NGzLB/ixCRaWixcoT1/bCO7Prla+qbOa9OLMeifHUMydSyAKbRqHcRo
+FmnpMbwkGPmusX2hLLeECp8HKszNDLwRl5x4SgrA0iqK8oiI9SbCYiQbIuAnznHRzaQ+VojCNcV
22YgJ96Oed4ctDS5tlme7LUxuYnZAA9UM1zFgY2QlrgnmC4VGUzG9aB0U+T1FUehY62DF5XDwZ2r
4Y3RyyzzGk6vUJno+IxMAn3p+srk/TDHa+63w5Cp71Lgb8HIawnzaHiKKqkeiSV7I3OJYRo8zftN
FnfUksb2SukkgZkjT9YGM8BbHd/3RiVAKNp1cXaysr3A6cGZ7xZlYntNWVs0zb11mws0uEpiT++i
LoL0QQ8cmrG1XOPV/Tzo3O44Z1dCnts0vl3ZeB4X9rxdZhEbT0TKdWHlCH01KyLTWYnuNDE8U/tU
PjF1+VUCFiA+zYNaTHcL5Lr2hUupf6/O7fiaZpN2ZxGifSLUTzzk1uYNNKvxmpqztfxhKvmVzU3Z
nUddfT9zdV2g7yihPqufkXm8t+e57v3SrFpEqNxrRSrUG1nYWh/A23LeOXEyPq5k7fiQS4vQQm+9
EbDGsTyoxmhmuwgaX+EXoD/eJ/QTaqChHGmoQtp+8fKs0xD2ST007aEM04rVM0rAtQColKjXTUsX
6C+aBIfU6Lezqb1be/ed2qEpUYUbdrZawuqzUuTXhp203R62gL5XGcC/NSPnMY6az6o+RmSRgZIM
OyxQB7OYJucmKUhUq1wHFl1i6YeYM+ee/wKVvOiTC476EyamGfhjVSJbZn5KRFDMOuvcu/0a751o
6WJ/ZLJYpkoz3nfoePmR+h0i8ohupqrZfuTNmVDBKaBPWXaj6pLRI9ga5OvU3umkEZaHMdJK13fA
ap1yUjQwIfYNQmjS7Ux8+SIKbVEnV4T0amHbDLNn2YoSaI3lvMWvIk1vWE+oEJVDTADGHoYHO3gW
1zszkhPBEXLeETmUekTF5c+LKWRQZu18wtCxMyqcGZiptRGIjYHbsMvMOwrrHP1lDlgJU6aP+gTV
NS6NY5YLKi2MiHti85iTa2V8nidz5jeQretjy6L5yoSJcF6omJ7mOEjG4oS1PaYexU8JUqF2wkUR
5S4jVlkuz3q0EC3Z9frVskZraPK3ToWp1metEKQgmtBOWIXWkEEDc+NmXOWM5jmpuvZOuJ14dEwS
JS2LOjgxoTv5kujPfcSux/bdIs/frQRhMPm2cbkYJOdwQLxnS5QR+zeSvcPksdtRumresk6XYo3l
KxEwE39q27sEtEhBP9eMRPL1H0lNbjdjAhSIxNpy7HR1vIpKQipq2o7rtBjfc7GAOxsKgpXXFrJC
EZEq5w3NPFt+WabDR73itgltw+6vcXm4uynWHmKkigehlKhN6afwBTnZvrBxyyYrkcqo6TzCy5wQ
j4r0tQoxgY6T9UqVQFEjF9uINRtLiCBOPVnDrHrc2M6ub1Sd+DrNRZRrp+GiF/eRtaJ272OYJ42L
/yHq0lfUv2PtsUE2vLLh7J21qQhcobdXBGeXNCPAuwKILrcdpjKlXnTpmzyi56SJU5Axi+PnBWIW
NLduYOqpdmS/F+3msT0tZdlijkZfY9bd4sdlM4cZMZPXgxAxHEcjuepW94PjDuVVbHafWhcPxpjP
H8qS1GdVk4RGjlw3WpdcOV0fH8a5EEEZOZcJDNmAiJ61nF4xG5jMO5KNyl2n9JdYZvej2it3c5Ld
Lvxej9FismVRi0tsl+tusXK4GsijTNWzpt7amSvdNooNWlMiZYaNTSLfGLkk7HXk93rfkoloEQM6
yPEse0Sboc7N2QEjXVgwDqqQTFaMuZYqNgZnVUPgl836UKaqqzzPPYmsYNdsZw1ofGAuYSXGuw2c
rKBpJxhTkwfsTA95XoNjWb8EfrKcMi5TrpEFW6M79HT8NLWnal35WX7JDFXHtb3RCd5OiEPt1rei
GZe3Za0uR/ZcGnsuEkhbiZgLOpW9WL4m8+mIv2vm6C9g+GE+Ib90SzLVSk5MJ1esF5mRc0rHn6Fp
c0dBr0IOqrOOKQDOsg+QsoY4R+cdaj1kK/qo7PthNm976bS72Wk11Bdb1GoJDIc8NcEvKJegZhM1
jp8MGTWBjbrB65q8p+gohXFIu5WORyWxypvrUZs9brd1BgrSiFMHoSUJmctCvvV0OcKj5+ZSd2a/
IW8cmQCt6e2RQDbElkfUiVUcrE4/jVdqIpn/JrlypbRbEq2KGz9n9GC4N5oJygsyytqmu9yEGF2T
59IFrKMs6LWt+q43CS7DJq5md07StfeZmzGBdi1QYzWTuT18nWUHJN86bJFnk9fmy0Saruxscuy3
kN2C4WIQbcG7JVQn0yPSTD6vIjV2Vm/uxQDj0QM2QnCvQxAkXw9Lqt9yfeN0i/hV0j5GGauUF0Na
NNhUQC05WpbuXBmpob7Fypb5ccPq2I/HLUi4kVuocJ8PKjqfYXjm8F7JauutEwS7D4ad5zzYplp6
vKOEYBY5hkjP7fIknFkQSmQbUMCGwYK5YlhJeQMuydEYKiZI3Mzk3Jhzs3O3hOR5y0q2vsQmV8Ix
7/piC1PuzarYG5XVhQSSiiPEOWKXkYDKT2Cpk/con9I35OLap8hIiGpOSfjD+E5pFkSxFrvnkoWQ
r0v7ediiL5m00RrHxGEWWzCmvpjqVafLtfMBklnvCAqbZh9dXYclweYcKHT3XGA4+qzTTfoDsWkv
nKfpMZ0VLZSYVJ+nKYfOxIjUjnZKmyZOMKjAM+Oh7HayYpjKVFSEpjVXXi3tPGQ06e7dBd+lidDx
tNrTfJGkvt9DMN7sAvPiZ2ZOPlXeJC+ynZnb6XVtQFWqB4vxVdOFrT4NflkjrBBAokKUYdZOn1T7
E5uN5brpU/YP7do8NLNmmz7nefZaD1r/SL9ePMcaCKPAlJl7rCUNMgEh6pFo8HZn83kFfBdbeKiG
GVgVKDK0EXyD1VSQcxlNKCtbo/ZXrdAkeNWvbTh/HM1ltZutxtxnhQLOEZSu17jF/IhGU+wUtQuH
ps0gPkBeyrJyumRgVU8cElPAA8jDYk+b04mTT+Rd6hN43YQYlaxQGlpJWO0kGRKDtaFiIM2wSalR
ilJtKaCG4mOSW+Z6wN81h2k7Wq/TUM+frHJJHL8p3OVM/NcidnNn1P/r/7+CBP7Q/7M83Vbu/9z/
3yf1p8//uuqLl4ql4Xdwgq9f+K391/6CrINCgQ0tZwtZP/9p/zdbBcJglY3L1wjT/zT/EFp0mnHH
+v9QAy6LIfm//4fgU40tIwfkl1XLf9H4s7j9ufFnnyNUA8AulnqVCJAfG/8WeUxXuhC5FLYbzMyS
+sHN9SENkfXRL+jm81xO0xlKPda6sXkuYlO5UmfwhAT55X65JnnQ9EZ5505ldVuM6hOaohi6dtGC
zmYcFYCvBYmvEc1jgNzaZXDhqYntS1NMuacv7CvRO724ojwD5DgT7reHLRgFQ2fCBJ23M39iMIc6
53VUx/RS8nv0W7tBYFbVLdldDne/qSN6U1cOafXW0nrBkTy/bHM4YB0djxaYFaRrrz1k1qCkFwzt
2rngQN7DSW/8Jq5e3RycnjbdU9pQe6TjzoCCPsr1lqb2pMZbCZkpHpuPF9kMdVCDiDMHtJCT9hHP
4HMr+11dEPLVlYl4G7XbZexYWDVQTteMObxKgXo6iOd8Kl5swPQ7lVNQ7fLz9hsYSqTcmBRfs6ZS
/D4esp0oQF2KEnfzGNsJnLLpMRbzvVNRfEAsiK+6wv3ItN/da4lxiGN5yvHOXq0FcnS2vPxiVJUm
Pj3qyagzbUF7m8j7uTGeE5Ef6VheujZ7qVfzgsCRtYdl9KHBC6Lq4/yUtwYD8J0Uw651G8Kejfy4
GiOO9yEpGQwhuNZrflF6QvGAihEmJhr/MM3dwUfCSWhQk9LDK9vvMilfRg1RorqZyAaqOrbN4NYM
/gKgvdu5V28Hfd7TIZw0J8b7Nqmnxq4Vn1D1V4ExLTS19Jzny4muxjyAUbdIvuYV1oZ8WqOBhmCw
Ciz+Qgm4nRDip9RdiWus1x10zlquT53RRl5iLo/cj8Eiq9mvkg47c52+VGjOQ6qKj069niZY7vSr
XQqMxn5OF/WD04obF+s7TjmNQm04UFx1h3aZHhEvHtK0GfigikNc8h4pqkNbPeAaHkFJW7WkKJh5
P2l9BZp3PgnLOgxs90ogrb36VMXaR1fMg1cuHcS9uDhq9vTYduOjsRSvJdsgX0XPz72xPIoIDl2e
At1kY+KGq6WQeY0bwf/ye9cq68IS9rluq2xHztilMQ17N2xfx+v0Eop2bxbWM7BiebDw7HiKRpSg
rpBoGCmuDydBBp0STXfC4mNXLGQnct8DeXOH6cDOZwKiaU4MBy3napkU/MTYPEKuXSocNgAAIUHp
sP/sfV0pxEfu3/dy6qxrzcmbjZNQp60RUCU1WeCWrQhgY88vkV3js44bvdhig9vqiZS8p3JB2QaE
tXc3pRqr0yS6GFX+vhNy8tFBh0tiSZ8KMGgGSXVgLBSYHaPXzEsZGRydesho4xkTKcltBQg8ZE/y
VCvwDfrRNMNpNF9wbnQfqwrjTMWyLwQVzeBMMslaXWtXpuXIIKyObplAYQCv+Pivmf6xBm8CCbBk
dTexJl506nObjQo/xaYv52PYRhpIJERQ6PpsuludD53M7WdbsS4jwMmraOpelbk7GVb+J1j6L6c4
aiHmwVt0EHq4n8e3cOIMBP95fTBYYntibIdtJXdJzZblj2Z91WT9IwDml2HxlhHGhSYwuRLe9bPo
Dh3nWFkS22rMox5gy4cpKxLPEhzo312mfyPiYSz+/bbfQH5GG4QoVleJAEcIx59/J0CbbXsRWdTU
RK/kL+7GetiO40ybpS8wuNRX/Jv6tdb5x1f3q+iN7+lw8zP3Q5/zSy6VqNzE6QG3Sir20OynR9Te
pA3SYM0K6Mft9RYFsZU9p9vvX67Ysme+Uzd8fb3uZrhDLUuRuf0+vnu9yOnmNUP3c+hhqARZXTq3
MrKS7bg4sQPKD6q7fJz7Zdrl8zQdM6ZxQedWG+cV5DDb27haT2O8BbYJ8+C6JaLukRxZZz7NFsc3
oR6Nn7OoZjx6ps3YlaRFL2X8pJpJGcBhvoxoA4DR1u7ehHn6LsYp5yPrk8HvX+nffITIFVB1NIUa
ZP+fZRx6kbpYGIzqkOgkxNaIV931tly79g+/UfPvfqOGhtGOKASkIz97Nd1ZQzjhbJ9VtyA3kqAU
qaU4sgsO4YqNZdA7+XmItfKumCRxPWpJ0it3qLHGr+3EubyVKhmNt6fpyylW+gi0/vhI/OlFdNM+
cTjuTcT16BLIRm0Xna2eqct9GevNZo9JmdN15IHky9OCAnkHoNQ4DqlThrNFpiTmpdcoBUNc5QXv
4uLUezKIX6N6fXIQLq8DA46lEYdEmockqVJmPuu2/V5OOShfXx/XW2D6DDR0/tuYk953DM99W6PG
+v0bti2Afv5kQifa9H9wYH8JBiTXqG4NRVSHdQY0TzmxcLIBqCM9ehaH338vKuxfvpepbnmYG9XK
/DmNjhaVPg1E7sHMp3sGosey/tOB+eVJ+un12NamPdz+1/3FfonpB7C1qmK9d6dm16cLK49oheep
f0xXIfcDgRa5bhDapF/myE1CuyqOyhK9pXX+4GCC9/Ry6lDpZ+JAfAqXrMvp1MjyrGnx62rNIsTl
lh+g7TLxQ1TtjeraXxepFU5O88ZhROBZvRNfgV2H8GFSt6A/BkHkts1O7/TEE26r78EBDp6qp6+E
+eYe0efnacnhQiFWcKyMApUpz2LCi6pwF/ksj+/rSgfqK9Y/5Xn+zRPLe+EyweccJoFE//FoYhkI
xEWW1UEraBQmsKR+OjAI0pWc15zwG0gpt4JCOpfSxDwQ9Z2K3KS8QRzx5CBLoXWvkNJETKQGS6sD
CPbPc9aIwAE+7OWTddkGvf4YmRf8OkgLO04iwsdr5lzySdXnj2uveqSCPCyC6tBtecGdsuzzRH2S
FGKM25NmD3t3D2LmPjat0cs6Pp9Gw8HXW+RUuwq7mTIq3L1urk9u001f8QL/eHX8zUPCnbH9o8Hf
1FHI/nB8z3GLnWWeqsPsVAElzuKx3dlDdx2JHIj/8I6AO/v1OXG4hTnWcOYykv/pdmwNIYVujNWh
0/sq1Ky+DpwoO0bcVAyaUx9AAzIy8iC8iSEK4wgqwLg4s+kiV5FcUa+uAH2l5dSiuAJ6mGIQZUvm
fOhz7VphiVO4Ze8n7mavrGoRiKb/WGbr/VLIU2lvlzEfs1jkL9DyqVJn3c9W9dyOgI6WWvcpV8Np
yJzdwFv6pb1ENyUY2vIXGZkdEXfwFQ2xTU00Dl6xDsnVguvoSxMUVQspH0NeH6txfkwHGkknj9l8
tbR65jo/duTWedJw2TRPjwSl35I4jsWBak1Dz5NWuQy2f1FK/h/s23wgm3HaaUbXh9tj1C8mTMj5
0ULIgYUmV3ieGLoXLdWSGmVnPNlOYDf87U4xn9vM5BEbovaayIWPDAaDedxilor0nAp6FnehFDcK
4zlLpvsZj7kvavOAY/0IZOq4gjhFosgDPAzFkaYYmCY3Sxpva1WeDmsezoVmvk/6uTrmmnmZelxw
eicJzp7h6OEWnIEjndjfX4rBeNZxKv3hPrb+5vGm1gF6h9eAT9Qveb241FrUpeWht+VHtoT3vcq9
N9FmRSaP9VZ/fWm168HVdoNLpfflma+SYSfnfvbajC/DdRPkQ5WFLqsLZ+qEjZErJr9Ld6qQ9Ct5
KDSG1RO5e60XG2kIlSj+2CqFe246KFkrHsiQ+DT3uuIs91dbXHSFM4ZNwdMkKLfUTjS+paajv8RD
jgSNyjqmMeQ+TETNGxJTZtvZ+DhMnKCdPtx3LEN8dyzO0zjeGybGlbqwljDtoNm183rCQfiYRSX+
dXLz0MHJj8TqNruuGe5tuoNDnlqXiUuEJnN8FLjLt2p+sL/dr/9T2PxhwgZ6U+Pc+ucJ28M28/qX
/9LVRVr9KLH5+qXfZmzOX+wa0cPA/tBgdPMB/6awEX+hGaagELxPX//k3wIbYf6lY2uB1Aaf09Ah
fv5HtywYv3HXmTwSkCGQ7Bj/jcAGduRPZ7XLVsBUDUp6fg6MRD+d1SQd5FWXpTXQTFubQxeaIlOI
ivF4Ak9nR/6AMfpVnDl3birYleoIji6zxSE4FYnjBB2GQj6oqXhr9Ym8rS29emDXFr2HUIJRE8du
c7Dn1Tw0ncDnB2TSPKVbe0YQBWrEeUGkGgygb3svgZZENAMN8iXXavpFrLPiyAKsaMPWTeMVmY2k
ysuRzhETM2XVa18iKfBsVxq7nGTim0TLoHIAYt/2l5MSqi3BuKgOq9LjLahQQIhET64mMPkkcknr
rAMORPGvI14ciRg+zissCE5NtQqXop3eqQjZ3ACH4vCZ76Kh9DEqqGbEhDDMcxpWDfyHCxl+8Tkv
Ea2Ln1M/s9BXZuYwKoVrKFa1fE15ww8mBjDUnizQ8YKm0afVMjmBc23u3zarsq14+cneGo3Zv61m
Nb93cxVsBPyJm3mMqsemJ8Bj6LtJnpZ2ic3AQLqBzjmxnR4YXKFFKEXbmvImaZy7Jefnark8OKe0
KGI1JNhq0aguNllVa0NqsOPcRgWVDPvwTtWCyLUNRNLFXO9sokq4zuyrpSmbm1xr3VsTEm5yneE0
OfT8/nYTUazIU9J2vybJfJ2Mrr5bvvh3ySWpHzStde4U+gi6FEQFxD+Z8Fe5k7hjtMeozo0rop3F
kTwC44oAovom79pJeViNUrLgzjRkk/PstwVeaO5m3ewPQKUHXrMmdiQdtx/gIbfvurHW3zYqCgvf
ZfRl+WaMy11TSifshoRljTNL925BJOwBk3cfuKPiu0WsS8zB3zFjMqEMMsDre2pmZJrBkCjzi7Pm
bLt7zb1uGmHHu1GqaGqXrEoPkd0O6xUEB5qpNBqVaz1SWFfNLFFDBFBORS6DcLPhKjFxn3jxjEqE
1byZXycQF28bR9GEpzEZelNp0jgnvaKip0Abrqiew/Z3NX1Lw+lOoJYkhslTsmxupKfwi8Afbaa1
8w7LJyvEwZ1bmAWWiHh/tqUi+rmxnUPoQOSiddqqjwd86spwHKxmVK+KFoPsW7Rz7nA0+afbrDTq
sx3FyoOcO0ZkeXS2y3I6pdPQv03a8kJsU3xdUFG4HzMU/pPu6WSbGsqRNDa7Cmxw4G9Moaa7dIW3
oKIiDSNIGjssRkR9CbW4atd4fkoHPQ0UN6nP+PLbsOcOy0YtCdJi69PsTNccMuKS+cmyotg68Hgr
j1Uson3dddC7EIKUjY/ZqQlQbKHKyJcYCh/glU9mxc9wkGj+xg00NgaSoO6TAqjiihgiM5BuRd6q
cz1kfXSFIKr3XadejqTsjqENPZvRMuLztmbgrhjKJ3PlpCmijkgOgkgdLdvLVMfRC3b80svlYVh7
CKvxvCfHxnzSug590YgxYkVYcYMZ+14TQmclQCus9NQNsUEA0lRg3ncaK95FFYE+mVmd1KrpP2fS
vrCkjN5B/JsPC2b2hwq1y01Gvq8PRXBFQNdPt9oYiV1LoAqkU0L7DHxNaeuAJsSk6ycJmWZSy1G0
EIpOxh1BR9BX64Zgn/VdHbF5RLJ1szbdeZjzCNhIwrRS1N2+jfChZJainrsumm+svmDx3tcfXE7b
PSJ+J0wjGe1w1mek3pg9e3HQxmtNMYOOSiEgJNVOskBvNNrx+zrV+4AsPgBXtqwCnZwmCpO6ewsg
dT6oZTy8Yd4z8MGYlT2G8dexs4q9TDIZDt2sPU6aHr0XuYkOZokSUh4yo0S+Q5dxNVp0CwdRGuap
wm6+g2UAdaCJ63TfYD4+Osgl/UVR7LuxSdx9unI1kb+R7gfTKPlUWKvNarcl9G7KQU2ETpsO91hg
oie3hT4hzJLo13pMgOk67YcKySO9Cej758Yuyp020kxHqe7syn5w9/U6Ne8a+PNv3S5WwgHBl1/P
1XqpkMyfWBRjg4VhcSf4g3P//9g7j+Y2jjQM/xWX78OaHA7rqkUgmEmBQbYuUzAIYXLOv36fAQia
YJLWg4Nra1k6iWCjp9Ho/sIb9Ea4JpV+MJCGEceSlZbHWNXoVxkync2obApfOtMab31h+aFpUSPT
0nFQuBDafJmoEWkFt5vgY9aOtEKN8aqSwMEADRgBKgcnJUCXmBnwDmZGYvhnQrYOJhnejPjxlcJD
kYj5V3ZclE7csk7ORSWb67YXf6HYL14pHtL6JvqxehmwDdT6WGzkHMQdTRtZpnJc5aoAXt/wVgpd
tFWJl+EEPm/YjavCrjXuQb09iyiTKGOvTbVJDz6/j52ymgOZMh8bpP+miYVxTmrL3wQLPCKk0d91
WUcwtEWbP1e1+0jVhEu+U/5YVgCfVRLnXNem9v06U2cUWL/Zerk05VSbdbFajECMVWOYJb+3VWtN
iiCWJ4aRLdIQVdZKEU99p/GnmSQnq7VtVEAMBZjxpuKdVDDZ47HctSoNClu6Qd4pm0IA8b9Ekn4V
rYvoghJfOQ0LGQkbiIdILtdOVgNWBBcFzqiwpwgIPpaec0cbglCK+IJqjETzogpODAmpZ7qL6Jtj
s1NQBUn7YCY1xwVZ3ajhlps6ke0uZN+/E2Sd/lmdit8c2XBPYtc0VoiZzNFA/I5Y8ghfNrSQBOOP
KKBqn2oIWzS+aJxZrd1dJGKpAlREc3hNLtBZ5VkdAQ+lf5FMkT+EJrGulBOvacNTpUpOtd612tOl
exe87UXAnh9Frt577uaUGrzCGaPvPMuqIDmLi+ZW7Zz8WOqciM5mLxjtdY8F8ee4UMr4lrI9sgh5
x1rbIYhCjAcqABVxMWqjPDxuSlQpMsFc2mv5dwlZgT/EVFOuYYQBawFGkkoF+0pbhnIoQQ8rabQ5
bnKeRPTkIOuvjLDGF1F6pOqZOmBygwT0W16fmIntjXI1UQEWQLWpTN2ZEbEYc9QhgBsGtXcM9LC5
liPDvsns+CzjQ4+DbOY64pXT5vhCGQlblA4ePKJGnmSSh3JJ4t03fqLTVXXKWYIJOnYachTPS6fH
s5IKGhXoCh2ZLZUr/QLIqj7J9e6h8NxZH2ymUnQN7mINltsiy4u/wzY6oYGGnpEgXtt1ft37iaIO
B60nN9B+Db/RF41GXd7c1Xl5k0jFdSFEl0Rr7piBqbQVeH60bYk+BVrPY1iyUHvMwKmQhoWQjHK+
ql1Enmle6GEaIbUGLA3ETz6izNXdABL0t2Wc/yd+P5H4kW79KPGbLPy4eJP28YdPaZ8FX1UFIaHR
KdI0FTuo57xPEtUjqsiICFK2hH7Ra/rtmBXakaWim/OCAL/DVshH6DvSRUN4EEUJMsn/Ju+TlT6v
e1FnRiqP7FGEfg+9o881e2GJFx0dC3AWGmGpcK6qmGdCrUWISc200zDo/KmRlDl4vUqeK4FezcwY
sJnEoYt/IjD4tR/Xdy15GywuaE1SWpiUI8RKG9n4h4/RhUcTXI+cqV+s52uaBCrNZxhegBxVNXqo
S/+mljnP/XptjgWfgoikew2F2b5oFvZ60KoPLSpVA/m2iFK6TIkMx5t61pVaV/kdPFNibKNQJ22Z
BY+iAJHTVO7pQ31XkiId4ZH+pbVagkw01mdprakRXuxlOHe9rjyLExPBdMOh8NikoT+rlM6deEEE
Ir/WjdNw3cBD8zp8czMgu0Vecnr4caejUiSKV5kuyM2oBuY4qRpyI4icKS1GyALtSYeCzVRMVMIs
LdUuxMw8gSA3T0TJGCmUpy5DXzqP7CakDAlMeQ0bfeo76JKnqWkfF2ISjtkw8dSMgFSmax/oCBE+
Wuzg4oBtn3eojR0bmmBA5vX0sR2T05WqkRw38rqJTpoIU4qxlpPZ+EF3m4Lcn9St80DaKt+DV9FP
GxUaQiTF8sjJU2sitkpsXyVZK4vTIEbY2xr3KvnieRXZSncbZYqPHK6Lm6aw9INGohoeB6XQwZTJ
PcLyKM67sajFKsmIWuA/CvG+nSNRaF5Za0sUpoBFlYakvUqpLCJieUKhr5kZYUQwBk0U17cwKuYC
zS1uEVcAhjYyu1ypwBy42gVIPJGDm1BsKvgdWWxRWRywXqn6V0IL71agiNo0624GFxDuy2VM2VNw
Apz+enEWsrAqN6xxUuERHp0ZdlTo2R+xbGvzrOPI97msY1fwegROnHn1FxufJgw9N3oHmAYhEHeM
vAoA3JlK/NzHjKR8+n0tlrl4K1Qt3OmpYHlBaI3ldYgt2TFmaSZJxcjXY01sLms3apP0OKVni5Q5
lKSvsZk0XwATUtNuvSiVj0FRI5KDOAFMXxxh7LFQ5uAxwE8KD46vobwudwbxH9I/Dc6hSGDAXUjJ
U9YpwPxUtudR4CBZgJRGmow80IoPNkZI4ZXgtbI0DiFBXndVraPOJxi1PS7h6EYjCQvos9aTnBMY
GgKmeChnjmvYCLcZtQRIUULWfPXdwPJHWqor31JHxYlzHa6vUySRrvXUNQl9EyqeDtp1MyYAl1PM
e830VJw2EbbIbgslWEee9cGiVMHtmkp9QtN6OZ62lpRh8uHZp46p22jCGQKl87wwoB0XOGdJglR0
gKAjg4+888O+TVW0I2mjoy/mBbGSEd2kZrKeGak6cqRKu7a8an1nB9RbE5JKjRB43W2VUf9nLsSn
B+k1zKcbM6Iv5Spr56u8DIp8h8Xrf3sTu1FxF/+9F30+0BPScHvFLuMyKvoZrN3X0g50Vvcu2M2U
NvP9bIRgUdC6e1z961fFOtKAeUDNB3vR/9BeD2KY19tfY1GOXAzcQeCDm7aXtX3DF0v00SJ8/nzb
1fz8NXtPsHhEDGfi5kXmLouXQExa/ip9s59ZhVdj/LUKqnGk0nylPGxsn5JL/OUqgE7BZYpIAzTM
ZpW2b/gPWgUiD5WPbtgqyEeSISvQaKhe9z885ctVAMmqU+IGO7PVLfonPT602+2ktq3c52/n26/C
x5tAPOqbuj3mdvv4VPj3Hl890g0iR2C5/9CvAljiN2TmDw6ET1cBEWg8DvA76H8It1+ugmkBTcay
FMn37e9BV7Hrfmov/MSLns/XseMGj5uT1V3l7x3AH71gd6a8/f3TebKxlnvR7dm8sD9ot++9eja1
+21vkTaP+OKXu0d++edPD/j2rd+d1O4/T9xVtsiWCCFu3vppmleLkPP538Hiz0W4lx6xO/mm/zWT
f/26N88Xh8APBs79V+P2jhaDx83cLt5v4+FuS69u+MD+IsoX+W6k/mOk2s8ZNXTk8SIA8py94vfT
KWdrDx47DuJs8bjnekLmSaI6fOQoWi0Ld1nuXYcUCvvc+XkT/73dMVkFi3qxb8cIjeAAi727wn+J
v/+CBFoZ/rkvq9CbRQyf/zGr7u676EqSuPGaGbgys1WMFsT+F4d8lbBo6JqfsOKuuxtns72VTUlj
6MCnjwtnbwOSEUoHOEJOoRpEsbv/jdxeQYOnHD2CzN9fZbCz3MiDR47rV8NafTgzdNjzt2cTsMMD
fF/OmVm59NvdFDf7oo9Ed//xbhXuOQ787Aq4iEs3f7PMQCUPsDcuF2602k1xe1Sbh7heLhdZ+4aK
BY7jAB/h5SLPF0unzFdFsbenn2LroVvk0l067nqxr80HB/0Ad8Gly12Qvyqj4nfV4xOHTzvPXf4l
yd7ZJEsI9B1m9LjMXg99kInHUfHqDJElAM7DJ321+jNbvIqeQLgh0TN4tT92fx94b/UGbJ+6LB9g
/LNVlq/a3SL033p5m5cN3YP95D92jzvAzD9yxho6NF3996FtMiqUB7gdrjZv8LaFwvA9qH7oul87
7l7gIKub/sfgYf2AiGQ/q2Fo6wD3zsfypwM/yptVFOVtUC1epQmonMgHmPePaMYDZ/9jjOVB3uDt
RuzRnwfIR+5Y/VWer/ZCCkWBXjR8k9+tmv2sUmHSBxj3vlg4u9n1ZyGg8F7sduiX52GFi0i0l/Nh
iScf4C5+V+UO080DHCRfF7kDLAXxtd0CbFZkW7oduiJffyTRN3Bvf3XzZYwV+P7cdd08xMJ8LPL+
6azfqzQ9V+He1p925fb3/my/uNa/YhmsFtlv/wEAAP//</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Calibri"/>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5">
  <cs:axisTitle>
    <cs:lnRef idx="0"/>
    <cs:fillRef idx="0"/>
    <cs:effectRef idx="0"/>
    <cs:fontRef idx="minor">
      <a:schemeClr val="lt1"/>
    </cs:fontRef>
    <cs:defRPr sz="900" b="1" kern="1200"/>
  </cs:axisTitle>
  <cs:categoryAxis>
    <cs:lnRef idx="0"/>
    <cs:fillRef idx="0"/>
    <cs:effectRef idx="0"/>
    <cs:fontRef idx="minor">
      <a:schemeClr val="lt1"/>
    </cs:fontRef>
    <cs:spPr>
      <a:ln w="12700">
        <a:solidFill>
          <a:schemeClr val="lt1"/>
        </a:solidFill>
      </a:ln>
    </cs:spPr>
    <cs:defRPr sz="900" b="1" kern="1200"/>
  </cs:categoryAxis>
  <cs:chartArea>
    <cs:lnRef idx="0">
      <cs:styleClr val="0"/>
    </cs:lnRef>
    <cs:fillRef idx="0">
      <cs:styleClr val="0"/>
    </cs:fillRef>
    <cs:effectRef idx="0"/>
    <cs:fontRef idx="minor">
      <a:schemeClr val="tx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pattFill prst="ltUpDiag">
        <a:fgClr>
          <a:schemeClr val="phClr"/>
        </a:fgClr>
        <a:bgClr>
          <a:schemeClr val="phClr">
            <a:lumMod val="60000"/>
            <a:lumOff val="40000"/>
          </a:schemeClr>
        </a:bgClr>
      </a:pattFill>
      <a:ln w="19050">
        <a:solidFill>
          <a:schemeClr val="lt1">
            <a:alpha val="70000"/>
          </a:schemeClr>
        </a:solidFill>
      </a:ln>
    </cs:spPr>
  </cs:dataPoint>
  <cs:dataPoint3D>
    <cs:lnRef idx="0"/>
    <cs:fillRef idx="0">
      <cs:styleClr val="auto"/>
    </cs:fillRef>
    <cs:effectRef idx="0"/>
    <cs:fontRef idx="minor">
      <a:schemeClr val="tx1"/>
    </cs:fontRef>
    <cs:spPr>
      <a:pattFill prst="ltUpDiag">
        <a:fgClr>
          <a:schemeClr val="phClr"/>
        </a:fgClr>
        <a:bgClr>
          <a:schemeClr val="phClr">
            <a:lumMod val="60000"/>
            <a:lumOff val="40000"/>
          </a:schemeClr>
        </a:bgClr>
      </a:pattFill>
      <a:ln w="19050">
        <a:solidFill>
          <a:schemeClr val="lt1">
            <a:alpha val="70000"/>
          </a:schemeClr>
        </a:solidFill>
      </a:ln>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lt1">
            <a:alpha val="24000"/>
          </a:schemeClr>
        </a:solidFill>
        <a:round/>
      </a:ln>
    </cs:spPr>
  </cs:gridlineMajor>
  <cs:gridlineMinor>
    <cs:lnRef idx="0"/>
    <cs:fillRef idx="0"/>
    <cs:effectRef idx="0"/>
    <cs:fontRef idx="minor">
      <a:schemeClr val="tx1"/>
    </cs:fontRef>
    <cs:spPr>
      <a:ln>
        <a:solidFill>
          <a:schemeClr val="lt1">
            <a:alpha val="24000"/>
            <a:lumOff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styleClr val="auto"/>
    </cs:lnRef>
    <cs:fillRef idx="0"/>
    <cs:effectRef idx="0"/>
    <cs:fontRef idx="minor">
      <a:schemeClr val="tx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spPr>
      <a:ln>
        <a:solidFill>
          <a:schemeClr val="lt1">
            <a:alpha val="50000"/>
          </a:schemeClr>
        </a:solidFill>
        <a:round/>
      </a:ln>
    </cs:spPr>
    <cs:defRPr sz="900" b="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6.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1.xml"/><Relationship Id="rId7" Type="http://schemas.openxmlformats.org/officeDocument/2006/relationships/chart" Target="../charts/chart3.xml"/><Relationship Id="rId2" Type="http://schemas.openxmlformats.org/officeDocument/2006/relationships/image" Target="../media/image7.svg"/><Relationship Id="rId1" Type="http://schemas.openxmlformats.org/officeDocument/2006/relationships/image" Target="../media/image6.png"/><Relationship Id="rId6" Type="http://schemas.microsoft.com/office/2014/relationships/chartEx" Target="../charts/chartEx2.xml"/><Relationship Id="rId5" Type="http://schemas.openxmlformats.org/officeDocument/2006/relationships/chart" Target="../charts/chart2.xml"/><Relationship Id="rId4"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6351</xdr:rowOff>
    </xdr:from>
    <xdr:ext cx="8667750" cy="920750"/>
    <xdr:sp macro="" textlink="">
      <xdr:nvSpPr>
        <xdr:cNvPr id="2" name="Rectangle 1">
          <a:extLst>
            <a:ext uri="{FF2B5EF4-FFF2-40B4-BE49-F238E27FC236}">
              <a16:creationId xmlns:a16="http://schemas.microsoft.com/office/drawing/2014/main" id="{89A47723-45FE-F399-1DBB-B19845DE4B5E}"/>
            </a:ext>
          </a:extLst>
        </xdr:cNvPr>
        <xdr:cNvSpPr/>
      </xdr:nvSpPr>
      <xdr:spPr>
        <a:xfrm>
          <a:off x="0" y="6351"/>
          <a:ext cx="8667750" cy="920750"/>
        </a:xfrm>
        <a:prstGeom prst="rect">
          <a:avLst/>
        </a:prstGeom>
        <a:solidFill>
          <a:schemeClr val="accent2">
            <a:lumMod val="60000"/>
            <a:lumOff val="40000"/>
          </a:schemeClr>
        </a:solidFill>
        <a:ln>
          <a:solidFill>
            <a:schemeClr val="tx1"/>
          </a:solidFill>
        </a:ln>
      </xdr:spPr>
      <xdr:txBody>
        <a:bodyPr wrap="square" lIns="91440" tIns="45720" rIns="91440" bIns="45720">
          <a:noAutofit/>
        </a:bodyPr>
        <a:lstStyle/>
        <a:p>
          <a:pPr algn="ctr"/>
          <a:r>
            <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Introduction</a:t>
          </a:r>
        </a:p>
      </xdr:txBody>
    </xdr:sp>
    <xdr:clientData/>
  </xdr:oneCellAnchor>
  <xdr:twoCellAnchor editAs="oneCell">
    <xdr:from>
      <xdr:col>1</xdr:col>
      <xdr:colOff>6350</xdr:colOff>
      <xdr:row>5</xdr:row>
      <xdr:rowOff>12700</xdr:rowOff>
    </xdr:from>
    <xdr:to>
      <xdr:col>2</xdr:col>
      <xdr:colOff>12700</xdr:colOff>
      <xdr:row>13</xdr:row>
      <xdr:rowOff>184150</xdr:rowOff>
    </xdr:to>
    <xdr:pic macro="[0]!Intro_Univ">
      <xdr:nvPicPr>
        <xdr:cNvPr id="4" name="Picture 3">
          <a:extLst>
            <a:ext uri="{FF2B5EF4-FFF2-40B4-BE49-F238E27FC236}">
              <a16:creationId xmlns:a16="http://schemas.microsoft.com/office/drawing/2014/main" id="{9B7008EA-CA8E-3B99-B1B7-AFC99E6F2E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8500" y="933450"/>
          <a:ext cx="1625600" cy="1708150"/>
        </a:xfrm>
        <a:prstGeom prst="rect">
          <a:avLst/>
        </a:prstGeom>
      </xdr:spPr>
    </xdr:pic>
    <xdr:clientData/>
  </xdr:twoCellAnchor>
  <xdr:twoCellAnchor>
    <xdr:from>
      <xdr:col>0</xdr:col>
      <xdr:colOff>5537200</xdr:colOff>
      <xdr:row>7</xdr:row>
      <xdr:rowOff>69850</xdr:rowOff>
    </xdr:from>
    <xdr:to>
      <xdr:col>0</xdr:col>
      <xdr:colOff>6896100</xdr:colOff>
      <xdr:row>13</xdr:row>
      <xdr:rowOff>171450</xdr:rowOff>
    </xdr:to>
    <xdr:sp macro="" textlink="">
      <xdr:nvSpPr>
        <xdr:cNvPr id="5" name="Flowchart: Sequential Access Storage 4">
          <a:extLst>
            <a:ext uri="{FF2B5EF4-FFF2-40B4-BE49-F238E27FC236}">
              <a16:creationId xmlns:a16="http://schemas.microsoft.com/office/drawing/2014/main" id="{B12C1D9D-C035-D0EC-812D-CEECD38D29C7}"/>
            </a:ext>
          </a:extLst>
        </xdr:cNvPr>
        <xdr:cNvSpPr/>
      </xdr:nvSpPr>
      <xdr:spPr>
        <a:xfrm>
          <a:off x="5537200" y="1422400"/>
          <a:ext cx="1358900" cy="1206500"/>
        </a:xfrm>
        <a:prstGeom prst="flowChartMagneticTap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Click th</a:t>
          </a:r>
          <a:r>
            <a:rPr lang="en-US" sz="1100" kern="1200" baseline="0"/>
            <a:t>e Image</a:t>
          </a:r>
          <a:r>
            <a:rPr lang="en-US" sz="1100" kern="1200"/>
            <a:t> to Select</a:t>
          </a:r>
          <a:r>
            <a:rPr lang="en-US" sz="1100" kern="1200" baseline="0"/>
            <a:t> Universities.</a:t>
          </a:r>
          <a:endParaRPr lang="en-US"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342900</xdr:colOff>
      <xdr:row>2</xdr:row>
      <xdr:rowOff>120650</xdr:rowOff>
    </xdr:from>
    <xdr:to>
      <xdr:col>5</xdr:col>
      <xdr:colOff>749300</xdr:colOff>
      <xdr:row>7</xdr:row>
      <xdr:rowOff>82550</xdr:rowOff>
    </xdr:to>
    <xdr:sp macro="" textlink="">
      <xdr:nvSpPr>
        <xdr:cNvPr id="2" name="TextBox 1">
          <a:extLst>
            <a:ext uri="{FF2B5EF4-FFF2-40B4-BE49-F238E27FC236}">
              <a16:creationId xmlns:a16="http://schemas.microsoft.com/office/drawing/2014/main" id="{391AF0F0-3927-4BB8-B806-9AC6C798A24D}"/>
            </a:ext>
          </a:extLst>
        </xdr:cNvPr>
        <xdr:cNvSpPr txBox="1"/>
      </xdr:nvSpPr>
      <xdr:spPr>
        <a:xfrm>
          <a:off x="3346450" y="488950"/>
          <a:ext cx="3225800" cy="882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Min-Max</a:t>
          </a:r>
          <a:r>
            <a:rPr lang="en-US" sz="1100" kern="1200" baseline="0"/>
            <a:t> Normalization. We normalized the Total Safety Score mentioned in Column B.</a:t>
          </a:r>
          <a:br>
            <a:rPr lang="en-US" sz="1100" kern="1200" baseline="0"/>
          </a:br>
          <a:br>
            <a:rPr lang="en-US" sz="1100" kern="1200" baseline="0"/>
          </a:br>
          <a:r>
            <a:rPr lang="en-US" sz="1100" kern="1200" baseline="0"/>
            <a:t>Higher the safety score, the better it is. </a:t>
          </a:r>
        </a:p>
        <a:p>
          <a:endParaRPr lang="en-US" sz="1100" kern="1200" baseline="0"/>
        </a:p>
        <a:p>
          <a:endParaRPr lang="en-US" sz="1100" kern="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258536</xdr:colOff>
      <xdr:row>5</xdr:row>
      <xdr:rowOff>121557</xdr:rowOff>
    </xdr:from>
    <xdr:to>
      <xdr:col>8</xdr:col>
      <xdr:colOff>304800</xdr:colOff>
      <xdr:row>11</xdr:row>
      <xdr:rowOff>70758</xdr:rowOff>
    </xdr:to>
    <xdr:sp macro="" textlink="">
      <xdr:nvSpPr>
        <xdr:cNvPr id="2" name="TextBox 1">
          <a:extLst>
            <a:ext uri="{FF2B5EF4-FFF2-40B4-BE49-F238E27FC236}">
              <a16:creationId xmlns:a16="http://schemas.microsoft.com/office/drawing/2014/main" id="{98728033-9FCA-4891-B60B-2BC50721A2A7}"/>
            </a:ext>
          </a:extLst>
        </xdr:cNvPr>
        <xdr:cNvSpPr txBox="1"/>
      </xdr:nvSpPr>
      <xdr:spPr>
        <a:xfrm>
          <a:off x="5423807" y="1101271"/>
          <a:ext cx="2348593" cy="1124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The data in</a:t>
          </a:r>
          <a:r>
            <a:rPr lang="en-US" sz="1100" kern="1200" baseline="0"/>
            <a:t> Column B is normalized and placed in Column E.</a:t>
          </a:r>
          <a:endParaRPr lang="en-US"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423332</xdr:colOff>
      <xdr:row>0</xdr:row>
      <xdr:rowOff>505</xdr:rowOff>
    </xdr:from>
    <xdr:to>
      <xdr:col>9</xdr:col>
      <xdr:colOff>565453</xdr:colOff>
      <xdr:row>1</xdr:row>
      <xdr:rowOff>102307</xdr:rowOff>
    </xdr:to>
    <xdr:sp macro="" textlink="">
      <xdr:nvSpPr>
        <xdr:cNvPr id="2" name="TextBox 1">
          <a:extLst>
            <a:ext uri="{FF2B5EF4-FFF2-40B4-BE49-F238E27FC236}">
              <a16:creationId xmlns:a16="http://schemas.microsoft.com/office/drawing/2014/main" id="{85C2FF5A-BF83-36ED-00EB-87F2A813FC87}"/>
            </a:ext>
          </a:extLst>
        </xdr:cNvPr>
        <xdr:cNvSpPr txBox="1"/>
      </xdr:nvSpPr>
      <xdr:spPr>
        <a:xfrm>
          <a:off x="8741832" y="505"/>
          <a:ext cx="142121" cy="29230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000" kern="1200"/>
        </a:p>
      </xdr:txBody>
    </xdr:sp>
    <xdr:clientData/>
  </xdr:twoCellAnchor>
  <xdr:twoCellAnchor editAs="oneCell">
    <xdr:from>
      <xdr:col>5</xdr:col>
      <xdr:colOff>366211</xdr:colOff>
      <xdr:row>7</xdr:row>
      <xdr:rowOff>9665</xdr:rowOff>
    </xdr:from>
    <xdr:to>
      <xdr:col>6</xdr:col>
      <xdr:colOff>452088</xdr:colOff>
      <xdr:row>11</xdr:row>
      <xdr:rowOff>154806</xdr:rowOff>
    </xdr:to>
    <xdr:pic macro="[0]!Selection_to_Uni_analysis">
      <xdr:nvPicPr>
        <xdr:cNvPr id="5" name="Graphic 4" descr="Schoolhouse with solid fill">
          <a:extLst>
            <a:ext uri="{FF2B5EF4-FFF2-40B4-BE49-F238E27FC236}">
              <a16:creationId xmlns:a16="http://schemas.microsoft.com/office/drawing/2014/main" id="{D6165532-8322-6757-D52E-CB97C91DAD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143331" y="1334882"/>
          <a:ext cx="852018" cy="902408"/>
        </a:xfrm>
        <a:prstGeom prst="rect">
          <a:avLst/>
        </a:prstGeom>
      </xdr:spPr>
    </xdr:pic>
    <xdr:clientData/>
  </xdr:twoCellAnchor>
  <xdr:oneCellAnchor>
    <xdr:from>
      <xdr:col>7</xdr:col>
      <xdr:colOff>412542</xdr:colOff>
      <xdr:row>4</xdr:row>
      <xdr:rowOff>44477</xdr:rowOff>
    </xdr:from>
    <xdr:ext cx="184731" cy="937629"/>
    <xdr:sp macro="" textlink="">
      <xdr:nvSpPr>
        <xdr:cNvPr id="4" name="Rectangle 3">
          <a:extLst>
            <a:ext uri="{FF2B5EF4-FFF2-40B4-BE49-F238E27FC236}">
              <a16:creationId xmlns:a16="http://schemas.microsoft.com/office/drawing/2014/main" id="{D9B2A5C0-6B7B-2E02-C97C-A481C6DBBAEE}"/>
            </a:ext>
          </a:extLst>
        </xdr:cNvPr>
        <xdr:cNvSpPr/>
      </xdr:nvSpPr>
      <xdr:spPr>
        <a:xfrm>
          <a:off x="7644486" y="806477"/>
          <a:ext cx="184731" cy="937629"/>
        </a:xfrm>
        <a:prstGeom prst="rect">
          <a:avLst/>
        </a:prstGeom>
        <a:noFill/>
      </xdr:spPr>
      <xdr:txBody>
        <a:bodyPr wrap="none" lIns="91440" tIns="45720" rIns="91440" bIns="4572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5400">
            <a:effectLst/>
          </a:endParaRPr>
        </a:p>
      </xdr:txBody>
    </xdr:sp>
    <xdr:clientData/>
  </xdr:oneCellAnchor>
  <xdr:oneCellAnchor>
    <xdr:from>
      <xdr:col>1</xdr:col>
      <xdr:colOff>14791</xdr:colOff>
      <xdr:row>0</xdr:row>
      <xdr:rowOff>51533</xdr:rowOff>
    </xdr:from>
    <xdr:ext cx="7475054" cy="477633"/>
    <xdr:sp macro="" textlink="">
      <xdr:nvSpPr>
        <xdr:cNvPr id="6" name="Rectangle 5">
          <a:extLst>
            <a:ext uri="{FF2B5EF4-FFF2-40B4-BE49-F238E27FC236}">
              <a16:creationId xmlns:a16="http://schemas.microsoft.com/office/drawing/2014/main" id="{F4CD999F-5522-7CD4-994C-D05979A9448D}"/>
            </a:ext>
          </a:extLst>
        </xdr:cNvPr>
        <xdr:cNvSpPr/>
      </xdr:nvSpPr>
      <xdr:spPr>
        <a:xfrm>
          <a:off x="612322" y="51533"/>
          <a:ext cx="7475054" cy="477633"/>
        </a:xfrm>
        <a:prstGeom prst="rect">
          <a:avLst/>
        </a:prstGeom>
        <a:noFill/>
      </xdr:spPr>
      <xdr:txBody>
        <a:bodyPr wrap="square" lIns="91440" tIns="45720" rIns="91440" bIns="45720">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cap="none" spc="0">
              <a:ln w="0"/>
              <a:solidFill>
                <a:schemeClr val="accent1"/>
              </a:solidFill>
              <a:effectLst>
                <a:outerShdw blurRad="38100" dist="25400" dir="5400000" algn="ctr" rotWithShape="0">
                  <a:srgbClr val="6E747A">
                    <a:alpha val="43000"/>
                  </a:srgbClr>
                </a:outerShdw>
              </a:effectLst>
              <a:latin typeface="+mn-lt"/>
              <a:ea typeface="+mn-ea"/>
              <a:cs typeface="+mn-cs"/>
            </a:rPr>
            <a:t>PLEASE ENTER THE NAME OF THE UNIVERSITIES</a:t>
          </a:r>
          <a:r>
            <a:rPr lang="en-GB" sz="1600" b="1" cap="none" spc="0" baseline="0">
              <a:ln w="0"/>
              <a:solidFill>
                <a:schemeClr val="accent1"/>
              </a:solidFill>
              <a:effectLst>
                <a:outerShdw blurRad="38100" dist="25400" dir="5400000" algn="ctr" rotWithShape="0">
                  <a:srgbClr val="6E747A">
                    <a:alpha val="43000"/>
                  </a:srgbClr>
                </a:outerShdw>
              </a:effectLst>
              <a:latin typeface="+mn-lt"/>
              <a:ea typeface="+mn-ea"/>
              <a:cs typeface="+mn-cs"/>
            </a:rPr>
            <a:t> YOU HAVE RECEIVED ADMIT FROM.</a:t>
          </a:r>
          <a:endParaRPr lang="en-US" sz="2400" b="1"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editAs="oneCell">
    <xdr:from>
      <xdr:col>6</xdr:col>
      <xdr:colOff>399338</xdr:colOff>
      <xdr:row>14</xdr:row>
      <xdr:rowOff>5915</xdr:rowOff>
    </xdr:from>
    <xdr:to>
      <xdr:col>6</xdr:col>
      <xdr:colOff>745433</xdr:colOff>
      <xdr:row>15</xdr:row>
      <xdr:rowOff>189315</xdr:rowOff>
    </xdr:to>
    <xdr:pic macro="[0]!Clear_sheet">
      <xdr:nvPicPr>
        <xdr:cNvPr id="7" name="Graphic 6" descr="Eraser outline">
          <a:extLst>
            <a:ext uri="{FF2B5EF4-FFF2-40B4-BE49-F238E27FC236}">
              <a16:creationId xmlns:a16="http://schemas.microsoft.com/office/drawing/2014/main" id="{83FEE62D-62A3-1829-EA4D-832DBE38C0B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942599" y="2656350"/>
          <a:ext cx="346095" cy="37271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1201963</xdr:colOff>
      <xdr:row>14</xdr:row>
      <xdr:rowOff>22251</xdr:rowOff>
    </xdr:from>
    <xdr:ext cx="15064241" cy="1229605"/>
    <xdr:sp macro="" textlink="">
      <xdr:nvSpPr>
        <xdr:cNvPr id="2" name="Rectangle 1">
          <a:extLst>
            <a:ext uri="{FF2B5EF4-FFF2-40B4-BE49-F238E27FC236}">
              <a16:creationId xmlns:a16="http://schemas.microsoft.com/office/drawing/2014/main" id="{7AD0BB1A-2480-868E-3B61-B076F8746A71}"/>
            </a:ext>
          </a:extLst>
        </xdr:cNvPr>
        <xdr:cNvSpPr/>
      </xdr:nvSpPr>
      <xdr:spPr>
        <a:xfrm>
          <a:off x="1201963" y="3662918"/>
          <a:ext cx="15064241" cy="1229605"/>
        </a:xfrm>
        <a:prstGeom prst="rect">
          <a:avLst/>
        </a:prstGeom>
        <a:noFill/>
        <a:ln w="28575">
          <a:solidFill>
            <a:schemeClr val="tx1"/>
          </a:solidFill>
          <a:prstDash val="lgDashDotDot"/>
        </a:ln>
      </xdr:spPr>
      <xdr:txBody>
        <a:bodyPr wrap="square" lIns="91440" tIns="45720" rIns="91440" bIns="45720" anchor="ctr">
          <a:noAutofit/>
        </a:bodyPr>
        <a:lstStyle/>
        <a:p>
          <a:pPr algn="ctr"/>
          <a:r>
            <a:rPr lang="en-GB" sz="3200" b="1" cap="none" spc="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rPr>
            <a:t>Still not Sure? </a:t>
          </a:r>
        </a:p>
        <a:p>
          <a:pPr algn="ctr"/>
          <a:r>
            <a:rPr lang="en-GB" sz="3200" b="1" cap="none" spc="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rPr>
            <a:t>Click on the "Detailed</a:t>
          </a:r>
          <a:r>
            <a:rPr lang="en-GB" sz="3200" b="1" cap="none" spc="0" baseline="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rPr>
            <a:t> Analysis" Button to compare the values Graphically.</a:t>
          </a:r>
          <a:endParaRPr lang="en-GB" sz="3200" b="1" cap="none" spc="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endParaRPr>
        </a:p>
      </xdr:txBody>
    </xdr:sp>
    <xdr:clientData/>
  </xdr:oneCellAnchor>
  <xdr:twoCellAnchor>
    <xdr:from>
      <xdr:col>3</xdr:col>
      <xdr:colOff>1746251</xdr:colOff>
      <xdr:row>22</xdr:row>
      <xdr:rowOff>183317</xdr:rowOff>
    </xdr:from>
    <xdr:to>
      <xdr:col>4</xdr:col>
      <xdr:colOff>1323369</xdr:colOff>
      <xdr:row>34</xdr:row>
      <xdr:rowOff>57831</xdr:rowOff>
    </xdr:to>
    <xdr:sp macro="[0]!Detailed_Analysis_to_Uni_Dashboard" textlink="">
      <xdr:nvSpPr>
        <xdr:cNvPr id="5" name="Vertical Scroll 4">
          <a:extLst>
            <a:ext uri="{FF2B5EF4-FFF2-40B4-BE49-F238E27FC236}">
              <a16:creationId xmlns:a16="http://schemas.microsoft.com/office/drawing/2014/main" id="{CC2FF21D-1227-100F-37A9-49B8C9D7A3BA}"/>
            </a:ext>
          </a:extLst>
        </xdr:cNvPr>
        <xdr:cNvSpPr/>
      </xdr:nvSpPr>
      <xdr:spPr>
        <a:xfrm>
          <a:off x="7945061" y="5323794"/>
          <a:ext cx="2105022" cy="2124227"/>
        </a:xfrm>
        <a:prstGeom prst="verticalScroll">
          <a:avLst/>
        </a:prstGeom>
        <a:solidFill>
          <a:schemeClr val="tx2">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2800" b="1" kern="1200" cap="none" spc="50">
              <a:ln w="0"/>
              <a:solidFill>
                <a:schemeClr val="bg2"/>
              </a:solidFill>
              <a:effectLst>
                <a:innerShdw blurRad="63500" dist="50800" dir="13500000">
                  <a:srgbClr val="000000">
                    <a:alpha val="50000"/>
                  </a:srgbClr>
                </a:innerShdw>
              </a:effectLst>
            </a:rPr>
            <a:t>Detailed Analysis</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10144</xdr:colOff>
      <xdr:row>0</xdr:row>
      <xdr:rowOff>1085</xdr:rowOff>
    </xdr:from>
    <xdr:ext cx="21706856" cy="718466"/>
    <xdr:sp macro="" textlink="">
      <xdr:nvSpPr>
        <xdr:cNvPr id="2" name="Rectangle 1">
          <a:extLst>
            <a:ext uri="{FF2B5EF4-FFF2-40B4-BE49-F238E27FC236}">
              <a16:creationId xmlns:a16="http://schemas.microsoft.com/office/drawing/2014/main" id="{B5432D7A-9592-6AD4-2E21-56D68C22B86E}"/>
            </a:ext>
          </a:extLst>
        </xdr:cNvPr>
        <xdr:cNvSpPr/>
      </xdr:nvSpPr>
      <xdr:spPr>
        <a:xfrm>
          <a:off x="10144" y="1085"/>
          <a:ext cx="21706856" cy="718466"/>
        </a:xfrm>
        <a:prstGeom prst="rect">
          <a:avLst/>
        </a:prstGeom>
        <a:noFill/>
      </xdr:spPr>
      <xdr:txBody>
        <a:bodyPr wrap="square" lIns="91440" tIns="45720" rIns="91440" bIns="45720">
          <a:spAutoFit/>
        </a:bodyPr>
        <a:lstStyle/>
        <a:p>
          <a:pPr algn="ctr"/>
          <a:r>
            <a:rPr lang="en-US" sz="4000" b="1" u="none" cap="none" spc="0">
              <a:ln w="0"/>
              <a:solidFill>
                <a:schemeClr val="accent1"/>
              </a:solidFill>
              <a:effectLst>
                <a:outerShdw blurRad="38100" dist="25400" dir="5400000" algn="ctr" rotWithShape="0">
                  <a:srgbClr val="6E747A">
                    <a:alpha val="43000"/>
                  </a:srgbClr>
                </a:outerShdw>
              </a:effectLst>
            </a:rPr>
            <a:t>Need help to finalize your Universities,</a:t>
          </a:r>
          <a:r>
            <a:rPr lang="en-US" sz="4000" b="1" u="none" cap="none" spc="0" baseline="0">
              <a:ln w="0"/>
              <a:solidFill>
                <a:schemeClr val="accent1"/>
              </a:solidFill>
              <a:effectLst>
                <a:outerShdw blurRad="38100" dist="25400" dir="5400000" algn="ctr" rotWithShape="0">
                  <a:srgbClr val="6E747A">
                    <a:alpha val="43000"/>
                  </a:srgbClr>
                </a:outerShdw>
              </a:effectLst>
            </a:rPr>
            <a:t> Let us Help you. PLEASE!!!</a:t>
          </a:r>
          <a:endParaRPr lang="en-US" sz="4000" b="1" u="none"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editAs="oneCell">
    <xdr:from>
      <xdr:col>27</xdr:col>
      <xdr:colOff>532162</xdr:colOff>
      <xdr:row>0</xdr:row>
      <xdr:rowOff>0</xdr:rowOff>
    </xdr:from>
    <xdr:to>
      <xdr:col>29</xdr:col>
      <xdr:colOff>273325</xdr:colOff>
      <xdr:row>4</xdr:row>
      <xdr:rowOff>165550</xdr:rowOff>
    </xdr:to>
    <xdr:pic>
      <xdr:nvPicPr>
        <xdr:cNvPr id="4" name="Graphic 3" descr="Classroom with solid fill">
          <a:extLst>
            <a:ext uri="{FF2B5EF4-FFF2-40B4-BE49-F238E27FC236}">
              <a16:creationId xmlns:a16="http://schemas.microsoft.com/office/drawing/2014/main" id="{8063B332-C31B-5BB5-262D-83301243ED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840448" y="0"/>
          <a:ext cx="1000796" cy="911999"/>
        </a:xfrm>
        <a:prstGeom prst="rect">
          <a:avLst/>
        </a:prstGeom>
      </xdr:spPr>
    </xdr:pic>
    <xdr:clientData/>
  </xdr:twoCellAnchor>
  <xdr:twoCellAnchor>
    <xdr:from>
      <xdr:col>23</xdr:col>
      <xdr:colOff>256228</xdr:colOff>
      <xdr:row>5</xdr:row>
      <xdr:rowOff>11139</xdr:rowOff>
    </xdr:from>
    <xdr:to>
      <xdr:col>35</xdr:col>
      <xdr:colOff>58998</xdr:colOff>
      <xdr:row>27</xdr:row>
      <xdr:rowOff>151847</xdr:rowOff>
    </xdr:to>
    <xdr:graphicFrame macro="">
      <xdr:nvGraphicFramePr>
        <xdr:cNvPr id="21" name="Chart 5">
          <a:extLst>
            <a:ext uri="{FF2B5EF4-FFF2-40B4-BE49-F238E27FC236}">
              <a16:creationId xmlns:a16="http://schemas.microsoft.com/office/drawing/2014/main" id="{38CA8593-D603-B73C-14DF-A9A9E2F2B2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31750</xdr:colOff>
      <xdr:row>5</xdr:row>
      <xdr:rowOff>118152</xdr:rowOff>
    </xdr:from>
    <xdr:to>
      <xdr:col>9</xdr:col>
      <xdr:colOff>285750</xdr:colOff>
      <xdr:row>23</xdr:row>
      <xdr:rowOff>63500</xdr:rowOff>
    </xdr:to>
    <mc:AlternateContent xmlns:mc="http://schemas.openxmlformats.org/markup-compatibility/2006">
      <mc:Choice xmlns:cx2="http://schemas.microsoft.com/office/drawing/2015/10/21/chartex" Requires="cx2">
        <xdr:graphicFrame macro="">
          <xdr:nvGraphicFramePr>
            <xdr:cNvPr id="17" name="Chart 1">
              <a:extLst>
                <a:ext uri="{FF2B5EF4-FFF2-40B4-BE49-F238E27FC236}">
                  <a16:creationId xmlns:a16="http://schemas.microsoft.com/office/drawing/2014/main" id="{7A209472-6966-BD67-4E4A-FF7476779B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1750" y="1038902"/>
              <a:ext cx="5797550" cy="32600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27</xdr:row>
      <xdr:rowOff>38878</xdr:rowOff>
    </xdr:from>
    <xdr:to>
      <xdr:col>10</xdr:col>
      <xdr:colOff>579298</xdr:colOff>
      <xdr:row>55</xdr:row>
      <xdr:rowOff>66842</xdr:rowOff>
    </xdr:to>
    <xdr:graphicFrame macro="">
      <xdr:nvGraphicFramePr>
        <xdr:cNvPr id="26" name="Chart 3">
          <a:extLst>
            <a:ext uri="{FF2B5EF4-FFF2-40B4-BE49-F238E27FC236}">
              <a16:creationId xmlns:a16="http://schemas.microsoft.com/office/drawing/2014/main" id="{A9B98659-EB64-6A52-48A4-735B180286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69983</xdr:colOff>
      <xdr:row>5</xdr:row>
      <xdr:rowOff>22281</xdr:rowOff>
    </xdr:from>
    <xdr:to>
      <xdr:col>10</xdr:col>
      <xdr:colOff>583163</xdr:colOff>
      <xdr:row>26</xdr:row>
      <xdr:rowOff>31101</xdr:rowOff>
    </xdr:to>
    <mc:AlternateContent xmlns:mc="http://schemas.openxmlformats.org/markup-compatibility/2006">
      <mc:Choice xmlns:cx2="http://schemas.microsoft.com/office/drawing/2015/10/21/chartex" Requires="cx2">
        <xdr:graphicFrame macro="">
          <xdr:nvGraphicFramePr>
            <xdr:cNvPr id="19" name="Chart 1">
              <a:extLst>
                <a:ext uri="{FF2B5EF4-FFF2-40B4-BE49-F238E27FC236}">
                  <a16:creationId xmlns:a16="http://schemas.microsoft.com/office/drawing/2014/main" id="{1210C230-8040-D24E-22BC-BA2DEE7B609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9983" y="943031"/>
              <a:ext cx="6672680" cy="387597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248817</xdr:colOff>
      <xdr:row>28</xdr:row>
      <xdr:rowOff>130053</xdr:rowOff>
    </xdr:from>
    <xdr:to>
      <xdr:col>35</xdr:col>
      <xdr:colOff>44563</xdr:colOff>
      <xdr:row>54</xdr:row>
      <xdr:rowOff>23327</xdr:rowOff>
    </xdr:to>
    <xdr:graphicFrame macro="">
      <xdr:nvGraphicFramePr>
        <xdr:cNvPr id="25" name="Chart 4">
          <a:extLst>
            <a:ext uri="{FF2B5EF4-FFF2-40B4-BE49-F238E27FC236}">
              <a16:creationId xmlns:a16="http://schemas.microsoft.com/office/drawing/2014/main" id="{0E23CA1C-C65C-4538-09C6-5A7898ED0C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109403</xdr:colOff>
      <xdr:row>6</xdr:row>
      <xdr:rowOff>100037</xdr:rowOff>
    </xdr:from>
    <xdr:to>
      <xdr:col>23</xdr:col>
      <xdr:colOff>54429</xdr:colOff>
      <xdr:row>37</xdr:row>
      <xdr:rowOff>101082</xdr:rowOff>
    </xdr:to>
    <mc:AlternateContent xmlns:mc="http://schemas.openxmlformats.org/markup-compatibility/2006">
      <mc:Choice xmlns:cx4="http://schemas.microsoft.com/office/drawing/2016/5/10/chartex" Requires="cx4">
        <xdr:graphicFrame macro="">
          <xdr:nvGraphicFramePr>
            <xdr:cNvPr id="15" name="Chart 2">
              <a:extLst>
                <a:ext uri="{FF2B5EF4-FFF2-40B4-BE49-F238E27FC236}">
                  <a16:creationId xmlns:a16="http://schemas.microsoft.com/office/drawing/2014/main" id="{B6C15560-1C55-02F2-B322-6F04A318C7A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884853" y="1204937"/>
              <a:ext cx="7336426" cy="57096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388184</xdr:colOff>
      <xdr:row>38</xdr:row>
      <xdr:rowOff>97944</xdr:rowOff>
    </xdr:from>
    <xdr:to>
      <xdr:col>18</xdr:col>
      <xdr:colOff>551470</xdr:colOff>
      <xdr:row>46</xdr:row>
      <xdr:rowOff>82394</xdr:rowOff>
    </xdr:to>
    <xdr:sp macro="" textlink="">
      <xdr:nvSpPr>
        <xdr:cNvPr id="11" name="TextBox 10">
          <a:extLst>
            <a:ext uri="{FF2B5EF4-FFF2-40B4-BE49-F238E27FC236}">
              <a16:creationId xmlns:a16="http://schemas.microsoft.com/office/drawing/2014/main" id="{FF0D4FAC-08D7-28B8-E9AE-A9759C05CB8D}"/>
            </a:ext>
          </a:extLst>
        </xdr:cNvPr>
        <xdr:cNvSpPr txBox="1"/>
      </xdr:nvSpPr>
      <xdr:spPr>
        <a:xfrm>
          <a:off x="7128096" y="7294611"/>
          <a:ext cx="4452321" cy="1499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We want what's best for you.</a:t>
          </a:r>
        </a:p>
        <a:p>
          <a:pPr algn="ctr"/>
          <a:endParaRPr lang="en-US" sz="1600" b="1">
            <a:solidFill>
              <a:schemeClr val="tx2"/>
            </a:solidFill>
          </a:endParaRPr>
        </a:p>
        <a:p>
          <a:pPr algn="ctr"/>
          <a:r>
            <a:rPr lang="en-US" sz="1600" b="1">
              <a:solidFill>
                <a:schemeClr val="tx2"/>
              </a:solidFill>
            </a:rPr>
            <a:t>Let us Dive into some State</a:t>
          </a:r>
          <a:r>
            <a:rPr lang="en-US" sz="1600" b="1" baseline="0">
              <a:solidFill>
                <a:schemeClr val="tx2"/>
              </a:solidFill>
            </a:rPr>
            <a:t> Specific Analysis to have a better Understanding.</a:t>
          </a:r>
        </a:p>
        <a:p>
          <a:pPr algn="ctr"/>
          <a:r>
            <a:rPr lang="en-US" sz="1600" b="1" baseline="0">
              <a:solidFill>
                <a:schemeClr val="tx2"/>
              </a:solidFill>
            </a:rPr>
            <a:t>Click on 'SS Info' for further analysis</a:t>
          </a:r>
          <a:endParaRPr lang="en-US" sz="1600" b="1">
            <a:solidFill>
              <a:schemeClr val="tx2"/>
            </a:solidFill>
          </a:endParaRPr>
        </a:p>
      </xdr:txBody>
    </xdr:sp>
    <xdr:clientData/>
  </xdr:twoCellAnchor>
  <xdr:twoCellAnchor>
    <xdr:from>
      <xdr:col>19</xdr:col>
      <xdr:colOff>505408</xdr:colOff>
      <xdr:row>41</xdr:row>
      <xdr:rowOff>69981</xdr:rowOff>
    </xdr:from>
    <xdr:to>
      <xdr:col>23</xdr:col>
      <xdr:colOff>202162</xdr:colOff>
      <xdr:row>46</xdr:row>
      <xdr:rowOff>15552</xdr:rowOff>
    </xdr:to>
    <xdr:sp macro="[0]!Uni_specific_to_Ss_specific" textlink="">
      <xdr:nvSpPr>
        <xdr:cNvPr id="12" name="Oval 11">
          <a:extLst>
            <a:ext uri="{FF2B5EF4-FFF2-40B4-BE49-F238E27FC236}">
              <a16:creationId xmlns:a16="http://schemas.microsoft.com/office/drawing/2014/main" id="{1C5D5CF1-162C-3EEA-B371-744CC9957874}"/>
            </a:ext>
          </a:extLst>
        </xdr:cNvPr>
        <xdr:cNvSpPr/>
      </xdr:nvSpPr>
      <xdr:spPr>
        <a:xfrm>
          <a:off x="12471918" y="7721082"/>
          <a:ext cx="2216020" cy="878633"/>
        </a:xfrm>
        <a:prstGeom prst="ellipse">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2000" b="1"/>
            <a:t>SS Info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36285</xdr:colOff>
      <xdr:row>6</xdr:row>
      <xdr:rowOff>759</xdr:rowOff>
    </xdr:from>
    <xdr:to>
      <xdr:col>13</xdr:col>
      <xdr:colOff>36740</xdr:colOff>
      <xdr:row>25</xdr:row>
      <xdr:rowOff>150740</xdr:rowOff>
    </xdr:to>
    <xdr:graphicFrame macro="">
      <xdr:nvGraphicFramePr>
        <xdr:cNvPr id="13" name="Chart 1">
          <a:extLst>
            <a:ext uri="{FF2B5EF4-FFF2-40B4-BE49-F238E27FC236}">
              <a16:creationId xmlns:a16="http://schemas.microsoft.com/office/drawing/2014/main" id="{33FF737C-3EE4-C1AE-5393-CFF39CDA0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18143</xdr:colOff>
      <xdr:row>25</xdr:row>
      <xdr:rowOff>176866</xdr:rowOff>
    </xdr:from>
    <xdr:to>
      <xdr:col>13</xdr:col>
      <xdr:colOff>38553</xdr:colOff>
      <xdr:row>53</xdr:row>
      <xdr:rowOff>62204</xdr:rowOff>
    </xdr:to>
    <xdr:graphicFrame macro="">
      <xdr:nvGraphicFramePr>
        <xdr:cNvPr id="11" name="Chart 2">
          <a:extLst>
            <a:ext uri="{FF2B5EF4-FFF2-40B4-BE49-F238E27FC236}">
              <a16:creationId xmlns:a16="http://schemas.microsoft.com/office/drawing/2014/main" id="{EF93E636-BA50-EDD2-6DA0-717644C5A1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598814</xdr:colOff>
      <xdr:row>6</xdr:row>
      <xdr:rowOff>25954</xdr:rowOff>
    </xdr:from>
    <xdr:to>
      <xdr:col>34</xdr:col>
      <xdr:colOff>303696</xdr:colOff>
      <xdr:row>27</xdr:row>
      <xdr:rowOff>13805</xdr:rowOff>
    </xdr:to>
    <xdr:graphicFrame macro="">
      <xdr:nvGraphicFramePr>
        <xdr:cNvPr id="12" name="Chart 3">
          <a:extLst>
            <a:ext uri="{FF2B5EF4-FFF2-40B4-BE49-F238E27FC236}">
              <a16:creationId xmlns:a16="http://schemas.microsoft.com/office/drawing/2014/main" id="{0F8AD2BF-5D68-FAB7-5335-DD31716348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622042</xdr:colOff>
      <xdr:row>27</xdr:row>
      <xdr:rowOff>47299</xdr:rowOff>
    </xdr:from>
    <xdr:to>
      <xdr:col>34</xdr:col>
      <xdr:colOff>301950</xdr:colOff>
      <xdr:row>53</xdr:row>
      <xdr:rowOff>155510</xdr:rowOff>
    </xdr:to>
    <mc:AlternateContent xmlns:mc="http://schemas.openxmlformats.org/markup-compatibility/2006" xmlns:a14="http://schemas.microsoft.com/office/drawing/2010/main">
      <mc:Choice Requires="a14">
        <xdr:graphicFrame macro="">
          <xdr:nvGraphicFramePr>
            <xdr:cNvPr id="9" name="State">
              <a:extLst>
                <a:ext uri="{FF2B5EF4-FFF2-40B4-BE49-F238E27FC236}">
                  <a16:creationId xmlns:a16="http://schemas.microsoft.com/office/drawing/2014/main" id="{C0E8C33F-74FD-D5D9-16DF-6E572932A17B}"/>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2820594" y="4975451"/>
              <a:ext cx="8132659" cy="49628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34989</xdr:colOff>
      <xdr:row>0</xdr:row>
      <xdr:rowOff>15551</xdr:rowOff>
    </xdr:from>
    <xdr:ext cx="19570636" cy="1052286"/>
    <xdr:sp macro="" textlink="">
      <xdr:nvSpPr>
        <xdr:cNvPr id="10" name="Rectangle 9">
          <a:extLst>
            <a:ext uri="{FF2B5EF4-FFF2-40B4-BE49-F238E27FC236}">
              <a16:creationId xmlns:a16="http://schemas.microsoft.com/office/drawing/2014/main" id="{09DE9A4E-2834-93A2-62B7-2FF6D3BAE2ED}"/>
            </a:ext>
          </a:extLst>
        </xdr:cNvPr>
        <xdr:cNvSpPr/>
      </xdr:nvSpPr>
      <xdr:spPr>
        <a:xfrm>
          <a:off x="1241489" y="15551"/>
          <a:ext cx="19570636" cy="1052286"/>
        </a:xfrm>
        <a:prstGeom prst="rect">
          <a:avLst/>
        </a:prstGeom>
        <a:solidFill>
          <a:schemeClr val="bg1"/>
        </a:solidFill>
      </xdr:spPr>
      <xdr:style>
        <a:lnRef idx="1">
          <a:schemeClr val="accent4"/>
        </a:lnRef>
        <a:fillRef idx="2">
          <a:schemeClr val="accent4"/>
        </a:fillRef>
        <a:effectRef idx="1">
          <a:schemeClr val="accent4"/>
        </a:effectRef>
        <a:fontRef idx="minor">
          <a:schemeClr val="dk1"/>
        </a:fontRef>
      </xdr:style>
      <xdr:txBody>
        <a:bodyPr wrap="square" lIns="91440" tIns="45720" rIns="91440" bIns="45720">
          <a:noAutofit/>
        </a:bodyPr>
        <a:lstStyle/>
        <a:p>
          <a:pPr algn="ctr"/>
          <a:r>
            <a:rPr lang="en-US" sz="5400" b="0" cap="none" spc="0">
              <a:ln w="0"/>
              <a:solidFill>
                <a:schemeClr val="accent1"/>
              </a:solidFill>
              <a:effectLst>
                <a:outerShdw blurRad="38100" dist="25400" dir="5400000" algn="ctr" rotWithShape="0">
                  <a:srgbClr val="6E747A">
                    <a:alpha val="43000"/>
                  </a:srgbClr>
                </a:outerShdw>
              </a:effectLst>
            </a:rPr>
            <a:t>State-Specific</a:t>
          </a:r>
          <a:r>
            <a:rPr lang="en-US" sz="5400" b="0" cap="none" spc="0" baseline="0">
              <a:ln w="0"/>
              <a:solidFill>
                <a:schemeClr val="accent1"/>
              </a:solidFill>
              <a:effectLst>
                <a:outerShdw blurRad="38100" dist="25400" dir="5400000" algn="ctr" rotWithShape="0">
                  <a:srgbClr val="6E747A">
                    <a:alpha val="43000"/>
                  </a:srgbClr>
                </a:outerShdw>
              </a:effectLst>
            </a:rPr>
            <a:t> Analysis</a:t>
          </a:r>
          <a:endParaRPr lang="en-US" sz="5400" b="0"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xdr:from>
      <xdr:col>13</xdr:col>
      <xdr:colOff>559837</xdr:colOff>
      <xdr:row>12</xdr:row>
      <xdr:rowOff>111449</xdr:rowOff>
    </xdr:from>
    <xdr:to>
      <xdr:col>20</xdr:col>
      <xdr:colOff>217714</xdr:colOff>
      <xdr:row>17</xdr:row>
      <xdr:rowOff>103673</xdr:rowOff>
    </xdr:to>
    <xdr:sp macro="[0]!Go_back_to_the_main_page" textlink="">
      <xdr:nvSpPr>
        <xdr:cNvPr id="16" name="Rectangle 15">
          <a:extLst>
            <a:ext uri="{FF2B5EF4-FFF2-40B4-BE49-F238E27FC236}">
              <a16:creationId xmlns:a16="http://schemas.microsoft.com/office/drawing/2014/main" id="{21673121-FC96-60D4-1CCE-F981F2A2701C}"/>
            </a:ext>
          </a:extLst>
        </xdr:cNvPr>
        <xdr:cNvSpPr/>
      </xdr:nvSpPr>
      <xdr:spPr>
        <a:xfrm>
          <a:off x="8461051" y="2288592"/>
          <a:ext cx="3912377" cy="899367"/>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t>Click Here</a:t>
          </a:r>
          <a:r>
            <a:rPr lang="en-US" sz="2400" baseline="0"/>
            <a:t> to go back to the University Selection Page</a:t>
          </a:r>
          <a:endParaRPr lang="en-US" sz="2400">
            <a:solidFill>
              <a:schemeClr val="bg1"/>
            </a:solidFill>
          </a:endParaRPr>
        </a:p>
      </xdr:txBody>
    </xdr:sp>
    <xdr:clientData/>
  </xdr:twoCellAnchor>
  <xdr:twoCellAnchor editAs="oneCell">
    <xdr:from>
      <xdr:col>0</xdr:col>
      <xdr:colOff>0</xdr:colOff>
      <xdr:row>0</xdr:row>
      <xdr:rowOff>9071</xdr:rowOff>
    </xdr:from>
    <xdr:to>
      <xdr:col>1</xdr:col>
      <xdr:colOff>408214</xdr:colOff>
      <xdr:row>5</xdr:row>
      <xdr:rowOff>172357</xdr:rowOff>
    </xdr:to>
    <xdr:pic>
      <xdr:nvPicPr>
        <xdr:cNvPr id="5" name="Picture 4">
          <a:extLst>
            <a:ext uri="{FF2B5EF4-FFF2-40B4-BE49-F238E27FC236}">
              <a16:creationId xmlns:a16="http://schemas.microsoft.com/office/drawing/2014/main" id="{0AD396FB-6F19-7746-010E-E5FD75F0F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9071"/>
          <a:ext cx="1016000" cy="107042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60608726d2b5d3a0/Desktop/Class/Data%20managment%20project/Data/Dashboard%20Rough.xlsm" TargetMode="External"/><Relationship Id="rId1" Type="http://schemas.openxmlformats.org/officeDocument/2006/relationships/externalLinkPath" Target="/60608726d2b5d3a0/Desktop/Class/Data%20managment%20project/Data/Dashboard%20Roug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0 Universities"/>
      <sheetName val="Forbes Top 500 Unis"/>
      <sheetName val="Safest States"/>
      <sheetName val="Forbes"/>
      <sheetName val="State_Crime Rate"/>
      <sheetName val="Party Affliation by States"/>
      <sheetName val="Cost of Living"/>
      <sheetName val="References"/>
      <sheetName val="Dashboard"/>
      <sheetName val="Sheet5"/>
      <sheetName val="Pivot Tables"/>
      <sheetName val="Dashboard Rough"/>
    </sheet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vek Vikram Singh" refreshedDate="45634.192285300924" createdVersion="8" refreshedVersion="8" minRefreshableVersion="3" recordCount="50" xr:uid="{39FC46B6-FDC3-4ACD-B47B-BA1B588CF8CC}">
  <cacheSource type="worksheet">
    <worksheetSource name="Combined_Dataset"/>
  </cacheSource>
  <cacheFields count="6">
    <cacheField name="State" numFmtId="0">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afety Score" numFmtId="0">
      <sharedItems containsSemiMixedTypes="0" containsString="0" containsNumber="1" minValue="31.64" maxValue="68.790000000000006"/>
    </cacheField>
    <cacheField name="Crime Rate" numFmtId="0">
      <sharedItems containsSemiMixedTypes="0" containsString="0" containsNumber="1" containsInteger="1" minValue="950" maxValue="2253"/>
    </cacheField>
    <cacheField name="Republican Lean" numFmtId="9">
      <sharedItems containsSemiMixedTypes="0" containsString="0" containsNumber="1" minValue="0.27" maxValue="0.56999999999999995"/>
    </cacheField>
    <cacheField name="No Lean" numFmtId="9">
      <sharedItems containsSemiMixedTypes="0" containsString="0" containsNumber="1" minValue="0.1" maxValue="0.28999999999999998"/>
    </cacheField>
    <cacheField name="Democrat Lean" numFmtId="9">
      <sharedItems containsSemiMixedTypes="0" containsString="0" containsNumber="1" minValue="0.25" maxValue="0.56999999999999995"/>
    </cacheField>
  </cacheFields>
  <extLst>
    <ext xmlns:x14="http://schemas.microsoft.com/office/spreadsheetml/2009/9/main" uri="{725AE2AE-9491-48be-B2B4-4EB974FC3084}">
      <x14:pivotCacheDefinition pivotCacheId="8089681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n v="37.68"/>
    <n v="1941"/>
    <n v="0.52"/>
    <n v="0.13"/>
    <n v="0.35"/>
  </r>
  <r>
    <x v="1"/>
    <n v="54.52"/>
    <n v="1986"/>
    <n v="0.39"/>
    <n v="0.28999999999999998"/>
    <n v="0.32"/>
  </r>
  <r>
    <x v="2"/>
    <n v="52.95"/>
    <n v="2025"/>
    <n v="0.4"/>
    <n v="0.21"/>
    <n v="0.39"/>
  </r>
  <r>
    <x v="3"/>
    <n v="33.72"/>
    <n v="2065"/>
    <n v="0.46"/>
    <n v="0.16"/>
    <n v="0.38"/>
  </r>
  <r>
    <x v="4"/>
    <n v="48.94"/>
    <n v="1701"/>
    <n v="0.3"/>
    <n v="0.21"/>
    <n v="0.49"/>
  </r>
  <r>
    <x v="5"/>
    <n v="43.84"/>
    <n v="1526"/>
    <n v="0.41"/>
    <n v="0.17"/>
    <n v="0.42"/>
  </r>
  <r>
    <x v="6"/>
    <n v="59.88"/>
    <n v="1171"/>
    <n v="0.32"/>
    <n v="0.18"/>
    <n v="0.5"/>
  </r>
  <r>
    <x v="7"/>
    <n v="51.36"/>
    <n v="1974"/>
    <n v="0.28999999999999998"/>
    <n v="0.17"/>
    <n v="0.55000000000000004"/>
  </r>
  <r>
    <x v="8"/>
    <n v="39.520000000000003"/>
    <n v="2095"/>
    <n v="0.37"/>
    <n v="0.19"/>
    <n v="0.44"/>
  </r>
  <r>
    <x v="9"/>
    <n v="45.27"/>
    <n v="1911"/>
    <n v="0.41"/>
    <n v="0.18"/>
    <n v="0.41"/>
  </r>
  <r>
    <x v="10"/>
    <n v="60.36"/>
    <n v="1608"/>
    <n v="0.28000000000000003"/>
    <n v="0.2"/>
    <n v="0.51"/>
  </r>
  <r>
    <x v="11"/>
    <n v="54.67"/>
    <n v="1068"/>
    <n v="0.49"/>
    <n v="0.19"/>
    <n v="0.32"/>
  </r>
  <r>
    <x v="12"/>
    <n v="47.68"/>
    <n v="1616"/>
    <n v="0.33"/>
    <n v="0.19"/>
    <n v="0.48"/>
  </r>
  <r>
    <x v="13"/>
    <n v="52.98"/>
    <n v="1599"/>
    <n v="0.42"/>
    <n v="0.2"/>
    <n v="0.37"/>
  </r>
  <r>
    <x v="14"/>
    <n v="55.29"/>
    <n v="1203"/>
    <n v="0.41"/>
    <n v="0.19"/>
    <n v="0.4"/>
  </r>
  <r>
    <x v="15"/>
    <n v="42.91"/>
    <n v="1670"/>
    <n v="0.46"/>
    <n v="0.23"/>
    <n v="0.31"/>
  </r>
  <r>
    <x v="16"/>
    <n v="48.73"/>
    <n v="1305"/>
    <n v="0.44"/>
    <n v="0.13"/>
    <n v="0.43"/>
  </r>
  <r>
    <x v="17"/>
    <n v="31.64"/>
    <n v="2167"/>
    <n v="0.41"/>
    <n v="0.16"/>
    <n v="0.43"/>
  </r>
  <r>
    <x v="18"/>
    <n v="66.95"/>
    <n v="1017"/>
    <n v="0.36"/>
    <n v="0.17"/>
    <n v="0.47"/>
  </r>
  <r>
    <x v="19"/>
    <n v="53.23"/>
    <n v="1884"/>
    <n v="0.31"/>
    <n v="0.14000000000000001"/>
    <n v="0.55000000000000004"/>
  </r>
  <r>
    <x v="20"/>
    <n v="60.02"/>
    <n v="1368"/>
    <n v="0.27"/>
    <n v="0.17"/>
    <n v="0.56000000000000005"/>
  </r>
  <r>
    <x v="21"/>
    <n v="49.79"/>
    <n v="1757"/>
    <n v="0.34"/>
    <n v="0.19"/>
    <n v="0.47"/>
  </r>
  <r>
    <x v="22"/>
    <n v="59.81"/>
    <n v="1298"/>
    <n v="0.39"/>
    <n v="0.15"/>
    <n v="0.46"/>
  </r>
  <r>
    <x v="23"/>
    <n v="32.520000000000003"/>
    <n v="1584"/>
    <n v="0.44"/>
    <n v="0.14000000000000001"/>
    <n v="0.42"/>
  </r>
  <r>
    <x v="24"/>
    <n v="40.25"/>
    <n v="1858"/>
    <n v="0.41"/>
    <n v="0.18"/>
    <n v="0.42"/>
  </r>
  <r>
    <x v="25"/>
    <n v="42.16"/>
    <n v="1230"/>
    <n v="0.49"/>
    <n v="0.21"/>
    <n v="0.3"/>
  </r>
  <r>
    <x v="26"/>
    <n v="46.58"/>
    <n v="1390"/>
    <n v="0.47"/>
    <n v="0.17"/>
    <n v="0.36"/>
  </r>
  <r>
    <x v="27"/>
    <n v="47.72"/>
    <n v="2180"/>
    <n v="0.37"/>
    <n v="0.18"/>
    <n v="0.46"/>
  </r>
  <r>
    <x v="28"/>
    <n v="63.99"/>
    <n v="956"/>
    <n v="0.35"/>
    <n v="0.2"/>
    <n v="0.44"/>
  </r>
  <r>
    <x v="29"/>
    <n v="54.62"/>
    <n v="1180"/>
    <n v="0.3"/>
    <n v="0.19"/>
    <n v="0.51"/>
  </r>
  <r>
    <x v="30"/>
    <n v="49.92"/>
    <n v="2241"/>
    <n v="0.37"/>
    <n v="0.15"/>
    <n v="0.48"/>
  </r>
  <r>
    <x v="31"/>
    <n v="51.92"/>
    <n v="1194"/>
    <n v="0.28000000000000003"/>
    <n v="0.19"/>
    <n v="0.53"/>
  </r>
  <r>
    <x v="32"/>
    <n v="52.37"/>
    <n v="1869"/>
    <n v="0.41"/>
    <n v="0.17"/>
    <n v="0.43"/>
  </r>
  <r>
    <x v="33"/>
    <n v="47.94"/>
    <n v="985"/>
    <n v="0.5"/>
    <n v="0.18"/>
    <n v="0.33"/>
  </r>
  <r>
    <x v="34"/>
    <n v="45.14"/>
    <n v="1691"/>
    <n v="0.42"/>
    <n v="0.18"/>
    <n v="0.4"/>
  </r>
  <r>
    <x v="35"/>
    <n v="39.340000000000003"/>
    <n v="1938"/>
    <n v="0.45"/>
    <n v="0.15"/>
    <n v="0.4"/>
  </r>
  <r>
    <x v="36"/>
    <n v="55.48"/>
    <n v="1497"/>
    <n v="0.32"/>
    <n v="0.21"/>
    <n v="0.47"/>
  </r>
  <r>
    <x v="37"/>
    <n v="48.51"/>
    <n v="1335"/>
    <n v="0.39"/>
    <n v="0.15"/>
    <n v="0.46"/>
  </r>
  <r>
    <x v="38"/>
    <n v="58.99"/>
    <n v="1268"/>
    <n v="0.3"/>
    <n v="0.22"/>
    <n v="0.48"/>
  </r>
  <r>
    <x v="39"/>
    <n v="41.03"/>
    <n v="2253"/>
    <n v="0.43"/>
    <n v="0.18"/>
    <n v="0.39"/>
  </r>
  <r>
    <x v="40"/>
    <n v="43.38"/>
    <n v="1042"/>
    <n v="0.53"/>
    <n v="0.1"/>
    <n v="0.37"/>
  </r>
  <r>
    <x v="41"/>
    <n v="41.34"/>
    <n v="2194"/>
    <n v="0.48"/>
    <n v="0.15"/>
    <n v="0.36"/>
  </r>
  <r>
    <x v="42"/>
    <n v="36.770000000000003"/>
    <n v="1962"/>
    <n v="0.39"/>
    <n v="0.21"/>
    <n v="0.4"/>
  </r>
  <r>
    <x v="43"/>
    <n v="63.48"/>
    <n v="1405"/>
    <n v="0.54"/>
    <n v="0.16"/>
    <n v="0.3"/>
  </r>
  <r>
    <x v="44"/>
    <n v="68.790000000000006"/>
    <n v="950"/>
    <n v="0.28999999999999998"/>
    <n v="0.14000000000000001"/>
    <n v="0.56999999999999995"/>
  </r>
  <r>
    <x v="45"/>
    <n v="55.99"/>
    <n v="1125"/>
    <n v="0.43"/>
    <n v="0.18"/>
    <n v="0.39"/>
  </r>
  <r>
    <x v="46"/>
    <n v="59.44"/>
    <n v="1855"/>
    <n v="0.33"/>
    <n v="0.23"/>
    <n v="0.44"/>
  </r>
  <r>
    <x v="47"/>
    <n v="47.08"/>
    <n v="1235"/>
    <n v="0.43"/>
    <n v="0.16"/>
    <n v="0.41"/>
  </r>
  <r>
    <x v="48"/>
    <n v="51.42"/>
    <n v="1227"/>
    <n v="0.42"/>
    <n v="0.16"/>
    <n v="0.42"/>
  </r>
  <r>
    <x v="49"/>
    <n v="54.04"/>
    <n v="1136"/>
    <n v="0.56999999999999995"/>
    <n v="0.18"/>
    <n v="0.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9E6134-93EF-4387-A7B0-6A11F1ADFEB2}"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K1:L7" firstHeaderRow="1" firstDataRow="1" firstDataCol="1"/>
  <pivotFields count="6">
    <pivotField axis="axisRow" showAll="0">
      <items count="51">
        <item h="1" x="0"/>
        <item x="1"/>
        <item h="1" x="2"/>
        <item h="1" x="3"/>
        <item h="1" x="4"/>
        <item h="1" x="5"/>
        <item h="1" x="6"/>
        <item h="1" x="7"/>
        <item h="1" x="8"/>
        <item h="1" x="9"/>
        <item h="1" x="10"/>
        <item h="1" x="11"/>
        <item h="1" x="12"/>
        <item h="1" x="13"/>
        <item h="1" x="14"/>
        <item x="15"/>
        <item h="1" x="16"/>
        <item x="17"/>
        <item h="1" x="18"/>
        <item x="19"/>
        <item h="1" x="20"/>
        <item h="1" x="21"/>
        <item h="1" x="22"/>
        <item h="1" x="23"/>
        <item h="1" x="24"/>
        <item h="1" x="25"/>
        <item h="1" x="26"/>
        <item h="1" x="27"/>
        <item x="28"/>
        <item h="1" x="29"/>
        <item h="1" x="30"/>
        <item h="1" x="31"/>
        <item h="1" x="32"/>
        <item x="33"/>
        <item h="1" x="34"/>
        <item h="1" x="35"/>
        <item h="1" x="36"/>
        <item h="1" x="37"/>
        <item h="1" x="38"/>
        <item h="1" x="39"/>
        <item h="1" x="40"/>
        <item h="1" x="41"/>
        <item h="1" x="42"/>
        <item h="1" x="43"/>
        <item h="1" x="44"/>
        <item h="1" x="45"/>
        <item h="1" x="46"/>
        <item h="1" x="47"/>
        <item h="1" x="48"/>
        <item h="1" x="49"/>
        <item t="default"/>
      </items>
    </pivotField>
    <pivotField showAll="0"/>
    <pivotField dataField="1" showAll="0"/>
    <pivotField numFmtId="9" showAll="0"/>
    <pivotField numFmtId="9" showAll="0"/>
    <pivotField numFmtId="9" showAll="0"/>
  </pivotFields>
  <rowFields count="1">
    <field x="0"/>
  </rowFields>
  <rowItems count="6">
    <i>
      <x v="1"/>
    </i>
    <i>
      <x v="15"/>
    </i>
    <i>
      <x v="17"/>
    </i>
    <i>
      <x v="19"/>
    </i>
    <i>
      <x v="28"/>
    </i>
    <i>
      <x v="33"/>
    </i>
  </rowItems>
  <colItems count="1">
    <i/>
  </colItems>
  <dataFields count="1">
    <dataField name="Crime Rate Index" fld="2"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3FDF8A-0F24-4903-AB66-BCBB2096975C}"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H1:I7" firstHeaderRow="1" firstDataRow="1" firstDataCol="1"/>
  <pivotFields count="6">
    <pivotField axis="axisRow" showAll="0">
      <items count="51">
        <item h="1" x="0"/>
        <item x="1"/>
        <item h="1" x="2"/>
        <item h="1" x="3"/>
        <item h="1" x="4"/>
        <item h="1" x="5"/>
        <item h="1" x="6"/>
        <item h="1" x="7"/>
        <item h="1" x="8"/>
        <item h="1" x="9"/>
        <item h="1" x="10"/>
        <item h="1" x="11"/>
        <item h="1" x="12"/>
        <item h="1" x="13"/>
        <item h="1" x="14"/>
        <item x="15"/>
        <item h="1" x="16"/>
        <item x="17"/>
        <item h="1" x="18"/>
        <item x="19"/>
        <item h="1" x="20"/>
        <item h="1" x="21"/>
        <item h="1" x="22"/>
        <item h="1" x="23"/>
        <item h="1" x="24"/>
        <item h="1" x="25"/>
        <item h="1" x="26"/>
        <item h="1" x="27"/>
        <item x="28"/>
        <item h="1" x="29"/>
        <item h="1" x="30"/>
        <item h="1" x="31"/>
        <item h="1" x="32"/>
        <item x="33"/>
        <item h="1" x="34"/>
        <item h="1" x="35"/>
        <item h="1" x="36"/>
        <item h="1" x="37"/>
        <item h="1" x="38"/>
        <item h="1" x="39"/>
        <item h="1" x="40"/>
        <item h="1" x="41"/>
        <item h="1" x="42"/>
        <item h="1" x="43"/>
        <item h="1" x="44"/>
        <item h="1" x="45"/>
        <item h="1" x="46"/>
        <item h="1" x="47"/>
        <item h="1" x="48"/>
        <item h="1" x="49"/>
        <item t="default"/>
      </items>
    </pivotField>
    <pivotField dataField="1" showAll="0"/>
    <pivotField showAll="0"/>
    <pivotField numFmtId="9" showAll="0"/>
    <pivotField numFmtId="9" showAll="0"/>
    <pivotField numFmtId="9" showAll="0"/>
  </pivotFields>
  <rowFields count="1">
    <field x="0"/>
  </rowFields>
  <rowItems count="6">
    <i>
      <x v="1"/>
    </i>
    <i>
      <x v="15"/>
    </i>
    <i>
      <x v="17"/>
    </i>
    <i>
      <x v="19"/>
    </i>
    <i>
      <x v="28"/>
    </i>
    <i>
      <x v="33"/>
    </i>
  </rowItems>
  <colItems count="1">
    <i/>
  </colItems>
  <dataFields count="1">
    <dataField name="Safety Scores" fld="1"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FB9D6A-53FC-4CB5-AF89-20A209400FA0}"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N1:Q7" firstHeaderRow="0" firstDataRow="1" firstDataCol="1"/>
  <pivotFields count="6">
    <pivotField axis="axisRow" showAll="0">
      <items count="51">
        <item h="1" x="0"/>
        <item x="1"/>
        <item h="1" x="2"/>
        <item h="1" x="3"/>
        <item h="1" x="4"/>
        <item h="1" x="5"/>
        <item h="1" x="6"/>
        <item h="1" x="7"/>
        <item h="1" x="8"/>
        <item h="1" x="9"/>
        <item h="1" x="10"/>
        <item h="1" x="11"/>
        <item h="1" x="12"/>
        <item h="1" x="13"/>
        <item h="1" x="14"/>
        <item x="15"/>
        <item h="1" x="16"/>
        <item x="17"/>
        <item h="1" x="18"/>
        <item x="19"/>
        <item h="1" x="20"/>
        <item h="1" x="21"/>
        <item h="1" x="22"/>
        <item h="1" x="23"/>
        <item h="1" x="24"/>
        <item h="1" x="25"/>
        <item h="1" x="26"/>
        <item h="1" x="27"/>
        <item x="28"/>
        <item h="1" x="29"/>
        <item h="1" x="30"/>
        <item h="1" x="31"/>
        <item h="1" x="32"/>
        <item x="33"/>
        <item h="1" x="34"/>
        <item h="1" x="35"/>
        <item h="1" x="36"/>
        <item h="1" x="37"/>
        <item h="1" x="38"/>
        <item h="1" x="39"/>
        <item h="1" x="40"/>
        <item h="1" x="41"/>
        <item h="1" x="42"/>
        <item h="1" x="43"/>
        <item h="1" x="44"/>
        <item h="1" x="45"/>
        <item h="1" x="46"/>
        <item h="1" x="47"/>
        <item h="1" x="48"/>
        <item h="1" x="49"/>
        <item t="default"/>
      </items>
    </pivotField>
    <pivotField showAll="0"/>
    <pivotField showAll="0"/>
    <pivotField dataField="1" numFmtId="9" showAll="0"/>
    <pivotField dataField="1" numFmtId="9" showAll="0"/>
    <pivotField dataField="1" numFmtId="9" showAll="0"/>
  </pivotFields>
  <rowFields count="1">
    <field x="0"/>
  </rowFields>
  <rowItems count="6">
    <i>
      <x v="1"/>
    </i>
    <i>
      <x v="15"/>
    </i>
    <i>
      <x v="17"/>
    </i>
    <i>
      <x v="19"/>
    </i>
    <i>
      <x v="28"/>
    </i>
    <i>
      <x v="33"/>
    </i>
  </rowItems>
  <colFields count="1">
    <field x="-2"/>
  </colFields>
  <colItems count="3">
    <i>
      <x/>
    </i>
    <i i="1">
      <x v="1"/>
    </i>
    <i i="2">
      <x v="2"/>
    </i>
  </colItems>
  <dataFields count="3">
    <dataField name="Republican" fld="3" baseField="0" baseItem="0"/>
    <dataField name="Not Taking Sides" fld="4" baseField="0" baseItem="0"/>
    <dataField name="Democrats" fld="5" baseField="0" baseItem="0"/>
  </dataFields>
  <formats count="1">
    <format dxfId="16">
      <pivotArea collapsedLevelsAreSubtotals="1" fieldPosition="0">
        <references count="1">
          <reference field="0" count="0"/>
        </references>
      </pivotArea>
    </format>
  </format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967B974-9198-40D6-80E9-9D68A80722DE}" sourceName="State">
  <pivotTables>
    <pivotTable tabId="28" name="PivotTable3"/>
    <pivotTable tabId="28" name="PivotTable2"/>
    <pivotTable tabId="28" name="PivotTable1"/>
  </pivotTables>
  <data>
    <tabular pivotCacheId="808968174">
      <items count="50">
        <i x="0"/>
        <i x="1" s="1"/>
        <i x="2"/>
        <i x="3"/>
        <i x="4"/>
        <i x="5"/>
        <i x="6"/>
        <i x="7"/>
        <i x="8"/>
        <i x="9"/>
        <i x="10"/>
        <i x="11"/>
        <i x="12"/>
        <i x="13"/>
        <i x="14"/>
        <i x="15" s="1"/>
        <i x="16"/>
        <i x="17" s="1"/>
        <i x="18"/>
        <i x="19" s="1"/>
        <i x="20"/>
        <i x="21"/>
        <i x="22"/>
        <i x="23"/>
        <i x="24"/>
        <i x="25"/>
        <i x="26"/>
        <i x="27"/>
        <i x="28" s="1"/>
        <i x="29"/>
        <i x="30"/>
        <i x="31"/>
        <i x="32"/>
        <i x="33" s="1"/>
        <i x="34"/>
        <i x="35"/>
        <i x="36"/>
        <i x="37"/>
        <i x="38"/>
        <i x="39"/>
        <i x="40"/>
        <i x="41"/>
        <i x="42"/>
        <i x="43"/>
        <i x="44"/>
        <i x="45"/>
        <i x="46"/>
        <i x="47"/>
        <i x="48"/>
        <i x="4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FCE8D576-15FF-4068-A86D-C25D5BB3E012}" cache="Slicer_State" caption="State" columnCount="3" style="SlicerStyleDark1"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4ECB69E-8003-7747-9208-B62C576511C8}" name="Top_100_Universities" displayName="Top_100_Universities" ref="A1:N101" totalsRowShown="0" headerRowDxfId="91" dataDxfId="90">
  <autoFilter ref="A1:N101" xr:uid="{94ECB69E-8003-7747-9208-B62C576511C8}"/>
  <tableColumns count="14">
    <tableColumn id="1" xr3:uid="{B337B36B-CF90-5E48-B246-A6349D64C5E2}" name="Rank" dataDxfId="89"/>
    <tableColumn id="2" xr3:uid="{A234377B-F1F8-8847-84FC-9E6F5D168592}" name="University" dataDxfId="88"/>
    <tableColumn id="3" xr3:uid="{3A87FC61-2318-6843-B4F6-93CF354AB67D}" name="Town" dataDxfId="87"/>
    <tableColumn id="4" xr3:uid="{E214314A-995B-5641-9194-CD07F6F8575C}" name="State" dataDxfId="86"/>
    <tableColumn id="7" xr3:uid="{C39615D2-563A-764D-A6D1-D7BC83D48458}" name="State_ab" dataDxfId="85"/>
    <tableColumn id="8" xr3:uid="{96517A02-DD39-804E-A26D-8B6C4548DF23}" name="Type" dataDxfId="84">
      <calculatedColumnFormula>_xlfn.XLOOKUP(Top_100_Universities[[#This Row],[University]],Table1[University],Table1[Type],"NOT FOUND",0)</calculatedColumnFormula>
    </tableColumn>
    <tableColumn id="9" xr3:uid="{CC767F43-6D00-1646-8E5C-DE34B66C37AD}" name="Av. Grant Aid" dataDxfId="83">
      <calculatedColumnFormula>_xlfn.XLOOKUP(Top_100_Universities[[#This Row],[University]],Table1[University],Table1[Av. Grant Aid],"NOT FOUND",0)</calculatedColumnFormula>
    </tableColumn>
    <tableColumn id="10" xr3:uid="{6B4964E4-7663-CD47-923B-73654F9FFE06}" name="Av. Debt" dataDxfId="82">
      <calculatedColumnFormula>_xlfn.XLOOKUP(Top_100_Universities[[#This Row],[University]],Table1[University],Table1[Av. Debt],"NOT FOUND",0)</calculatedColumnFormula>
    </tableColumn>
    <tableColumn id="11" xr3:uid="{1D6A64FB-22E6-5C40-A57B-313A963EBAE8}" name="Median 10-year Salary" dataDxfId="81">
      <calculatedColumnFormula>_xlfn.XLOOKUP(Top_100_Universities[[#This Row],[University]],Table1[University],Table1[Median 10-year Salary],"NOT FOUND",0)</calculatedColumnFormula>
    </tableColumn>
    <tableColumn id="5" xr3:uid="{275BEABB-520D-4FD5-A0C1-5A0967CEEA50}" name="Cost of Living Index" dataDxfId="80">
      <calculatedColumnFormula>_xlfn.XLOOKUP(Top_100_Universities[[#This Row],[Town]],Cost_of_Living[City],Cost_of_Living[Cost of Living Index],"NA",0)</calculatedColumnFormula>
    </tableColumn>
    <tableColumn id="6" xr3:uid="{B43A907F-0D46-4A5F-B8E4-3F9DDAEA6489}" name="Normalized Cost of Living Index" dataDxfId="79">
      <calculatedColumnFormula array="1">_xlfn.XLOOKUP(Top_100_Universities[[#This Row],[Town]], Cost_of_Living[[#All],[City]], Cost_of_Living[[#All],[Normalized Cost of Living]], "NA",0)</calculatedColumnFormula>
    </tableColumn>
    <tableColumn id="12" xr3:uid="{BF901C0D-B876-423D-89BE-97E2F6DC9520}" name="Normalized Crime Rate Index" dataDxfId="78">
      <calculatedColumnFormula array="1">_xlfn.XLOOKUP(Top_100_Universities[[#This Row],[State]], Crime_rate_Index[[#All],[State ]], Crime_rate_Index[[#All],[Normalized Crime Index]], "NA", 0)</calculatedColumnFormula>
    </tableColumn>
    <tableColumn id="13" xr3:uid="{C3E3D0D3-FDD4-47ED-B65D-5F8436BD4707}" name="Normalized Safety Score" dataDxfId="77">
      <calculatedColumnFormula array="1">_xlfn.XLOOKUP(Top_100_Universities[[#This Row],[State]], Safest_States[[#All],[state]], Safest_States[[#All],[Normailzed Safety Score]], "NA", 0)</calculatedColumnFormula>
    </tableColumn>
    <tableColumn id="14" xr3:uid="{9D7B12B6-2B90-489D-B7A1-14DFD166B55A}" name="Overall Score" dataDxfId="76">
      <calculatedColumnFormula>0.4*Top_100_Universities[[#This Row],[Normalized Cost of Living Index]] + 0.3*Top_100_Universities[[#This Row],[Normalized Crime Rate Index]] + 0.3*Top_100_Universities[[#This Row],[Normalized Safety Score]]</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576B82-6162-0441-BEA9-B38C65194DCD}" name="Table1" displayName="Table1" ref="A1:H502" totalsRowCount="1" headerRowDxfId="61" dataDxfId="60">
  <tableColumns count="8">
    <tableColumn id="1" xr3:uid="{3AFAC462-8AF0-254C-ABE8-0957E3A447BB}" name="Rank_Forbes" dataDxfId="59" totalsRowDxfId="58"/>
    <tableColumn id="2" xr3:uid="{93D9D342-D934-2A4C-9CCC-595FD15C473E}" name="University" dataDxfId="57" totalsRowDxfId="56"/>
    <tableColumn id="3" xr3:uid="{C93DDD98-DB4A-5C47-8D0B-B8706FC68E57}" name="State_ab" dataDxfId="55" totalsRowDxfId="54"/>
    <tableColumn id="4" xr3:uid="{E90C35A9-4813-C743-89F5-86B3ED2446AD}" name="Type" dataDxfId="53" totalsRowDxfId="52"/>
    <tableColumn id="5" xr3:uid="{8BBDAB73-B0D8-FF42-A1B3-76A3F2DDB0EE}" name="Av. Grant Aid" dataDxfId="51" totalsRowDxfId="50"/>
    <tableColumn id="6" xr3:uid="{E0616A6D-FB29-9D44-8FA9-0B3DFA452358}" name="Av. Debt" dataDxfId="49" totalsRowDxfId="48"/>
    <tableColumn id="7" xr3:uid="{E46CF36D-8EB0-2748-9902-65437B066EF3}" name="Median 10-year Salary" dataDxfId="47" totalsRowDxfId="46"/>
    <tableColumn id="8" xr3:uid="{4350F0EB-3A82-AD45-83FA-41EEB4D98914}" name="Financial Grade" dataDxfId="45" totalsRowDxfId="4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BF2D89-3EA4-4D7F-9AF9-8294241B7E23}" name="Safest_States" displayName="Safest_States" ref="A1:H51" totalsRowShown="0" headerRowDxfId="43" dataDxfId="42">
  <autoFilter ref="A1:H51" xr:uid="{F2BF2D89-3EA4-4D7F-9AF9-8294241B7E23}"/>
  <tableColumns count="8">
    <tableColumn id="1" xr3:uid="{F9E1A27B-A91A-466A-9297-76F0794ADAEA}" name="state" dataDxfId="41"/>
    <tableColumn id="2" xr3:uid="{740752CA-F806-46D5-80EB-9BCF318C66EF}" name="Total Score" dataDxfId="40"/>
    <tableColumn id="3" xr3:uid="{651FB824-C93B-4786-9B9B-AB0C8E595008}" name="Financial Safety" dataDxfId="39"/>
    <tableColumn id="4" xr3:uid="{31CED204-4A97-4816-9B43-51B49AAC088A}" name="Residential Safety" dataDxfId="38"/>
    <tableColumn id="5" xr3:uid="{7853D74A-5FEE-46F8-B6DF-A789D0A45906}" name="Workplace Safety" dataDxfId="37"/>
    <tableColumn id="6" xr3:uid="{1D6AC45F-8C9F-49A1-91C0-E6FBB4AFAD18}" name="Road Safety" dataDxfId="36"/>
    <tableColumn id="7" xr3:uid="{265170C2-3997-4B13-8FF9-D08D8551EA86}" name="Emergency Preparedness" dataDxfId="35"/>
    <tableColumn id="8" xr3:uid="{CD97A7C9-A9F9-48A3-8520-BFF6FA441808}" name="Normailzed Safety Score" dataDxfId="34">
      <calculatedColumnFormula>(Safest_States[[#This Row],[Total Score]]-MIN(Safest_States[Total Score]))/(MAX(Safest_States[Total Score])-MIN(Safest_States[Total Score]))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F813BA-E1BB-4A0F-A91D-E03F4E0DCE5F}" name="Crime_rate_Index" displayName="Crime_rate_Index" ref="A1:E52" totalsRowShown="0">
  <tableColumns count="5">
    <tableColumn id="1" xr3:uid="{2F47A093-10E1-49FB-AD5E-04F7B45BBE7F}" name="Rank" dataDxfId="33"/>
    <tableColumn id="2" xr3:uid="{92BA85B3-B0C3-4696-B490-39A7A3932CC0}" name="Crime Index ▲" dataDxfId="32"/>
    <tableColumn id="3" xr3:uid="{5CF69C32-BD97-418A-A718-D8388075F022}" name="State " dataCellStyle="Hyperlink"/>
    <tableColumn id="4" xr3:uid="{552B651E-C143-4AD8-AE0E-B611DD40A16E}" name=" Population" dataDxfId="31"/>
    <tableColumn id="5" xr3:uid="{8FBE83F5-04EA-4628-BF35-FE8409D8D99A}" name="Normalized Crime Index" dataDxfId="30">
      <calculatedColumnFormula>1-(Crime_rate_Index[[#This Row],[Crime Index ▲]]-MIN(Crime_rate_Index[Crime Index ▲]))/(MAX(Crime_rate_Index[Crime Index ▲])-MIN(Crime_rate_Index[Crime Index ▲]))</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ABCFE0F-FD97-4893-85FB-F90271F1728F}" name="Party_Affliation_by_States" displayName="Party_Affliation_by_States" ref="A1:E52" totalsRowShown="0" headerRowDxfId="29" dataDxfId="28">
  <autoFilter ref="A1:E52" xr:uid="{4ABCFE0F-FD97-4893-85FB-F90271F1728F}"/>
  <tableColumns count="5">
    <tableColumn id="1" xr3:uid="{9078651D-F94F-4A86-A652-5CD137454B0E}" name="State" dataDxfId="27"/>
    <tableColumn id="2" xr3:uid="{B35FEC00-900A-4624-AB2E-074E69601D61}" name="Republican/lean Rep." dataDxfId="26"/>
    <tableColumn id="3" xr3:uid="{958F9A7B-ED73-4E82-8CB8-4C1367E5F620}" name="No lean" dataDxfId="25"/>
    <tableColumn id="4" xr3:uid="{956C15EE-46E1-4CF7-86FD-4A29C4C066A2}" name="Democrat/lean Dem." dataDxfId="24"/>
    <tableColumn id="5" xr3:uid="{C76E6B39-5430-47A1-B73D-5C7264663454}" name="Sample size" dataDxfId="2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C612471-C134-40EF-A968-E76AD594BE1F}" name="Cost_of_Living" displayName="Cost_of_Living" ref="A1:D531" totalsRowShown="0" headerRowDxfId="22" dataDxfId="21">
  <autoFilter ref="A1:D531" xr:uid="{1C612471-C134-40EF-A968-E76AD594BE1F}"/>
  <tableColumns count="4">
    <tableColumn id="1" xr3:uid="{F3EAFA70-46D9-42BD-9EA8-ACCA8E749234}" name="City" dataDxfId="20"/>
    <tableColumn id="2" xr3:uid="{E5249105-30E3-45F5-A484-49041B9ADEDE}" name="State" dataDxfId="19"/>
    <tableColumn id="3" xr3:uid="{CC47ED57-24ED-4C44-BBDB-37C067FBA240}" name="Cost of Living Index" dataDxfId="18"/>
    <tableColumn id="4" xr3:uid="{BB87CDEF-123A-4BAD-943E-3ADBF29D3E79}" name="Normalized Cost of Living" dataDxfId="17">
      <calculatedColumnFormula>1-([1]!Cost_of_Living[[#This Row],[Cost of Living Index]]-MIN([1]!Cost_of_Living[Cost of Living Index]))/(MAX([1]!Cost_of_Living[Cost of Living Index])-MIN([1]!Cost_of_Living[Cost of Living Index]))</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5694FE-329C-48B0-BA19-B3C234970F3E}" name="Combined_Dataset" displayName="Combined_Dataset" ref="A1:F51" totalsRowShown="0" headerRowDxfId="15">
  <autoFilter ref="A1:F51" xr:uid="{1C5694FE-329C-48B0-BA19-B3C234970F3E}"/>
  <tableColumns count="6">
    <tableColumn id="1" xr3:uid="{E0E62B18-B134-44F0-B3BE-F78A9C2E7896}" name="State" dataDxfId="14"/>
    <tableColumn id="2" xr3:uid="{03FD1F2E-0880-4B7E-9C64-D8E0C0FD8379}" name="Safety Score" dataDxfId="13"/>
    <tableColumn id="3" xr3:uid="{EF414838-5789-411C-A202-D76B201B07F8}" name="Crime Rate" dataDxfId="12">
      <calculatedColumnFormula>_xlfn.XLOOKUP(A2,Crime_rate_Index[[State ]], Crime_rate_Index[Crime Index ▲], "NA", 1)</calculatedColumnFormula>
    </tableColumn>
    <tableColumn id="4" xr3:uid="{F5D4C93C-E114-4592-90EB-3FCA560B4EEF}" name="Republican Lean" dataDxfId="11" dataCellStyle="Percent">
      <calculatedColumnFormula array="1">_xlfn.XLOOKUP(A2, Party_Affliation_by_States[[#All],[State]], Party_Affliation_by_States[[#All],[Republican/lean Rep.]], "NA", 0)</calculatedColumnFormula>
    </tableColumn>
    <tableColumn id="5" xr3:uid="{72A141FF-DD88-4ADB-B375-F91233997B75}" name="No Lean" dataDxfId="10" dataCellStyle="Percent">
      <calculatedColumnFormula array="1">_xlfn.XLOOKUP(A2, Party_Affliation_by_States[[#All],[State]], Party_Affliation_by_States[[#All],[No lean]], "NA", 0)</calculatedColumnFormula>
    </tableColumn>
    <tableColumn id="6" xr3:uid="{6DA6A890-134A-481D-B3ED-F48AD5260A36}" name="Democrat Lean" dataDxfId="9" dataCellStyle="Percent">
      <calculatedColumnFormula array="1">_xlfn.XLOOKUP(A2, Party_Affliation_by_States[[#All],[State]], Party_Affliation_by_States[[#All],[Democrat/lean Dem.]], "NA", 0)</calculatedColumnFormula>
    </tableColumn>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54D6FF4-F854-4A19-8CB4-F8E80970C6B4}" name="Table4" displayName="Table4" ref="G15:H20" totalsRowShown="0">
  <autoFilter ref="G15:H20" xr:uid="{C54D6FF4-F854-4A19-8CB4-F8E80970C6B4}"/>
  <tableColumns count="2">
    <tableColumn id="1" xr3:uid="{A5F0E18C-2D4E-46E6-8921-B16BCF2BBD95}" name="City">
      <calculatedColumnFormula>M2</calculatedColumnFormula>
    </tableColumn>
    <tableColumn id="2" xr3:uid="{9372566D-400E-4137-9C5C-56BCB300C126}" name="Overall Score" dataDxfId="8">
      <calculatedColumnFormula array="1">_xlfn.XLOOKUP(G16,Top_100_Universities[[#All],[Town]], Top_100_Universities[[#All],[Overall Score]], "NA", 0)</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4icu.org/us/" TargetMode="External"/><Relationship Id="rId7" Type="http://schemas.openxmlformats.org/officeDocument/2006/relationships/drawing" Target="../drawings/drawing1.xml"/><Relationship Id="rId2" Type="http://schemas.openxmlformats.org/officeDocument/2006/relationships/hyperlink" Target="https://www.forbes.com/top-colleges/" TargetMode="External"/><Relationship Id="rId1" Type="http://schemas.openxmlformats.org/officeDocument/2006/relationships/hyperlink" Target="https://worldpopulationreview.com/state-rankings/safest-states" TargetMode="External"/><Relationship Id="rId6" Type="http://schemas.openxmlformats.org/officeDocument/2006/relationships/hyperlink" Target="https://www.bestplaces.net/cost-of-living/" TargetMode="External"/><Relationship Id="rId5" Type="http://schemas.openxmlformats.org/officeDocument/2006/relationships/hyperlink" Target="https://www.pewresearch.org/religious-landscape-study/database/compare/party-affiliation/by/state/" TargetMode="External"/><Relationship Id="rId4" Type="http://schemas.openxmlformats.org/officeDocument/2006/relationships/hyperlink" Target="http://www.usa.com/rank/us--crime-index--state-rank.htm?hl=&amp;hlst=&amp;wist=&amp;yr=&amp;dis=&amp;sb=ASC&amp;plow=&amp;phigh=&amp;ps="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hyperlink" Target="https://www.4icu.org/us/" TargetMode="External"/><Relationship Id="rId2" Type="http://schemas.openxmlformats.org/officeDocument/2006/relationships/hyperlink" Target="https://www.forbes.com/top-colleges/" TargetMode="External"/><Relationship Id="rId1" Type="http://schemas.openxmlformats.org/officeDocument/2006/relationships/hyperlink" Target="https://worldpopulationreview.com/state-rankings/safest-states" TargetMode="External"/><Relationship Id="rId6" Type="http://schemas.openxmlformats.org/officeDocument/2006/relationships/hyperlink" Target="https://www.bestplaces.net/cost-of-living/" TargetMode="External"/><Relationship Id="rId5" Type="http://schemas.openxmlformats.org/officeDocument/2006/relationships/hyperlink" Target="https://www.pewresearch.org/religious-landscape-study/database/compare/party-affiliation/by/state/" TargetMode="External"/><Relationship Id="rId4" Type="http://schemas.openxmlformats.org/officeDocument/2006/relationships/hyperlink" Target="http://www.usa.com/rank/us--crime-index--state-rank.htm?hl=&amp;hlst=&amp;wist=&amp;yr=&amp;dis=&amp;sb=ASC&amp;plow=&amp;phigh=&amp;p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7471E-7654-4CA1-8D06-4CF08AA051C8}">
  <sheetPr codeName="Sheet15"/>
  <dimension ref="A6:F23"/>
  <sheetViews>
    <sheetView tabSelected="1" workbookViewId="0">
      <selection activeCell="C14" sqref="C14"/>
    </sheetView>
  </sheetViews>
  <sheetFormatPr defaultRowHeight="14.5"/>
  <cols>
    <col min="1" max="1" width="100.81640625" bestFit="1" customWidth="1"/>
    <col min="2" max="2" width="23.1796875" bestFit="1" customWidth="1"/>
  </cols>
  <sheetData>
    <row r="6" spans="1:6" ht="19.5">
      <c r="A6" s="86" t="s">
        <v>2543</v>
      </c>
    </row>
    <row r="8" spans="1:6" ht="14.5" customHeight="1">
      <c r="A8" s="80" t="s">
        <v>2541</v>
      </c>
      <c r="B8" s="82"/>
      <c r="C8" s="82"/>
      <c r="D8" s="82"/>
      <c r="E8" s="82"/>
      <c r="F8" s="82"/>
    </row>
    <row r="9" spans="1:6">
      <c r="A9" s="81" t="s">
        <v>2538</v>
      </c>
      <c r="B9" s="82"/>
      <c r="C9" s="82"/>
      <c r="D9" s="82"/>
      <c r="E9" s="82"/>
      <c r="F9" s="82"/>
    </row>
    <row r="10" spans="1:6">
      <c r="A10" s="81" t="s">
        <v>2539</v>
      </c>
      <c r="B10" s="83"/>
      <c r="C10" s="83"/>
      <c r="D10" s="83"/>
      <c r="E10" s="83"/>
      <c r="F10" s="83"/>
    </row>
    <row r="11" spans="1:6">
      <c r="A11" s="81" t="s">
        <v>2540</v>
      </c>
      <c r="B11" s="83"/>
      <c r="C11" s="83"/>
      <c r="D11" s="83"/>
      <c r="E11" s="83"/>
      <c r="F11" s="83"/>
    </row>
    <row r="12" spans="1:6">
      <c r="B12" s="83"/>
      <c r="C12" s="83"/>
      <c r="D12" s="83"/>
      <c r="E12" s="83"/>
      <c r="F12" s="83"/>
    </row>
    <row r="14" spans="1:6" ht="19.5">
      <c r="A14" s="87" t="s">
        <v>2542</v>
      </c>
    </row>
    <row r="15" spans="1:6">
      <c r="A15" s="84" t="s">
        <v>2340</v>
      </c>
      <c r="B15" s="81" t="s">
        <v>2346</v>
      </c>
    </row>
    <row r="16" spans="1:6">
      <c r="A16" s="84" t="s">
        <v>2341</v>
      </c>
      <c r="B16" s="81" t="s">
        <v>2342</v>
      </c>
    </row>
    <row r="17" spans="1:2">
      <c r="A17" s="84" t="s">
        <v>2343</v>
      </c>
      <c r="B17" s="81" t="s">
        <v>2344</v>
      </c>
    </row>
    <row r="18" spans="1:2">
      <c r="A18" s="84" t="s">
        <v>2345</v>
      </c>
      <c r="B18" s="81" t="s">
        <v>2347</v>
      </c>
    </row>
    <row r="19" spans="1:2">
      <c r="A19" s="84" t="s">
        <v>2348</v>
      </c>
      <c r="B19" s="81" t="s">
        <v>2349</v>
      </c>
    </row>
    <row r="20" spans="1:2">
      <c r="A20" s="84" t="s">
        <v>2511</v>
      </c>
      <c r="B20" s="81" t="s">
        <v>2510</v>
      </c>
    </row>
    <row r="22" spans="1:2" ht="19.5">
      <c r="A22" s="85" t="s">
        <v>2544</v>
      </c>
    </row>
    <row r="23" spans="1:2">
      <c r="A23" t="s">
        <v>2545</v>
      </c>
    </row>
  </sheetData>
  <hyperlinks>
    <hyperlink ref="A15" r:id="rId1" xr:uid="{5DE09EA8-4A79-444E-8B15-DCD26DC9D032}"/>
    <hyperlink ref="A16" r:id="rId2" xr:uid="{812412EB-D994-4034-852E-446597B3DA62}"/>
    <hyperlink ref="A17" r:id="rId3" xr:uid="{34794CC3-E0A8-4067-B22D-5D9FA0CA7409}"/>
    <hyperlink ref="A18" r:id="rId4" xr:uid="{D4FC15A4-2506-44E8-A16D-260843046DE5}"/>
    <hyperlink ref="A19" r:id="rId5" xr:uid="{BFB3D59D-BF79-49E0-88B9-90A7628F4340}"/>
    <hyperlink ref="A20" r:id="rId6" xr:uid="{F3358017-B42A-4B9E-B781-A03E7DE5B6DA}"/>
  </hyperlinks>
  <pageMargins left="0.7" right="0.7" top="0.75" bottom="0.75" header="0.3" footer="0.3"/>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5D48A-ABE6-6D4E-8654-6F6C2B508EBE}">
  <sheetPr codeName="Sheet7"/>
  <dimension ref="A1:N101"/>
  <sheetViews>
    <sheetView topLeftCell="B1" zoomScale="70" zoomScaleNormal="70" workbookViewId="0">
      <selection activeCell="E36" sqref="E36"/>
    </sheetView>
  </sheetViews>
  <sheetFormatPr defaultColWidth="10.81640625" defaultRowHeight="14.5"/>
  <cols>
    <col min="1" max="1" width="7.26953125" bestFit="1" customWidth="1"/>
    <col min="2" max="2" width="50.7265625" bestFit="1" customWidth="1"/>
    <col min="3" max="3" width="18.1796875" customWidth="1"/>
    <col min="4" max="4" width="16.453125" customWidth="1"/>
    <col min="5" max="5" width="10.81640625" customWidth="1"/>
    <col min="6" max="6" width="17.1796875" customWidth="1"/>
    <col min="7" max="7" width="21.453125" style="29" customWidth="1"/>
    <col min="8" max="8" width="10.81640625" style="29" customWidth="1"/>
    <col min="9" max="9" width="22.453125" style="29" customWidth="1"/>
    <col min="10" max="10" width="17.1796875" style="42" customWidth="1"/>
    <col min="11" max="11" width="27.08984375" style="64" bestFit="1" customWidth="1"/>
    <col min="12" max="12" width="25.54296875" style="64" bestFit="1" customWidth="1"/>
    <col min="13" max="13" width="21.453125" bestFit="1" customWidth="1"/>
    <col min="14" max="14" width="19" customWidth="1"/>
  </cols>
  <sheetData>
    <row r="1" spans="1:14" ht="15.5">
      <c r="A1" s="1" t="s">
        <v>0</v>
      </c>
      <c r="B1" s="1" t="s">
        <v>1</v>
      </c>
      <c r="C1" s="1" t="s">
        <v>2</v>
      </c>
      <c r="D1" s="1" t="s">
        <v>3</v>
      </c>
      <c r="E1" s="1" t="s">
        <v>2331</v>
      </c>
      <c r="F1" s="1" t="s">
        <v>811</v>
      </c>
      <c r="G1" s="27" t="s">
        <v>812</v>
      </c>
      <c r="H1" s="30" t="s">
        <v>813</v>
      </c>
      <c r="I1" s="30" t="s">
        <v>814</v>
      </c>
      <c r="J1" s="40" t="s">
        <v>2361</v>
      </c>
      <c r="K1" s="62" t="s">
        <v>2527</v>
      </c>
      <c r="L1" s="62" t="s">
        <v>2528</v>
      </c>
      <c r="M1" s="1" t="s">
        <v>2529</v>
      </c>
      <c r="N1" s="1" t="s">
        <v>2530</v>
      </c>
    </row>
    <row r="2" spans="1:14">
      <c r="A2" s="2">
        <v>1</v>
      </c>
      <c r="B2" s="2" t="s">
        <v>4</v>
      </c>
      <c r="C2" s="2" t="s">
        <v>5</v>
      </c>
      <c r="D2" s="2" t="s">
        <v>738</v>
      </c>
      <c r="E2" s="10" t="s">
        <v>827</v>
      </c>
      <c r="F2" s="2" t="str">
        <f>_xlfn.XLOOKUP(Top_100_Universities[[#This Row],[University]],Table1[University],Table1[Type],"NOT FOUND",0)</f>
        <v>Private not-for-profit</v>
      </c>
      <c r="G2" s="31">
        <f>_xlfn.XLOOKUP(Top_100_Universities[[#This Row],[University]],Table1[University],Table1[Av. Grant Aid],"NOT FOUND",0)</f>
        <v>45591</v>
      </c>
      <c r="H2" s="31">
        <f>_xlfn.XLOOKUP(Top_100_Universities[[#This Row],[University]],Table1[University],Table1[Av. Debt],"NOT FOUND",0)</f>
        <v>13792</v>
      </c>
      <c r="I2" s="31">
        <f>_xlfn.XLOOKUP(Top_100_Universities[[#This Row],[University]],Table1[University],Table1[Median 10-year Salary],"NOT FOUND",0)</f>
        <v>189400</v>
      </c>
      <c r="J2" s="41">
        <f>_xlfn.XLOOKUP(Top_100_Universities[[#This Row],[Town]],Cost_of_Living[City],Cost_of_Living[Cost of Living Index],"NA",0)</f>
        <v>82</v>
      </c>
      <c r="K2" s="63" cm="1">
        <f t="array" ref="K2">_xlfn.XLOOKUP(Top_100_Universities[[#This Row],[Town]], Cost_of_Living[[#All],[City]], Cost_of_Living[[#All],[Normalized Cost of Living]], "NA",0)</f>
        <v>0.88138686131386856</v>
      </c>
      <c r="L2" s="63" cm="1">
        <f t="array" ref="L2">_xlfn.XLOOKUP(Top_100_Universities[[#This Row],[State]], Crime_rate_Index[[#All],[State ]], Crime_rate_Index[[#All],[Normalized Crime Index]], "NA", 0)</f>
        <v>0.85055416517697535</v>
      </c>
      <c r="M2" s="63" cm="1">
        <f t="array" ref="M2">_xlfn.XLOOKUP(Top_100_Universities[[#This Row],[State]], Safest_States[[#All],[state]], Safest_States[[#All],[Normailzed Safety Score]], "NA", 0)</f>
        <v>0.76393001345895017</v>
      </c>
      <c r="N2" s="63">
        <f>0.4*Top_100_Universities[[#This Row],[Normalized Cost of Living Index]] + 0.3*Top_100_Universities[[#This Row],[Normalized Crime Rate Index]] + 0.3*Top_100_Universities[[#This Row],[Normalized Safety Score]]</f>
        <v>0.83689999811632521</v>
      </c>
    </row>
    <row r="3" spans="1:14">
      <c r="A3" s="2">
        <v>2</v>
      </c>
      <c r="B3" s="2" t="s">
        <v>6</v>
      </c>
      <c r="C3" s="2" t="s">
        <v>5</v>
      </c>
      <c r="D3" s="2" t="s">
        <v>738</v>
      </c>
      <c r="E3" s="10" t="s">
        <v>827</v>
      </c>
      <c r="F3" s="2" t="str">
        <f>_xlfn.XLOOKUP(Top_100_Universities[[#This Row],[University]],Table1[University],Table1[Type],"NOT FOUND",0)</f>
        <v>Private not-for-profit</v>
      </c>
      <c r="G3" s="31">
        <f>_xlfn.XLOOKUP(Top_100_Universities[[#This Row],[University]],Table1[University],Table1[Av. Grant Aid],"NOT FOUND",0)</f>
        <v>61801</v>
      </c>
      <c r="H3" s="31">
        <f>_xlfn.XLOOKUP(Top_100_Universities[[#This Row],[University]],Table1[University],Table1[Av. Debt],"NOT FOUND",0)</f>
        <v>9004</v>
      </c>
      <c r="I3" s="31">
        <f>_xlfn.XLOOKUP(Top_100_Universities[[#This Row],[University]],Table1[University],Table1[Median 10-year Salary],"NOT FOUND",0)</f>
        <v>171400</v>
      </c>
      <c r="J3" s="41">
        <f>_xlfn.XLOOKUP(Top_100_Universities[[#This Row],[Town]],Cost_of_Living[City],Cost_of_Living[Cost of Living Index],"NA",0)</f>
        <v>82</v>
      </c>
      <c r="K3" s="63" cm="1">
        <f t="array" ref="K3">_xlfn.XLOOKUP(Top_100_Universities[[#This Row],[Town]], Cost_of_Living[[#All],[City]], Cost_of_Living[[#All],[Normalized Cost of Living]], "NA",0)</f>
        <v>0.88138686131386856</v>
      </c>
      <c r="L3" s="63" cm="1">
        <f t="array" ref="L3">_xlfn.XLOOKUP(Top_100_Universities[[#This Row],[State]], Crime_rate_Index[[#All],[State ]], Crime_rate_Index[[#All],[Normalized Crime Index]], "NA", 0)</f>
        <v>0.85055416517697535</v>
      </c>
      <c r="M3" s="63" cm="1">
        <f t="array" ref="M3">_xlfn.XLOOKUP(Top_100_Universities[[#This Row],[State]], Safest_States[[#All],[state]], Safest_States[[#All],[Normailzed Safety Score]], "NA", 0)</f>
        <v>0.76393001345895017</v>
      </c>
      <c r="N3" s="63">
        <f>0.4*Top_100_Universities[[#This Row],[Normalized Cost of Living Index]] + 0.3*Top_100_Universities[[#This Row],[Normalized Crime Rate Index]] + 0.3*Top_100_Universities[[#This Row],[Normalized Safety Score]]</f>
        <v>0.83689999811632521</v>
      </c>
    </row>
    <row r="4" spans="1:14">
      <c r="A4" s="2">
        <v>3</v>
      </c>
      <c r="B4" s="2" t="s">
        <v>7</v>
      </c>
      <c r="C4" s="2" t="s">
        <v>739</v>
      </c>
      <c r="D4" s="2" t="s">
        <v>666</v>
      </c>
      <c r="E4" s="10" t="s">
        <v>822</v>
      </c>
      <c r="F4" s="2" t="str">
        <f>_xlfn.XLOOKUP(Top_100_Universities[[#This Row],[University]],Table1[University],Table1[Type],"NOT FOUND",0)</f>
        <v>Private not-for-profit</v>
      </c>
      <c r="G4" s="31">
        <f>_xlfn.XLOOKUP(Top_100_Universities[[#This Row],[University]],Table1[University],Table1[Av. Grant Aid],"NOT FOUND",0)</f>
        <v>60619</v>
      </c>
      <c r="H4" s="31">
        <f>_xlfn.XLOOKUP(Top_100_Universities[[#This Row],[University]],Table1[University],Table1[Av. Debt],"NOT FOUND",0)</f>
        <v>12999</v>
      </c>
      <c r="I4" s="31">
        <f>_xlfn.XLOOKUP(Top_100_Universities[[#This Row],[University]],Table1[University],Table1[Median 10-year Salary],"NOT FOUND",0)</f>
        <v>177500</v>
      </c>
      <c r="J4" s="41">
        <f>_xlfn.XLOOKUP(Top_100_Universities[[#This Row],[Town]],Cost_of_Living[City],Cost_of_Living[Cost of Living Index],"NA",0)</f>
        <v>85.1</v>
      </c>
      <c r="K4" s="63" cm="1">
        <f t="array" ref="K4">_xlfn.XLOOKUP(Top_100_Universities[[#This Row],[Town]], Cost_of_Living[[#All],[City]], Cost_of_Living[[#All],[Normalized Cost of Living]], "NA",0)</f>
        <v>0.85310218978102192</v>
      </c>
      <c r="L4" s="63" cm="1">
        <f t="array" ref="L4">_xlfn.XLOOKUP(Top_100_Universities[[#This Row],[State]], Crime_rate_Index[[#All],[State ]], Crime_rate_Index[[#All],[Normalized Crime Index]], "NA", 0)</f>
        <v>0.73149803360743659</v>
      </c>
      <c r="M4" s="63" cm="1">
        <f t="array" ref="M4">_xlfn.XLOOKUP(Top_100_Universities[[#This Row],[State]], Safest_States[[#All],[state]], Safest_States[[#All],[Normailzed Safety Score]], "NA", 0)</f>
        <v>0.46567967698519502</v>
      </c>
      <c r="N4" s="63">
        <f>0.4*Top_100_Universities[[#This Row],[Normalized Cost of Living Index]] + 0.3*Top_100_Universities[[#This Row],[Normalized Crime Rate Index]] + 0.3*Top_100_Universities[[#This Row],[Normalized Safety Score]]</f>
        <v>0.70039418909019824</v>
      </c>
    </row>
    <row r="5" spans="1:14">
      <c r="A5" s="2">
        <v>4</v>
      </c>
      <c r="B5" s="2" t="s">
        <v>8</v>
      </c>
      <c r="C5" s="2" t="s">
        <v>9</v>
      </c>
      <c r="D5" s="2" t="s">
        <v>740</v>
      </c>
      <c r="E5" s="10" t="s">
        <v>840</v>
      </c>
      <c r="F5" s="2" t="str">
        <f>_xlfn.XLOOKUP(Top_100_Universities[[#This Row],[University]],Table1[University],Table1[Type],"NOT FOUND",0)</f>
        <v>Private not-for-profit</v>
      </c>
      <c r="G5" s="31">
        <f>_xlfn.XLOOKUP(Top_100_Universities[[#This Row],[University]],Table1[University],Table1[Av. Grant Aid],"NOT FOUND",0)</f>
        <v>54219</v>
      </c>
      <c r="H5" s="31">
        <f>_xlfn.XLOOKUP(Top_100_Universities[[#This Row],[University]],Table1[University],Table1[Av. Debt],"NOT FOUND",0)</f>
        <v>8309</v>
      </c>
      <c r="I5" s="31">
        <f>_xlfn.XLOOKUP(Top_100_Universities[[#This Row],[University]],Table1[University],Table1[Median 10-year Salary],"NOT FOUND",0)</f>
        <v>155400</v>
      </c>
      <c r="J5" s="41">
        <f>_xlfn.XLOOKUP(Top_100_Universities[[#This Row],[Town]],Cost_of_Living[City],Cost_of_Living[Cost of Living Index],"NA",0)</f>
        <v>101.7</v>
      </c>
      <c r="K5" s="63" cm="1">
        <f t="array" ref="K5">_xlfn.XLOOKUP(Top_100_Universities[[#This Row],[Town]], Cost_of_Living[[#All],[City]], Cost_of_Living[[#All],[Normalized Cost of Living]], "NA",0)</f>
        <v>0.70164233576642332</v>
      </c>
      <c r="L5" s="63" cm="1">
        <f t="array" ref="L5">_xlfn.XLOOKUP(Top_100_Universities[[#This Row],[State]], Crime_rate_Index[[#All],[State ]], Crime_rate_Index[[#All],[Normalized Crime Index]], "NA", 0)</f>
        <v>0.91276367536646408</v>
      </c>
      <c r="M5" s="63" cm="1">
        <f t="array" ref="M5">_xlfn.XLOOKUP(Top_100_Universities[[#This Row],[State]], Safest_States[[#All],[state]], Safest_States[[#All],[Normailzed Safety Score]], "NA", 0)</f>
        <v>0.54589502018842528</v>
      </c>
      <c r="N5" s="63">
        <f>0.4*Top_100_Universities[[#This Row],[Normalized Cost of Living Index]] + 0.3*Top_100_Universities[[#This Row],[Normalized Crime Rate Index]] + 0.3*Top_100_Universities[[#This Row],[Normalized Safety Score]]</f>
        <v>0.71825454297303615</v>
      </c>
    </row>
    <row r="6" spans="1:14">
      <c r="A6" s="2">
        <v>5</v>
      </c>
      <c r="B6" s="2" t="s">
        <v>10</v>
      </c>
      <c r="C6" s="2" t="s">
        <v>725</v>
      </c>
      <c r="D6" s="2" t="s">
        <v>666</v>
      </c>
      <c r="E6" s="10" t="s">
        <v>822</v>
      </c>
      <c r="F6" s="2" t="str">
        <f>_xlfn.XLOOKUP(Top_100_Universities[[#This Row],[University]],Table1[University],Table1[Type],"NOT FOUND",0)</f>
        <v>Public</v>
      </c>
      <c r="G6" s="31">
        <f>_xlfn.XLOOKUP(Top_100_Universities[[#This Row],[University]],Table1[University],Table1[Av. Grant Aid],"NOT FOUND",0)</f>
        <v>21669</v>
      </c>
      <c r="H6" s="31">
        <f>_xlfn.XLOOKUP(Top_100_Universities[[#This Row],[University]],Table1[University],Table1[Av. Debt],"NOT FOUND",0)</f>
        <v>7238</v>
      </c>
      <c r="I6" s="31">
        <f>_xlfn.XLOOKUP(Top_100_Universities[[#This Row],[University]],Table1[University],Table1[Median 10-year Salary],"NOT FOUND",0)</f>
        <v>167000</v>
      </c>
      <c r="J6" s="41">
        <f>_xlfn.XLOOKUP(Top_100_Universities[[#This Row],[Town]],Cost_of_Living[City],Cost_of_Living[Cost of Living Index],"NA",0)</f>
        <v>95.5</v>
      </c>
      <c r="K6" s="63" cm="1">
        <f t="array" ref="K6">_xlfn.XLOOKUP(Top_100_Universities[[#This Row],[Town]], Cost_of_Living[[#All],[City]], Cost_of_Living[[#All],[Normalized Cost of Living]], "NA",0)</f>
        <v>0.75821167883211671</v>
      </c>
      <c r="L6" s="63" cm="1">
        <f t="array" ref="L6">_xlfn.XLOOKUP(Top_100_Universities[[#This Row],[State]], Crime_rate_Index[[#All],[State ]], Crime_rate_Index[[#All],[Normalized Crime Index]], "NA", 0)</f>
        <v>0.73149803360743659</v>
      </c>
      <c r="M6" s="63" cm="1">
        <f t="array" ref="M6">_xlfn.XLOOKUP(Top_100_Universities[[#This Row],[State]], Safest_States[[#All],[state]], Safest_States[[#All],[Normailzed Safety Score]], "NA", 0)</f>
        <v>0.46567967698519502</v>
      </c>
      <c r="N6" s="63">
        <f>0.4*Top_100_Universities[[#This Row],[Normalized Cost of Living Index]] + 0.3*Top_100_Universities[[#This Row],[Normalized Crime Rate Index]] + 0.3*Top_100_Universities[[#This Row],[Normalized Safety Score]]</f>
        <v>0.6624379847106362</v>
      </c>
    </row>
    <row r="7" spans="1:14">
      <c r="A7" s="2">
        <v>6</v>
      </c>
      <c r="B7" s="2" t="s">
        <v>11</v>
      </c>
      <c r="C7" s="2" t="s">
        <v>705</v>
      </c>
      <c r="D7" s="2" t="s">
        <v>741</v>
      </c>
      <c r="E7" s="10" t="s">
        <v>922</v>
      </c>
      <c r="F7" s="2" t="str">
        <f>_xlfn.XLOOKUP(Top_100_Universities[[#This Row],[University]],Table1[University],Table1[Type],"NOT FOUND",0)</f>
        <v>Public</v>
      </c>
      <c r="G7" s="31">
        <f>_xlfn.XLOOKUP(Top_100_Universities[[#This Row],[University]],Table1[University],Table1[Av. Grant Aid],"NOT FOUND",0)</f>
        <v>15121</v>
      </c>
      <c r="H7" s="31">
        <f>_xlfn.XLOOKUP(Top_100_Universities[[#This Row],[University]],Table1[University],Table1[Av. Debt],"NOT FOUND",0)</f>
        <v>8470</v>
      </c>
      <c r="I7" s="31">
        <f>_xlfn.XLOOKUP(Top_100_Universities[[#This Row],[University]],Table1[University],Table1[Median 10-year Salary],"NOT FOUND",0)</f>
        <v>137500</v>
      </c>
      <c r="J7" s="41">
        <f>_xlfn.XLOOKUP(Top_100_Universities[[#This Row],[Town]],Cost_of_Living[City],Cost_of_Living[Cost of Living Index],"NA",0)</f>
        <v>99.3</v>
      </c>
      <c r="K7" s="63" cm="1">
        <f t="array" ref="K7">_xlfn.XLOOKUP(Top_100_Universities[[#This Row],[Town]], Cost_of_Living[[#All],[City]], Cost_of_Living[[#All],[Normalized Cost of Living]], "NA",0)</f>
        <v>0.7235401459854014</v>
      </c>
      <c r="L7" s="63" cm="1">
        <f t="array" ref="L7">_xlfn.XLOOKUP(Top_100_Universities[[#This Row],[State]], Crime_rate_Index[[#All],[State ]], Crime_rate_Index[[#All],[Normalized Crime Index]], "NA", 0)</f>
        <v>0.71147658205219877</v>
      </c>
      <c r="M7" s="63" cm="1">
        <f t="array" ref="M7">_xlfn.XLOOKUP(Top_100_Universities[[#This Row],[State]], Safest_States[[#All],[state]], Safest_States[[#All],[Normailzed Safety Score]], "NA", 0)</f>
        <v>0.48855989232839825</v>
      </c>
      <c r="N7" s="63">
        <f>0.4*Top_100_Universities[[#This Row],[Normalized Cost of Living Index]] + 0.3*Top_100_Universities[[#This Row],[Normalized Crime Rate Index]] + 0.3*Top_100_Universities[[#This Row],[Normalized Safety Score]]</f>
        <v>0.64942700070833959</v>
      </c>
    </row>
    <row r="8" spans="1:14">
      <c r="A8" s="2">
        <v>7</v>
      </c>
      <c r="B8" s="2" t="s">
        <v>12</v>
      </c>
      <c r="C8" s="2" t="s">
        <v>346</v>
      </c>
      <c r="D8" s="2" t="s">
        <v>71</v>
      </c>
      <c r="E8" s="10" t="s">
        <v>979</v>
      </c>
      <c r="F8" s="2" t="str">
        <f>_xlfn.XLOOKUP(Top_100_Universities[[#This Row],[University]],Table1[University],Table1[Type],"NOT FOUND",0)</f>
        <v>Public</v>
      </c>
      <c r="G8" s="31">
        <f>_xlfn.XLOOKUP(Top_100_Universities[[#This Row],[University]],Table1[University],Table1[Av. Grant Aid],"NOT FOUND",0)</f>
        <v>14731</v>
      </c>
      <c r="H8" s="31">
        <f>_xlfn.XLOOKUP(Top_100_Universities[[#This Row],[University]],Table1[University],Table1[Av. Debt],"NOT FOUND",0)</f>
        <v>6169</v>
      </c>
      <c r="I8" s="31">
        <f>_xlfn.XLOOKUP(Top_100_Universities[[#This Row],[University]],Table1[University],Table1[Median 10-year Salary],"NOT FOUND",0)</f>
        <v>136800</v>
      </c>
      <c r="J8" s="41">
        <f>_xlfn.XLOOKUP(Top_100_Universities[[#This Row],[Town]],Cost_of_Living[City],Cost_of_Living[Cost of Living Index],"NA",0)</f>
        <v>124.6</v>
      </c>
      <c r="K8" s="63" cm="1">
        <f t="array" ref="K8">_xlfn.XLOOKUP(Top_100_Universities[[#This Row],[Town]], Cost_of_Living[[#All],[City]], Cost_of_Living[[#All],[Normalized Cost of Living]], "NA",0)</f>
        <v>0.49270072992700731</v>
      </c>
      <c r="L8" s="63" cm="1">
        <f t="array" ref="L8">_xlfn.XLOOKUP(Top_100_Universities[[#This Row],[State]], Crime_rate_Index[[#All],[State ]], Crime_rate_Index[[#All],[Normalized Crime Index]], "NA", 0)</f>
        <v>0.67643904183053272</v>
      </c>
      <c r="M8" s="63" cm="1">
        <f t="array" ref="M8">_xlfn.XLOOKUP(Top_100_Universities[[#This Row],[State]], Safest_States[[#All],[state]], Safest_States[[#All],[Normailzed Safety Score]], "NA", 0)</f>
        <v>0.74831763122476425</v>
      </c>
      <c r="N8" s="63">
        <f>0.4*Top_100_Universities[[#This Row],[Normalized Cost of Living Index]] + 0.3*Top_100_Universities[[#This Row],[Normalized Crime Rate Index]] + 0.3*Top_100_Universities[[#This Row],[Normalized Safety Score]]</f>
        <v>0.62450729388739201</v>
      </c>
    </row>
    <row r="9" spans="1:14">
      <c r="A9" s="2">
        <v>8</v>
      </c>
      <c r="B9" s="2" t="s">
        <v>13</v>
      </c>
      <c r="C9" s="2" t="s">
        <v>14</v>
      </c>
      <c r="D9" s="2" t="s">
        <v>740</v>
      </c>
      <c r="E9" s="10" t="s">
        <v>840</v>
      </c>
      <c r="F9" s="2" t="str">
        <f>_xlfn.XLOOKUP(Top_100_Universities[[#This Row],[University]],Table1[University],Table1[Type],"NOT FOUND",0)</f>
        <v>Private not-for-profit</v>
      </c>
      <c r="G9" s="31">
        <f>_xlfn.XLOOKUP(Top_100_Universities[[#This Row],[University]],Table1[University],Table1[Av. Grant Aid],"NOT FOUND",0)</f>
        <v>61061</v>
      </c>
      <c r="H9" s="31">
        <f>_xlfn.XLOOKUP(Top_100_Universities[[#This Row],[University]],Table1[University],Table1[Av. Debt],"NOT FOUND",0)</f>
        <v>16849</v>
      </c>
      <c r="I9" s="31">
        <f>_xlfn.XLOOKUP(Top_100_Universities[[#This Row],[University]],Table1[University],Table1[Median 10-year Salary],"NOT FOUND",0)</f>
        <v>156000</v>
      </c>
      <c r="J9" s="41">
        <f>_xlfn.XLOOKUP(Top_100_Universities[[#This Row],[Town]],Cost_of_Living[City],Cost_of_Living[Cost of Living Index],"NA",0)</f>
        <v>148.19999999999999</v>
      </c>
      <c r="K9" s="63" cm="1">
        <f t="array" ref="K9">_xlfn.XLOOKUP(Top_100_Universities[[#This Row],[Town]], Cost_of_Living[[#All],[City]], Cost_of_Living[[#All],[Normalized Cost of Living]], "NA",0)</f>
        <v>0.27737226277372273</v>
      </c>
      <c r="L9" s="63" cm="1">
        <f t="array" ref="L9">_xlfn.XLOOKUP(Top_100_Universities[[#This Row],[State]], Crime_rate_Index[[#All],[State ]], Crime_rate_Index[[#All],[Normalized Crime Index]], "NA", 0)</f>
        <v>0.91276367536646408</v>
      </c>
      <c r="M9" s="63" cm="1">
        <f t="array" ref="M9">_xlfn.XLOOKUP(Top_100_Universities[[#This Row],[State]], Safest_States[[#All],[state]], Safest_States[[#All],[Normailzed Safety Score]], "NA", 0)</f>
        <v>0.54589502018842528</v>
      </c>
      <c r="N9" s="63">
        <f>0.4*Top_100_Universities[[#This Row],[Normalized Cost of Living Index]] + 0.3*Top_100_Universities[[#This Row],[Normalized Crime Rate Index]] + 0.3*Top_100_Universities[[#This Row],[Normalized Safety Score]]</f>
        <v>0.54854651377595587</v>
      </c>
    </row>
    <row r="10" spans="1:14">
      <c r="A10" s="2">
        <v>9</v>
      </c>
      <c r="B10" s="2" t="s">
        <v>15</v>
      </c>
      <c r="C10" s="2" t="s">
        <v>41</v>
      </c>
      <c r="D10" s="2" t="s">
        <v>666</v>
      </c>
      <c r="E10" s="10" t="s">
        <v>822</v>
      </c>
      <c r="F10" s="2" t="str">
        <f>_xlfn.XLOOKUP(Top_100_Universities[[#This Row],[University]],Table1[University],Table1[Type],"NOT FOUND",0)</f>
        <v>Public</v>
      </c>
      <c r="G10" s="31">
        <f>_xlfn.XLOOKUP(Top_100_Universities[[#This Row],[University]],Table1[University],Table1[Av. Grant Aid],"NOT FOUND",0)</f>
        <v>21766</v>
      </c>
      <c r="H10" s="31">
        <f>_xlfn.XLOOKUP(Top_100_Universities[[#This Row],[University]],Table1[University],Table1[Av. Debt],"NOT FOUND",0)</f>
        <v>6418</v>
      </c>
      <c r="I10" s="31">
        <f>_xlfn.XLOOKUP(Top_100_Universities[[#This Row],[University]],Table1[University],Table1[Median 10-year Salary],"NOT FOUND",0)</f>
        <v>144400</v>
      </c>
      <c r="J10" s="41">
        <f>_xlfn.XLOOKUP(Top_100_Universities[[#This Row],[Town]],Cost_of_Living[City],Cost_of_Living[Cost of Living Index],"NA",0)</f>
        <v>140.6</v>
      </c>
      <c r="K10" s="63" cm="1">
        <f t="array" ref="K10">_xlfn.XLOOKUP(Top_100_Universities[[#This Row],[Town]], Cost_of_Living[[#All],[City]], Cost_of_Living[[#All],[Normalized Cost of Living]], "NA",0)</f>
        <v>0.34671532846715325</v>
      </c>
      <c r="L10" s="63" cm="1">
        <f t="array" ref="L10">_xlfn.XLOOKUP(Top_100_Universities[[#This Row],[State]], Crime_rate_Index[[#All],[State ]], Crime_rate_Index[[#All],[Normalized Crime Index]], "NA", 0)</f>
        <v>0.73149803360743659</v>
      </c>
      <c r="M10" s="63" cm="1">
        <f t="array" ref="M10">_xlfn.XLOOKUP(Top_100_Universities[[#This Row],[State]], Safest_States[[#All],[state]], Safest_States[[#All],[Normailzed Safety Score]], "NA", 0)</f>
        <v>0.46567967698519502</v>
      </c>
      <c r="N10" s="63">
        <f>0.4*Top_100_Universities[[#This Row],[Normalized Cost of Living Index]] + 0.3*Top_100_Universities[[#This Row],[Normalized Crime Rate Index]] + 0.3*Top_100_Universities[[#This Row],[Normalized Safety Score]]</f>
        <v>0.49783944456465079</v>
      </c>
    </row>
    <row r="11" spans="1:14">
      <c r="A11" s="2">
        <v>10</v>
      </c>
      <c r="B11" s="2" t="s">
        <v>16</v>
      </c>
      <c r="C11" s="2" t="s">
        <v>17</v>
      </c>
      <c r="D11" s="2" t="s">
        <v>742</v>
      </c>
      <c r="E11" s="10" t="s">
        <v>831</v>
      </c>
      <c r="F11" s="2" t="str">
        <f>_xlfn.XLOOKUP(Top_100_Universities[[#This Row],[University]],Table1[University],Table1[Type],"NOT FOUND",0)</f>
        <v>Private not-for-profit</v>
      </c>
      <c r="G11" s="31">
        <f>_xlfn.XLOOKUP(Top_100_Universities[[#This Row],[University]],Table1[University],Table1[Av. Grant Aid],"NOT FOUND",0)</f>
        <v>63523</v>
      </c>
      <c r="H11" s="31">
        <f>_xlfn.XLOOKUP(Top_100_Universities[[#This Row],[University]],Table1[University],Table1[Av. Debt],"NOT FOUND",0)</f>
        <v>4926</v>
      </c>
      <c r="I11" s="31">
        <f>_xlfn.XLOOKUP(Top_100_Universities[[#This Row],[University]],Table1[University],Table1[Median 10-year Salary],"NOT FOUND",0)</f>
        <v>168300</v>
      </c>
      <c r="J11" s="41">
        <f>_xlfn.XLOOKUP(Top_100_Universities[[#This Row],[Town]],Cost_of_Living[City],Cost_of_Living[Cost of Living Index],"NA",0)</f>
        <v>107.7</v>
      </c>
      <c r="K11" s="63" cm="1">
        <f t="array" ref="K11">_xlfn.XLOOKUP(Top_100_Universities[[#This Row],[Town]], Cost_of_Living[[#All],[City]], Cost_of_Living[[#All],[Normalized Cost of Living]], "NA",0)</f>
        <v>0.64689781021897808</v>
      </c>
      <c r="L11" s="63" cm="1">
        <f t="array" ref="L11">_xlfn.XLOOKUP(Top_100_Universities[[#This Row],[State]], Crime_rate_Index[[#All],[State ]], Crime_rate_Index[[#All],[Normalized Crime Index]], "NA", 0)</f>
        <v>0.92098677154093678</v>
      </c>
      <c r="M11" s="63" cm="1">
        <f t="array" ref="M11">_xlfn.XLOOKUP(Top_100_Universities[[#This Row],[State]], Safest_States[[#All],[state]], Safest_States[[#All],[Normailzed Safety Score]], "NA", 0)</f>
        <v>0.7601615074024225</v>
      </c>
      <c r="N11" s="63">
        <f>0.4*Top_100_Universities[[#This Row],[Normalized Cost of Living Index]] + 0.3*Top_100_Universities[[#This Row],[Normalized Crime Rate Index]] + 0.3*Top_100_Universities[[#This Row],[Normalized Safety Score]]</f>
        <v>0.76310360777059905</v>
      </c>
    </row>
    <row r="12" spans="1:14">
      <c r="A12" s="2">
        <v>11</v>
      </c>
      <c r="B12" s="2" t="s">
        <v>18</v>
      </c>
      <c r="C12" s="2" t="s">
        <v>19</v>
      </c>
      <c r="D12" s="2" t="s">
        <v>743</v>
      </c>
      <c r="E12" s="10" t="s">
        <v>844</v>
      </c>
      <c r="F12" s="2" t="str">
        <f>_xlfn.XLOOKUP(Top_100_Universities[[#This Row],[University]],Table1[University],Table1[Type],"NOT FOUND",0)</f>
        <v>Private not-for-profit</v>
      </c>
      <c r="G12" s="31">
        <f>_xlfn.XLOOKUP(Top_100_Universities[[#This Row],[University]],Table1[University],Table1[Av. Grant Aid],"NOT FOUND",0)</f>
        <v>57175</v>
      </c>
      <c r="H12" s="31">
        <f>_xlfn.XLOOKUP(Top_100_Universities[[#This Row],[University]],Table1[University],Table1[Av. Debt],"NOT FOUND",0)</f>
        <v>12499</v>
      </c>
      <c r="I12" s="31">
        <f>_xlfn.XLOOKUP(Top_100_Universities[[#This Row],[University]],Table1[University],Table1[Median 10-year Salary],"NOT FOUND",0)</f>
        <v>171800</v>
      </c>
      <c r="J12" s="41">
        <f>_xlfn.XLOOKUP(Top_100_Universities[[#This Row],[Town]],Cost_of_Living[City],Cost_of_Living[Cost of Living Index],"NA",0)</f>
        <v>103.4</v>
      </c>
      <c r="K12" s="63" cm="1">
        <f t="array" ref="K12">_xlfn.XLOOKUP(Top_100_Universities[[#This Row],[Town]], Cost_of_Living[[#All],[City]], Cost_of_Living[[#All],[Normalized Cost of Living]], "NA",0)</f>
        <v>0.68613138686131381</v>
      </c>
      <c r="L12" s="63" cm="1">
        <f t="array" ref="L12">_xlfn.XLOOKUP(Top_100_Universities[[#This Row],[State]], Crime_rate_Index[[#All],[State ]], Crime_rate_Index[[#All],[Normalized Crime Index]], "NA", 0)</f>
        <v>0.86235252055774048</v>
      </c>
      <c r="M12" s="63" cm="1">
        <f t="array" ref="M12">_xlfn.XLOOKUP(Top_100_Universities[[#This Row],[State]], Safest_States[[#All],[state]], Safest_States[[#All],[Normailzed Safety Score]], "NA", 0)</f>
        <v>0.45410497981157455</v>
      </c>
      <c r="N12" s="63">
        <f>0.4*Top_100_Universities[[#This Row],[Normalized Cost of Living Index]] + 0.3*Top_100_Universities[[#This Row],[Normalized Crime Rate Index]] + 0.3*Top_100_Universities[[#This Row],[Normalized Safety Score]]</f>
        <v>0.66938980485531996</v>
      </c>
    </row>
    <row r="13" spans="1:14">
      <c r="A13" s="2">
        <v>12</v>
      </c>
      <c r="B13" s="2" t="s">
        <v>20</v>
      </c>
      <c r="C13" s="2" t="s">
        <v>21</v>
      </c>
      <c r="D13" s="2" t="s">
        <v>744</v>
      </c>
      <c r="E13" s="10" t="s">
        <v>1000</v>
      </c>
      <c r="F13" s="2" t="str">
        <f>_xlfn.XLOOKUP(Top_100_Universities[[#This Row],[University]],Table1[University],Table1[Type],"NOT FOUND",0)</f>
        <v>Public</v>
      </c>
      <c r="G13" s="31">
        <f>_xlfn.XLOOKUP(Top_100_Universities[[#This Row],[University]],Table1[University],Table1[Av. Grant Aid],"NOT FOUND",0)</f>
        <v>11171</v>
      </c>
      <c r="H13" s="31">
        <f>_xlfn.XLOOKUP(Top_100_Universities[[#This Row],[University]],Table1[University],Table1[Av. Debt],"NOT FOUND",0)</f>
        <v>9299</v>
      </c>
      <c r="I13" s="31">
        <f>_xlfn.XLOOKUP(Top_100_Universities[[#This Row],[University]],Table1[University],Table1[Median 10-year Salary],"NOT FOUND",0)</f>
        <v>125900</v>
      </c>
      <c r="J13" s="41">
        <f>_xlfn.XLOOKUP(Top_100_Universities[[#This Row],[Town]],Cost_of_Living[City],Cost_of_Living[Cost of Living Index],"NA",0)</f>
        <v>99.5</v>
      </c>
      <c r="K13" s="63" cm="1">
        <f t="array" ref="K13">_xlfn.XLOOKUP(Top_100_Universities[[#This Row],[Town]], Cost_of_Living[[#All],[City]], Cost_of_Living[[#All],[Normalized Cost of Living]], "NA",0)</f>
        <v>0.72171532846715325</v>
      </c>
      <c r="L13" s="63" cm="1">
        <f t="array" ref="L13">_xlfn.XLOOKUP(Top_100_Universities[[#This Row],[State]], Crime_rate_Index[[#All],[State ]], Crime_rate_Index[[#All],[Normalized Crime Index]], "NA", 0)</f>
        <v>0.90096531998569895</v>
      </c>
      <c r="M13" s="63" cm="1">
        <f t="array" ref="M13">_xlfn.XLOOKUP(Top_100_Universities[[#This Row],[State]], Safest_States[[#All],[state]], Safest_States[[#All],[Normailzed Safety Score]], "NA", 0)</f>
        <v>0.53243606998654103</v>
      </c>
      <c r="N13" s="63">
        <f>0.4*Top_100_Universities[[#This Row],[Normalized Cost of Living Index]] + 0.3*Top_100_Universities[[#This Row],[Normalized Crime Rate Index]] + 0.3*Top_100_Universities[[#This Row],[Normalized Safety Score]]</f>
        <v>0.71870654837853332</v>
      </c>
    </row>
    <row r="14" spans="1:14">
      <c r="A14" s="2">
        <v>13</v>
      </c>
      <c r="B14" s="2" t="s">
        <v>22</v>
      </c>
      <c r="C14" s="2" t="s">
        <v>23</v>
      </c>
      <c r="D14" s="2" t="s">
        <v>745</v>
      </c>
      <c r="E14" s="10" t="s">
        <v>851</v>
      </c>
      <c r="F14" s="2" t="str">
        <f>_xlfn.XLOOKUP(Top_100_Universities[[#This Row],[University]],Table1[University],Table1[Type],"NOT FOUND",0)</f>
        <v>Public</v>
      </c>
      <c r="G14" s="31">
        <f>_xlfn.XLOOKUP(Top_100_Universities[[#This Row],[University]],Table1[University],Table1[Av. Grant Aid],"NOT FOUND",0)</f>
        <v>8321</v>
      </c>
      <c r="H14" s="31">
        <f>_xlfn.XLOOKUP(Top_100_Universities[[#This Row],[University]],Table1[University],Table1[Av. Debt],"NOT FOUND",0)</f>
        <v>5851</v>
      </c>
      <c r="I14" s="31">
        <f>_xlfn.XLOOKUP(Top_100_Universities[[#This Row],[University]],Table1[University],Table1[Median 10-year Salary],"NOT FOUND",0)</f>
        <v>137000</v>
      </c>
      <c r="J14" s="41">
        <f>_xlfn.XLOOKUP(Top_100_Universities[[#This Row],[Town]],Cost_of_Living[City],Cost_of_Living[Cost of Living Index],"NA",0)</f>
        <v>106.6</v>
      </c>
      <c r="K14" s="63" cm="1">
        <f t="array" ref="K14">_xlfn.XLOOKUP(Top_100_Universities[[#This Row],[Town]], Cost_of_Living[[#All],[City]], Cost_of_Living[[#All],[Normalized Cost of Living]], "NA",0)</f>
        <v>0.65693430656934315</v>
      </c>
      <c r="L14" s="63" cm="1">
        <f t="array" ref="L14">_xlfn.XLOOKUP(Top_100_Universities[[#This Row],[State]], Crime_rate_Index[[#All],[State ]], Crime_rate_Index[[#All],[Normalized Crime Index]], "NA", 0)</f>
        <v>0.63818376832320345</v>
      </c>
      <c r="M14" s="63" cm="1">
        <f t="array" ref="M14">_xlfn.XLOOKUP(Top_100_Universities[[#This Row],[State]], Safest_States[[#All],[state]], Safest_States[[#All],[Normailzed Safety Score]], "NA", 0)</f>
        <v>0.13808882907133249</v>
      </c>
      <c r="N14" s="63">
        <f>0.4*Top_100_Universities[[#This Row],[Normalized Cost of Living Index]] + 0.3*Top_100_Universities[[#This Row],[Normalized Crime Rate Index]] + 0.3*Top_100_Universities[[#This Row],[Normalized Safety Score]]</f>
        <v>0.49565550184609802</v>
      </c>
    </row>
    <row r="15" spans="1:14">
      <c r="A15" s="2">
        <v>14</v>
      </c>
      <c r="B15" s="2" t="s">
        <v>24</v>
      </c>
      <c r="C15" s="2" t="s">
        <v>25</v>
      </c>
      <c r="D15" s="2" t="s">
        <v>746</v>
      </c>
      <c r="E15" s="10" t="s">
        <v>858</v>
      </c>
      <c r="F15" s="2" t="str">
        <f>_xlfn.XLOOKUP(Top_100_Universities[[#This Row],[University]],Table1[University],Table1[Type],"NOT FOUND",0)</f>
        <v>Private not-for-profit</v>
      </c>
      <c r="G15" s="31">
        <f>_xlfn.XLOOKUP(Top_100_Universities[[#This Row],[University]],Table1[University],Table1[Av. Grant Aid],"NOT FOUND",0)</f>
        <v>48422</v>
      </c>
      <c r="H15" s="31">
        <f>_xlfn.XLOOKUP(Top_100_Universities[[#This Row],[University]],Table1[University],Table1[Av. Debt],"NOT FOUND",0)</f>
        <v>12150</v>
      </c>
      <c r="I15" s="31">
        <f>_xlfn.XLOOKUP(Top_100_Universities[[#This Row],[University]],Table1[University],Table1[Median 10-year Salary],"NOT FOUND",0)</f>
        <v>150600</v>
      </c>
      <c r="J15" s="41">
        <f>_xlfn.XLOOKUP(Top_100_Universities[[#This Row],[Town]],Cost_of_Living[City],Cost_of_Living[Cost of Living Index],"NA",0)</f>
        <v>100.1</v>
      </c>
      <c r="K15" s="63" cm="1">
        <f t="array" ref="K15">_xlfn.XLOOKUP(Top_100_Universities[[#This Row],[Town]], Cost_of_Living[[#All],[City]], Cost_of_Living[[#All],[Normalized Cost of Living]], "NA",0)</f>
        <v>0.71624087591240881</v>
      </c>
      <c r="L15" s="63" cm="1">
        <f t="array" ref="L15">_xlfn.XLOOKUP(Top_100_Universities[[#This Row],[State]], Crime_rate_Index[[#All],[State ]], Crime_rate_Index[[#All],[Normalized Crime Index]], "NA", 0)</f>
        <v>0.76188773686092248</v>
      </c>
      <c r="M15" s="63" cm="1">
        <f t="array" ref="M15">_xlfn.XLOOKUP(Top_100_Universities[[#This Row],[State]], Safest_States[[#All],[state]], Safest_States[[#All],[Normailzed Safety Score]], "NA", 0)</f>
        <v>0.43176312247644677</v>
      </c>
      <c r="N15" s="63">
        <f>0.4*Top_100_Universities[[#This Row],[Normalized Cost of Living Index]] + 0.3*Top_100_Universities[[#This Row],[Normalized Crime Rate Index]] + 0.3*Top_100_Universities[[#This Row],[Normalized Safety Score]]</f>
        <v>0.64459160816617422</v>
      </c>
    </row>
    <row r="16" spans="1:14">
      <c r="A16" s="2">
        <v>15</v>
      </c>
      <c r="B16" s="2" t="s">
        <v>26</v>
      </c>
      <c r="C16" s="2" t="s">
        <v>27</v>
      </c>
      <c r="D16" s="2" t="s">
        <v>747</v>
      </c>
      <c r="E16" s="10" t="s">
        <v>816</v>
      </c>
      <c r="F16" s="2" t="str">
        <f>_xlfn.XLOOKUP(Top_100_Universities[[#This Row],[University]],Table1[University],Table1[Type],"NOT FOUND",0)</f>
        <v>Private not-for-profit</v>
      </c>
      <c r="G16" s="31">
        <f>_xlfn.XLOOKUP(Top_100_Universities[[#This Row],[University]],Table1[University],Table1[Av. Grant Aid],"NOT FOUND",0)</f>
        <v>59792</v>
      </c>
      <c r="H16" s="31">
        <f>_xlfn.XLOOKUP(Top_100_Universities[[#This Row],[University]],Table1[University],Table1[Av. Debt],"NOT FOUND",0)</f>
        <v>7559</v>
      </c>
      <c r="I16" s="31">
        <f>_xlfn.XLOOKUP(Top_100_Universities[[#This Row],[University]],Table1[University],Table1[Median 10-year Salary],"NOT FOUND",0)</f>
        <v>189400</v>
      </c>
      <c r="J16" s="41">
        <f>_xlfn.XLOOKUP(Top_100_Universities[[#This Row],[Town]],Cost_of_Living[City],Cost_of_Living[Cost of Living Index],"NA",0)</f>
        <v>84.8</v>
      </c>
      <c r="K16" s="63" cm="1">
        <f t="array" ref="K16">_xlfn.XLOOKUP(Top_100_Universities[[#This Row],[Town]], Cost_of_Living[[#All],[City]], Cost_of_Living[[#All],[Normalized Cost of Living]], "NA",0)</f>
        <v>0.8558394160583942</v>
      </c>
      <c r="L16" s="63" cm="1">
        <f t="array" ref="L16">_xlfn.XLOOKUP(Top_100_Universities[[#This Row],[State]], Crime_rate_Index[[#All],[State ]], Crime_rate_Index[[#All],[Normalized Crime Index]], "NA", 0)</f>
        <v>0.91776903825527345</v>
      </c>
      <c r="M16" s="63" cm="1">
        <f t="array" ref="M16">_xlfn.XLOOKUP(Top_100_Universities[[#This Row],[State]], Safest_States[[#All],[state]], Safest_States[[#All],[Normailzed Safety Score]], "NA", 0)</f>
        <v>0.61857335127860014</v>
      </c>
      <c r="N16" s="63">
        <f>0.4*Top_100_Universities[[#This Row],[Normalized Cost of Living Index]] + 0.3*Top_100_Universities[[#This Row],[Normalized Crime Rate Index]] + 0.3*Top_100_Universities[[#This Row],[Normalized Safety Score]]</f>
        <v>0.80323848328351977</v>
      </c>
    </row>
    <row r="17" spans="1:14">
      <c r="A17" s="2">
        <v>16</v>
      </c>
      <c r="B17" s="2" t="s">
        <v>28</v>
      </c>
      <c r="C17" s="2" t="s">
        <v>522</v>
      </c>
      <c r="D17" s="2" t="s">
        <v>748</v>
      </c>
      <c r="E17" s="10" t="s">
        <v>1082</v>
      </c>
      <c r="F17" s="2" t="str">
        <f>_xlfn.XLOOKUP(Top_100_Universities[[#This Row],[University]],Table1[University],Table1[Type],"NOT FOUND",0)</f>
        <v>Public</v>
      </c>
      <c r="G17" s="31">
        <f>_xlfn.XLOOKUP(Top_100_Universities[[#This Row],[University]],Table1[University],Table1[Av. Grant Aid],"NOT FOUND",0)</f>
        <v>11388</v>
      </c>
      <c r="H17" s="31">
        <f>_xlfn.XLOOKUP(Top_100_Universities[[#This Row],[University]],Table1[University],Table1[Av. Debt],"NOT FOUND",0)</f>
        <v>9722</v>
      </c>
      <c r="I17" s="31">
        <f>_xlfn.XLOOKUP(Top_100_Universities[[#This Row],[University]],Table1[University],Table1[Median 10-year Salary],"NOT FOUND",0)</f>
        <v>125700</v>
      </c>
      <c r="J17" s="41">
        <f>_xlfn.XLOOKUP(Top_100_Universities[[#This Row],[Town]],Cost_of_Living[City],Cost_of_Living[Cost of Living Index],"NA",0)</f>
        <v>75</v>
      </c>
      <c r="K17" s="63" cm="1">
        <f t="array" ref="K17">_xlfn.XLOOKUP(Top_100_Universities[[#This Row],[Town]], Cost_of_Living[[#All],[City]], Cost_of_Living[[#All],[Normalized Cost of Living]], "NA",0)</f>
        <v>0.94525547445255476</v>
      </c>
      <c r="L17" s="63" cm="1">
        <f t="array" ref="L17">_xlfn.XLOOKUP(Top_100_Universities[[#This Row],[State]], Crime_rate_Index[[#All],[State ]], Crime_rate_Index[[#All],[Normalized Crime Index]], "NA", 0)</f>
        <v>0.87558097962102255</v>
      </c>
      <c r="M17" s="63" cm="1">
        <f t="array" ref="M17">_xlfn.XLOOKUP(Top_100_Universities[[#This Row],[State]], Safest_States[[#All],[state]], Safest_States[[#All],[Normailzed Safety Score]], "NA", 0)</f>
        <v>0.75827725437415872</v>
      </c>
      <c r="N17" s="63">
        <f>0.4*Top_100_Universities[[#This Row],[Normalized Cost of Living Index]] + 0.3*Top_100_Universities[[#This Row],[Normalized Crime Rate Index]] + 0.3*Top_100_Universities[[#This Row],[Normalized Safety Score]]</f>
        <v>0.86825965997957621</v>
      </c>
    </row>
    <row r="18" spans="1:14">
      <c r="A18" s="2">
        <v>17</v>
      </c>
      <c r="B18" s="2" t="s">
        <v>29</v>
      </c>
      <c r="C18" s="2" t="s">
        <v>30</v>
      </c>
      <c r="D18" s="2" t="s">
        <v>416</v>
      </c>
      <c r="E18" s="10" t="s">
        <v>971</v>
      </c>
      <c r="F18" s="2" t="str">
        <f>_xlfn.XLOOKUP(Top_100_Universities[[#This Row],[University]],Table1[University],Table1[Type],"NOT FOUND",0)</f>
        <v>Public</v>
      </c>
      <c r="G18" s="31">
        <f>_xlfn.XLOOKUP(Top_100_Universities[[#This Row],[University]],Table1[University],Table1[Av. Grant Aid],"NOT FOUND",0)</f>
        <v>8950</v>
      </c>
      <c r="H18" s="31">
        <f>_xlfn.XLOOKUP(Top_100_Universities[[#This Row],[University]],Table1[University],Table1[Av. Debt],"NOT FOUND",0)</f>
        <v>9125</v>
      </c>
      <c r="I18" s="31">
        <f>_xlfn.XLOOKUP(Top_100_Universities[[#This Row],[University]],Table1[University],Table1[Median 10-year Salary],"NOT FOUND",0)</f>
        <v>126300</v>
      </c>
      <c r="J18" s="41">
        <f>_xlfn.XLOOKUP(Top_100_Universities[[#This Row],[Town]],Cost_of_Living[City],Cost_of_Living[Cost of Living Index],"NA",0)</f>
        <v>71.3</v>
      </c>
      <c r="K18" s="63" cm="1">
        <f t="array" ref="K18">_xlfn.XLOOKUP(Top_100_Universities[[#This Row],[Town]], Cost_of_Living[[#All],[City]], Cost_of_Living[[#All],[Normalized Cost of Living]], "NA",0)</f>
        <v>0.97901459854014605</v>
      </c>
      <c r="L18" s="63" cm="1">
        <f t="array" ref="L18">_xlfn.XLOOKUP(Top_100_Universities[[#This Row],[State]], Crime_rate_Index[[#All],[State ]], Crime_rate_Index[[#All],[Normalized Crime Index]], "NA", 0)</f>
        <v>0.76796567751161959</v>
      </c>
      <c r="M18" s="63" cm="1">
        <f t="array" ref="M18">_xlfn.XLOOKUP(Top_100_Universities[[#This Row],[State]], Safest_States[[#All],[state]], Safest_States[[#All],[Normailzed Safety Score]], "NA", 0)</f>
        <v>0.57442799461641969</v>
      </c>
      <c r="N18" s="63">
        <f>0.4*Top_100_Universities[[#This Row],[Normalized Cost of Living Index]] + 0.3*Top_100_Universities[[#This Row],[Normalized Crime Rate Index]] + 0.3*Top_100_Universities[[#This Row],[Normalized Safety Score]]</f>
        <v>0.79432394105447013</v>
      </c>
    </row>
    <row r="19" spans="1:14">
      <c r="A19" s="2">
        <v>18</v>
      </c>
      <c r="B19" s="2" t="s">
        <v>31</v>
      </c>
      <c r="C19" s="2" t="s">
        <v>749</v>
      </c>
      <c r="D19" s="2" t="s">
        <v>666</v>
      </c>
      <c r="E19" s="10" t="s">
        <v>822</v>
      </c>
      <c r="F19" s="2" t="str">
        <f>_xlfn.XLOOKUP(Top_100_Universities[[#This Row],[University]],Table1[University],Table1[Type],"NOT FOUND",0)</f>
        <v>Public</v>
      </c>
      <c r="G19" s="31">
        <f>_xlfn.XLOOKUP(Top_100_Universities[[#This Row],[University]],Table1[University],Table1[Av. Grant Aid],"NOT FOUND",0)</f>
        <v>20548</v>
      </c>
      <c r="H19" s="31">
        <f>_xlfn.XLOOKUP(Top_100_Universities[[#This Row],[University]],Table1[University],Table1[Av. Debt],"NOT FOUND",0)</f>
        <v>5965</v>
      </c>
      <c r="I19" s="31">
        <f>_xlfn.XLOOKUP(Top_100_Universities[[#This Row],[University]],Table1[University],Table1[Median 10-year Salary],"NOT FOUND",0)</f>
        <v>142700</v>
      </c>
      <c r="J19" s="41">
        <f>_xlfn.XLOOKUP(Top_100_Universities[[#This Row],[Town]],Cost_of_Living[City],Cost_of_Living[Cost of Living Index],"NA",0)</f>
        <v>83.7</v>
      </c>
      <c r="K19" s="63" cm="1">
        <f t="array" ref="K19">_xlfn.XLOOKUP(Top_100_Universities[[#This Row],[Town]], Cost_of_Living[[#All],[City]], Cost_of_Living[[#All],[Normalized Cost of Living]], "NA",0)</f>
        <v>0.86587591240875905</v>
      </c>
      <c r="L19" s="63" cm="1">
        <f t="array" ref="L19">_xlfn.XLOOKUP(Top_100_Universities[[#This Row],[State]], Crime_rate_Index[[#All],[State ]], Crime_rate_Index[[#All],[Normalized Crime Index]], "NA", 0)</f>
        <v>0.73149803360743659</v>
      </c>
      <c r="M19" s="63" cm="1">
        <f t="array" ref="M19">_xlfn.XLOOKUP(Top_100_Universities[[#This Row],[State]], Safest_States[[#All],[state]], Safest_States[[#All],[Normailzed Safety Score]], "NA", 0)</f>
        <v>0.46567967698519502</v>
      </c>
      <c r="N19" s="63">
        <f>0.4*Top_100_Universities[[#This Row],[Normalized Cost of Living Index]] + 0.3*Top_100_Universities[[#This Row],[Normalized Crime Rate Index]] + 0.3*Top_100_Universities[[#This Row],[Normalized Safety Score]]</f>
        <v>0.70550367814129311</v>
      </c>
    </row>
    <row r="20" spans="1:14">
      <c r="A20" s="2">
        <v>19</v>
      </c>
      <c r="B20" s="2" t="s">
        <v>32</v>
      </c>
      <c r="C20" s="2" t="s">
        <v>284</v>
      </c>
      <c r="D20" s="2" t="s">
        <v>666</v>
      </c>
      <c r="E20" s="10" t="s">
        <v>822</v>
      </c>
      <c r="F20" s="2" t="str">
        <f>_xlfn.XLOOKUP(Top_100_Universities[[#This Row],[University]],Table1[University],Table1[Type],"NOT FOUND",0)</f>
        <v>Public</v>
      </c>
      <c r="G20" s="31">
        <f>_xlfn.XLOOKUP(Top_100_Universities[[#This Row],[University]],Table1[University],Table1[Av. Grant Aid],"NOT FOUND",0)</f>
        <v>20782</v>
      </c>
      <c r="H20" s="31">
        <f>_xlfn.XLOOKUP(Top_100_Universities[[#This Row],[University]],Table1[University],Table1[Av. Debt],"NOT FOUND",0)</f>
        <v>6437</v>
      </c>
      <c r="I20" s="31">
        <f>_xlfn.XLOOKUP(Top_100_Universities[[#This Row],[University]],Table1[University],Table1[Median 10-year Salary],"NOT FOUND",0)</f>
        <v>151500</v>
      </c>
      <c r="J20" s="41">
        <f>_xlfn.XLOOKUP(Top_100_Universities[[#This Row],[Town]],Cost_of_Living[City],Cost_of_Living[Cost of Living Index],"NA",0)</f>
        <v>136.19999999999999</v>
      </c>
      <c r="K20" s="63" cm="1">
        <f t="array" ref="K20">_xlfn.XLOOKUP(Top_100_Universities[[#This Row],[Town]], Cost_of_Living[[#All],[City]], Cost_of_Living[[#All],[Normalized Cost of Living]], "NA",0)</f>
        <v>0.38686131386861322</v>
      </c>
      <c r="L20" s="63" cm="1">
        <f t="array" ref="L20">_xlfn.XLOOKUP(Top_100_Universities[[#This Row],[State]], Crime_rate_Index[[#All],[State ]], Crime_rate_Index[[#All],[Normalized Crime Index]], "NA", 0)</f>
        <v>0.73149803360743659</v>
      </c>
      <c r="M20" s="63" cm="1">
        <f t="array" ref="M20">_xlfn.XLOOKUP(Top_100_Universities[[#This Row],[State]], Safest_States[[#All],[state]], Safest_States[[#All],[Normailzed Safety Score]], "NA", 0)</f>
        <v>0.46567967698519502</v>
      </c>
      <c r="N20" s="63">
        <f>0.4*Top_100_Universities[[#This Row],[Normalized Cost of Living Index]] + 0.3*Top_100_Universities[[#This Row],[Normalized Crime Rate Index]] + 0.3*Top_100_Universities[[#This Row],[Normalized Safety Score]]</f>
        <v>0.51389783872523476</v>
      </c>
    </row>
    <row r="21" spans="1:14">
      <c r="A21" s="2">
        <v>20</v>
      </c>
      <c r="B21" s="2" t="s">
        <v>33</v>
      </c>
      <c r="C21" s="2" t="s">
        <v>191</v>
      </c>
      <c r="D21" s="2" t="s">
        <v>750</v>
      </c>
      <c r="E21" s="10" t="s">
        <v>862</v>
      </c>
      <c r="F21" s="2" t="str">
        <f>_xlfn.XLOOKUP(Top_100_Universities[[#This Row],[University]],Table1[University],Table1[Type],"NOT FOUND",0)</f>
        <v>Private not-for-profit</v>
      </c>
      <c r="G21" s="31">
        <f>_xlfn.XLOOKUP(Top_100_Universities[[#This Row],[University]],Table1[University],Table1[Av. Grant Aid],"NOT FOUND",0)</f>
        <v>54405</v>
      </c>
      <c r="H21" s="31">
        <f>_xlfn.XLOOKUP(Top_100_Universities[[#This Row],[University]],Table1[University],Table1[Av. Debt],"NOT FOUND",0)</f>
        <v>9843</v>
      </c>
      <c r="I21" s="31">
        <f>_xlfn.XLOOKUP(Top_100_Universities[[#This Row],[University]],Table1[University],Table1[Median 10-year Salary],"NOT FOUND",0)</f>
        <v>142300</v>
      </c>
      <c r="J21" s="41">
        <f>_xlfn.XLOOKUP(Top_100_Universities[[#This Row],[Town]],Cost_of_Living[City],Cost_of_Living[Cost of Living Index],"NA",0)</f>
        <v>107</v>
      </c>
      <c r="K21" s="63" cm="1">
        <f t="array" ref="K21">_xlfn.XLOOKUP(Top_100_Universities[[#This Row],[Town]], Cost_of_Living[[#All],[City]], Cost_of_Living[[#All],[Normalized Cost of Living]], "NA",0)</f>
        <v>0.65328467153284664</v>
      </c>
      <c r="L21" s="63" cm="1">
        <f t="array" ref="L21">_xlfn.XLOOKUP(Top_100_Universities[[#This Row],[State]], Crime_rate_Index[[#All],[State ]], Crime_rate_Index[[#All],[Normalized Crime Index]], "NA", 0)</f>
        <v>0.66607079013228465</v>
      </c>
      <c r="M21" s="63" cm="1">
        <f t="array" ref="M21">_xlfn.XLOOKUP(Top_100_Universities[[#This Row],[State]], Safest_States[[#All],[state]], Safest_States[[#All],[Normailzed Safety Score]], "NA", 0)</f>
        <v>0.58115746971736182</v>
      </c>
      <c r="N21" s="63">
        <f>0.4*Top_100_Universities[[#This Row],[Normalized Cost of Living Index]] + 0.3*Top_100_Universities[[#This Row],[Normalized Crime Rate Index]] + 0.3*Top_100_Universities[[#This Row],[Normalized Safety Score]]</f>
        <v>0.6354823465680326</v>
      </c>
    </row>
    <row r="22" spans="1:14">
      <c r="A22" s="2">
        <v>21</v>
      </c>
      <c r="B22" s="2" t="s">
        <v>34</v>
      </c>
      <c r="C22" s="2" t="s">
        <v>14</v>
      </c>
      <c r="D22" s="2" t="s">
        <v>740</v>
      </c>
      <c r="E22" s="10" t="s">
        <v>840</v>
      </c>
      <c r="F22" s="2" t="str">
        <f>_xlfn.XLOOKUP(Top_100_Universities[[#This Row],[University]],Table1[University],Table1[Type],"NOT FOUND",0)</f>
        <v>Private not-for-profit</v>
      </c>
      <c r="G22" s="31">
        <f>_xlfn.XLOOKUP(Top_100_Universities[[#This Row],[University]],Table1[University],Table1[Av. Grant Aid],"NOT FOUND",0)</f>
        <v>47096</v>
      </c>
      <c r="H22" s="31">
        <f>_xlfn.XLOOKUP(Top_100_Universities[[#This Row],[University]],Table1[University],Table1[Av. Debt],"NOT FOUND",0)</f>
        <v>8550</v>
      </c>
      <c r="I22" s="31">
        <f>_xlfn.XLOOKUP(Top_100_Universities[[#This Row],[University]],Table1[University],Table1[Median 10-year Salary],"NOT FOUND",0)</f>
        <v>147100</v>
      </c>
      <c r="J22" s="41">
        <f>_xlfn.XLOOKUP(Top_100_Universities[[#This Row],[Town]],Cost_of_Living[City],Cost_of_Living[Cost of Living Index],"NA",0)</f>
        <v>148.19999999999999</v>
      </c>
      <c r="K22" s="63" cm="1">
        <f t="array" ref="K22">_xlfn.XLOOKUP(Top_100_Universities[[#This Row],[Town]], Cost_of_Living[[#All],[City]], Cost_of_Living[[#All],[Normalized Cost of Living]], "NA",0)</f>
        <v>0.27737226277372273</v>
      </c>
      <c r="L22" s="63" cm="1">
        <f t="array" ref="L22">_xlfn.XLOOKUP(Top_100_Universities[[#This Row],[State]], Crime_rate_Index[[#All],[State ]], Crime_rate_Index[[#All],[Normalized Crime Index]], "NA", 0)</f>
        <v>0.91276367536646408</v>
      </c>
      <c r="M22" s="63" cm="1">
        <f t="array" ref="M22">_xlfn.XLOOKUP(Top_100_Universities[[#This Row],[State]], Safest_States[[#All],[state]], Safest_States[[#All],[Normailzed Safety Score]], "NA", 0)</f>
        <v>0.54589502018842528</v>
      </c>
      <c r="N22" s="63">
        <f>0.4*Top_100_Universities[[#This Row],[Normalized Cost of Living Index]] + 0.3*Top_100_Universities[[#This Row],[Normalized Crime Rate Index]] + 0.3*Top_100_Universities[[#This Row],[Normalized Safety Score]]</f>
        <v>0.54854651377595587</v>
      </c>
    </row>
    <row r="23" spans="1:14">
      <c r="A23" s="2">
        <v>22</v>
      </c>
      <c r="B23" s="2" t="s">
        <v>35</v>
      </c>
      <c r="C23" s="2" t="s">
        <v>608</v>
      </c>
      <c r="D23" s="2" t="s">
        <v>743</v>
      </c>
      <c r="E23" s="10" t="s">
        <v>844</v>
      </c>
      <c r="F23" s="2" t="str">
        <f>_xlfn.XLOOKUP(Top_100_Universities[[#This Row],[University]],Table1[University],Table1[Type],"NOT FOUND",0)</f>
        <v>Public</v>
      </c>
      <c r="G23" s="31">
        <f>_xlfn.XLOOKUP(Top_100_Universities[[#This Row],[University]],Table1[University],Table1[Av. Grant Aid],"NOT FOUND",0)</f>
        <v>10066</v>
      </c>
      <c r="H23" s="31">
        <f>_xlfn.XLOOKUP(Top_100_Universities[[#This Row],[University]],Table1[University],Table1[Av. Debt],"NOT FOUND",0)</f>
        <v>13414</v>
      </c>
      <c r="I23" s="45" t="s">
        <v>2513</v>
      </c>
      <c r="J23" s="41">
        <f>_xlfn.XLOOKUP(Top_100_Universities[[#This Row],[Town]],Cost_of_Living[City],Cost_of_Living[Cost of Living Index],"NA",0)</f>
        <v>76.599999999999994</v>
      </c>
      <c r="K23" s="63" cm="1">
        <f t="array" ref="K23">_xlfn.XLOOKUP(Top_100_Universities[[#This Row],[Town]], Cost_of_Living[[#All],[City]], Cost_of_Living[[#All],[Normalized Cost of Living]], "NA",0)</f>
        <v>0.93065693430656937</v>
      </c>
      <c r="L23" s="63" cm="1">
        <f t="array" ref="L23">_xlfn.XLOOKUP(Top_100_Universities[[#This Row],[State]], Crime_rate_Index[[#All],[State ]], Crime_rate_Index[[#All],[Normalized Crime Index]], "NA", 0)</f>
        <v>0.86235252055774048</v>
      </c>
      <c r="M23" s="63" cm="1">
        <f t="array" ref="M23">_xlfn.XLOOKUP(Top_100_Universities[[#This Row],[State]], Safest_States[[#All],[state]], Safest_States[[#All],[Normailzed Safety Score]], "NA", 0)</f>
        <v>0.45410497981157455</v>
      </c>
      <c r="N23" s="63">
        <f>0.4*Top_100_Universities[[#This Row],[Normalized Cost of Living Index]] + 0.3*Top_100_Universities[[#This Row],[Normalized Crime Rate Index]] + 0.3*Top_100_Universities[[#This Row],[Normalized Safety Score]]</f>
        <v>0.76720002383342223</v>
      </c>
    </row>
    <row r="24" spans="1:14">
      <c r="A24" s="2">
        <v>23</v>
      </c>
      <c r="B24" s="2" t="s">
        <v>36</v>
      </c>
      <c r="C24" s="2" t="s">
        <v>37</v>
      </c>
      <c r="D24" s="2" t="s">
        <v>751</v>
      </c>
      <c r="E24" s="10" t="s">
        <v>910</v>
      </c>
      <c r="F24" s="2" t="str">
        <f>_xlfn.XLOOKUP(Top_100_Universities[[#This Row],[University]],Table1[University],Table1[Type],"NOT FOUND",0)</f>
        <v>Public</v>
      </c>
      <c r="G24" s="31">
        <f>_xlfn.XLOOKUP(Top_100_Universities[[#This Row],[University]],Table1[University],Table1[Av. Grant Aid],"NOT FOUND",0)</f>
        <v>10555</v>
      </c>
      <c r="H24" s="31">
        <f>_xlfn.XLOOKUP(Top_100_Universities[[#This Row],[University]],Table1[University],Table1[Av. Debt],"NOT FOUND",0)</f>
        <v>6122</v>
      </c>
      <c r="I24" s="31">
        <f>_xlfn.XLOOKUP(Top_100_Universities[[#This Row],[University]],Table1[University],Table1[Median 10-year Salary],"NOT FOUND",0)</f>
        <v>123700</v>
      </c>
      <c r="J24" s="41">
        <f>_xlfn.XLOOKUP(Top_100_Universities[[#This Row],[Town]],Cost_of_Living[City],Cost_of_Living[Cost of Living Index],"NA",0)</f>
        <v>97.3</v>
      </c>
      <c r="K24" s="63" cm="1">
        <f t="array" ref="K24">_xlfn.XLOOKUP(Top_100_Universities[[#This Row],[Town]], Cost_of_Living[[#All],[City]], Cost_of_Living[[#All],[Normalized Cost of Living]], "NA",0)</f>
        <v>0.74178832116788329</v>
      </c>
      <c r="L24" s="63" cm="1">
        <f t="array" ref="L24">_xlfn.XLOOKUP(Top_100_Universities[[#This Row],[State]], Crime_rate_Index[[#All],[State ]], Crime_rate_Index[[#All],[Normalized Crime Index]], "NA", 0)</f>
        <v>0.59063282087951374</v>
      </c>
      <c r="M24" s="63" cm="1">
        <f t="array" ref="M24">_xlfn.XLOOKUP(Top_100_Universities[[#This Row],[State]], Safest_States[[#All],[state]], Safest_States[[#All],[Normailzed Safety Score]], "NA", 0)</f>
        <v>0.21211305518169588</v>
      </c>
      <c r="N24" s="63">
        <f>0.4*Top_100_Universities[[#This Row],[Normalized Cost of Living Index]] + 0.3*Top_100_Universities[[#This Row],[Normalized Crime Rate Index]] + 0.3*Top_100_Universities[[#This Row],[Normalized Safety Score]]</f>
        <v>0.53753909128551625</v>
      </c>
    </row>
    <row r="25" spans="1:14">
      <c r="A25" s="2">
        <v>24</v>
      </c>
      <c r="B25" s="2" t="s">
        <v>38</v>
      </c>
      <c r="C25" s="2" t="s">
        <v>39</v>
      </c>
      <c r="D25" s="2" t="s">
        <v>741</v>
      </c>
      <c r="E25" s="10" t="s">
        <v>922</v>
      </c>
      <c r="F25" s="2" t="str">
        <f>_xlfn.XLOOKUP(Top_100_Universities[[#This Row],[University]],Table1[University],Table1[Type],"NOT FOUND",0)</f>
        <v>Public</v>
      </c>
      <c r="G25" s="31">
        <f>_xlfn.XLOOKUP(Top_100_Universities[[#This Row],[University]],Table1[University],Table1[Av. Grant Aid],"NOT FOUND",0)</f>
        <v>8684</v>
      </c>
      <c r="H25" s="31">
        <f>_xlfn.XLOOKUP(Top_100_Universities[[#This Row],[University]],Table1[University],Table1[Av. Debt],"NOT FOUND",0)</f>
        <v>8138</v>
      </c>
      <c r="I25" s="31">
        <f>_xlfn.XLOOKUP(Top_100_Universities[[#This Row],[University]],Table1[University],Table1[Median 10-year Salary],"NOT FOUND",0)</f>
        <v>118800</v>
      </c>
      <c r="J25" s="41">
        <f>_xlfn.XLOOKUP(Top_100_Universities[[#This Row],[Town]],Cost_of_Living[City],Cost_of_Living[Cost of Living Index],"NA",0)</f>
        <v>77.3</v>
      </c>
      <c r="K25" s="63" cm="1">
        <f t="array" ref="K25">_xlfn.XLOOKUP(Top_100_Universities[[#This Row],[Town]], Cost_of_Living[[#All],[City]], Cost_of_Living[[#All],[Normalized Cost of Living]], "NA",0)</f>
        <v>0.9242700729927007</v>
      </c>
      <c r="L25" s="63" cm="1">
        <f t="array" ref="L25">_xlfn.XLOOKUP(Top_100_Universities[[#This Row],[State]], Crime_rate_Index[[#All],[State ]], Crime_rate_Index[[#All],[Normalized Crime Index]], "NA", 0)</f>
        <v>0.71147658205219877</v>
      </c>
      <c r="M25" s="63" cm="1">
        <f t="array" ref="M25">_xlfn.XLOOKUP(Top_100_Universities[[#This Row],[State]], Safest_States[[#All],[state]], Safest_States[[#All],[Normailzed Safety Score]], "NA", 0)</f>
        <v>0.48855989232839825</v>
      </c>
      <c r="N25" s="63">
        <f>0.4*Top_100_Universities[[#This Row],[Normalized Cost of Living Index]] + 0.3*Top_100_Universities[[#This Row],[Normalized Crime Rate Index]] + 0.3*Top_100_Universities[[#This Row],[Normalized Safety Score]]</f>
        <v>0.72971897151125931</v>
      </c>
    </row>
    <row r="26" spans="1:14">
      <c r="A26" s="2">
        <v>25</v>
      </c>
      <c r="B26" s="2" t="s">
        <v>40</v>
      </c>
      <c r="C26" s="2" t="s">
        <v>41</v>
      </c>
      <c r="D26" s="2" t="s">
        <v>666</v>
      </c>
      <c r="E26" s="10" t="s">
        <v>822</v>
      </c>
      <c r="F26" s="2" t="str">
        <f>_xlfn.XLOOKUP(Top_100_Universities[[#This Row],[University]],Table1[University],Table1[Type],"NOT FOUND",0)</f>
        <v>Private not-for-profit</v>
      </c>
      <c r="G26" s="31">
        <f>_xlfn.XLOOKUP(Top_100_Universities[[#This Row],[University]],Table1[University],Table1[Av. Grant Aid],"NOT FOUND",0)</f>
        <v>45262</v>
      </c>
      <c r="H26" s="31">
        <f>_xlfn.XLOOKUP(Top_100_Universities[[#This Row],[University]],Table1[University],Table1[Av. Debt],"NOT FOUND",0)</f>
        <v>7526</v>
      </c>
      <c r="I26" s="31">
        <f>_xlfn.XLOOKUP(Top_100_Universities[[#This Row],[University]],Table1[University],Table1[Median 10-year Salary],"NOT FOUND",0)</f>
        <v>150100</v>
      </c>
      <c r="J26" s="41">
        <f>_xlfn.XLOOKUP(Top_100_Universities[[#This Row],[Town]],Cost_of_Living[City],Cost_of_Living[Cost of Living Index],"NA",0)</f>
        <v>140.6</v>
      </c>
      <c r="K26" s="63" cm="1">
        <f t="array" ref="K26">_xlfn.XLOOKUP(Top_100_Universities[[#This Row],[Town]], Cost_of_Living[[#All],[City]], Cost_of_Living[[#All],[Normalized Cost of Living]], "NA",0)</f>
        <v>0.34671532846715325</v>
      </c>
      <c r="L26" s="63" cm="1">
        <f t="array" ref="L26">_xlfn.XLOOKUP(Top_100_Universities[[#This Row],[State]], Crime_rate_Index[[#All],[State ]], Crime_rate_Index[[#All],[Normalized Crime Index]], "NA", 0)</f>
        <v>0.73149803360743659</v>
      </c>
      <c r="M26" s="63" cm="1">
        <f t="array" ref="M26">_xlfn.XLOOKUP(Top_100_Universities[[#This Row],[State]], Safest_States[[#All],[state]], Safest_States[[#All],[Normailzed Safety Score]], "NA", 0)</f>
        <v>0.46567967698519502</v>
      </c>
      <c r="N26" s="63">
        <f>0.4*Top_100_Universities[[#This Row],[Normalized Cost of Living Index]] + 0.3*Top_100_Universities[[#This Row],[Normalized Crime Rate Index]] + 0.3*Top_100_Universities[[#This Row],[Normalized Safety Score]]</f>
        <v>0.49783944456465079</v>
      </c>
    </row>
    <row r="27" spans="1:14">
      <c r="A27" s="2">
        <v>26</v>
      </c>
      <c r="B27" s="2" t="s">
        <v>42</v>
      </c>
      <c r="C27" s="2" t="s">
        <v>43</v>
      </c>
      <c r="D27" s="2" t="s">
        <v>752</v>
      </c>
      <c r="E27" s="10" t="s">
        <v>889</v>
      </c>
      <c r="F27" s="2" t="str">
        <f>_xlfn.XLOOKUP(Top_100_Universities[[#This Row],[University]],Table1[University],Table1[Type],"NOT FOUND",0)</f>
        <v>Public</v>
      </c>
      <c r="G27" s="31">
        <f>_xlfn.XLOOKUP(Top_100_Universities[[#This Row],[University]],Table1[University],Table1[Av. Grant Aid],"NOT FOUND",0)</f>
        <v>18066</v>
      </c>
      <c r="H27" s="31">
        <f>_xlfn.XLOOKUP(Top_100_Universities[[#This Row],[University]],Table1[University],Table1[Av. Debt],"NOT FOUND",0)</f>
        <v>7953</v>
      </c>
      <c r="I27" s="31">
        <f>_xlfn.XLOOKUP(Top_100_Universities[[#This Row],[University]],Table1[University],Table1[Median 10-year Salary],"NOT FOUND",0)</f>
        <v>118200</v>
      </c>
      <c r="J27" s="41">
        <f>_xlfn.XLOOKUP(Top_100_Universities[[#This Row],[Town]],Cost_of_Living[City],Cost_of_Living[Cost of Living Index],"NA",0)</f>
        <v>77.7</v>
      </c>
      <c r="K27" s="63" cm="1">
        <f t="array" ref="K27">_xlfn.XLOOKUP(Top_100_Universities[[#This Row],[Town]], Cost_of_Living[[#All],[City]], Cost_of_Living[[#All],[Normalized Cost of Living]], "NA",0)</f>
        <v>0.92062043795620441</v>
      </c>
      <c r="L27" s="63" cm="1">
        <f t="array" ref="L27">_xlfn.XLOOKUP(Top_100_Universities[[#This Row],[State]], Crime_rate_Index[[#All],[State ]], Crime_rate_Index[[#All],[Normalized Crime Index]], "NA", 0)</f>
        <v>0.67143367894172323</v>
      </c>
      <c r="M27" s="63" cm="1">
        <f t="array" ref="M27">_xlfn.XLOOKUP(Top_100_Universities[[#This Row],[State]], Safest_States[[#All],[state]], Safest_States[[#All],[Normailzed Safety Score]], "NA", 0)</f>
        <v>0.55800807537012098</v>
      </c>
      <c r="N27" s="63">
        <f>0.4*Top_100_Universities[[#This Row],[Normalized Cost of Living Index]] + 0.3*Top_100_Universities[[#This Row],[Normalized Crime Rate Index]] + 0.3*Top_100_Universities[[#This Row],[Normalized Safety Score]]</f>
        <v>0.73708070147603511</v>
      </c>
    </row>
    <row r="28" spans="1:14">
      <c r="A28" s="2">
        <v>27</v>
      </c>
      <c r="B28" s="2" t="s">
        <v>44</v>
      </c>
      <c r="C28" s="2" t="s">
        <v>356</v>
      </c>
      <c r="D28" s="2" t="s">
        <v>743</v>
      </c>
      <c r="E28" s="10" t="s">
        <v>844</v>
      </c>
      <c r="F28" s="2" t="str">
        <f>_xlfn.XLOOKUP(Top_100_Universities[[#This Row],[University]],Table1[University],Table1[Type],"NOT FOUND",0)</f>
        <v>Private not-for-profit</v>
      </c>
      <c r="G28" s="31">
        <f>_xlfn.XLOOKUP(Top_100_Universities[[#This Row],[University]],Table1[University],Table1[Av. Grant Aid],"NOT FOUND",0)</f>
        <v>43966</v>
      </c>
      <c r="H28" s="31">
        <f>_xlfn.XLOOKUP(Top_100_Universities[[#This Row],[University]],Table1[University],Table1[Av. Debt],"NOT FOUND",0)</f>
        <v>6525</v>
      </c>
      <c r="I28" s="31">
        <f>_xlfn.XLOOKUP(Top_100_Universities[[#This Row],[University]],Table1[University],Table1[Median 10-year Salary],"NOT FOUND",0)</f>
        <v>162100</v>
      </c>
      <c r="J28" s="41">
        <f>_xlfn.XLOOKUP(Top_100_Universities[[#This Row],[Town]],Cost_of_Living[City],Cost_of_Living[Cost of Living Index],"NA",0)</f>
        <v>93.1</v>
      </c>
      <c r="K28" s="63" cm="1">
        <f t="array" ref="K28">_xlfn.XLOOKUP(Top_100_Universities[[#This Row],[Town]], Cost_of_Living[[#All],[City]], Cost_of_Living[[#All],[Normalized Cost of Living]], "NA",0)</f>
        <v>0.7801094890510949</v>
      </c>
      <c r="L28" s="63" cm="1">
        <f t="array" ref="L28">_xlfn.XLOOKUP(Top_100_Universities[[#This Row],[State]], Crime_rate_Index[[#All],[State ]], Crime_rate_Index[[#All],[Normalized Crime Index]], "NA", 0)</f>
        <v>0.86235252055774048</v>
      </c>
      <c r="M28" s="63" cm="1">
        <f t="array" ref="M28">_xlfn.XLOOKUP(Top_100_Universities[[#This Row],[State]], Safest_States[[#All],[state]], Safest_States[[#All],[Normailzed Safety Score]], "NA", 0)</f>
        <v>0.45410497981157455</v>
      </c>
      <c r="N28" s="63">
        <f>0.4*Top_100_Universities[[#This Row],[Normalized Cost of Living Index]] + 0.3*Top_100_Universities[[#This Row],[Normalized Crime Rate Index]] + 0.3*Top_100_Universities[[#This Row],[Normalized Safety Score]]</f>
        <v>0.70698104573123244</v>
      </c>
    </row>
    <row r="29" spans="1:14">
      <c r="A29" s="2">
        <v>28</v>
      </c>
      <c r="B29" s="2" t="s">
        <v>45</v>
      </c>
      <c r="C29" s="2" t="s">
        <v>687</v>
      </c>
      <c r="D29" s="2" t="s">
        <v>753</v>
      </c>
      <c r="E29" s="10" t="s">
        <v>1199</v>
      </c>
      <c r="F29" s="2" t="str">
        <f>_xlfn.XLOOKUP(Top_100_Universities[[#This Row],[University]],Table1[University],Table1[Type],"NOT FOUND",0)</f>
        <v>Public</v>
      </c>
      <c r="G29" s="31">
        <f>_xlfn.XLOOKUP(Top_100_Universities[[#This Row],[University]],Table1[University],Table1[Av. Grant Aid],"NOT FOUND",0)</f>
        <v>12381</v>
      </c>
      <c r="H29" s="31">
        <f>_xlfn.XLOOKUP(Top_100_Universities[[#This Row],[University]],Table1[University],Table1[Av. Debt],"NOT FOUND",0)</f>
        <v>8002</v>
      </c>
      <c r="I29" s="31">
        <f>_xlfn.XLOOKUP(Top_100_Universities[[#This Row],[University]],Table1[University],Table1[Median 10-year Salary],"NOT FOUND",0)</f>
        <v>118000</v>
      </c>
      <c r="J29" s="41">
        <f>_xlfn.XLOOKUP(Top_100_Universities[[#This Row],[Town]],Cost_of_Living[City],Cost_of_Living[Cost of Living Index],"NA",0)</f>
        <v>69</v>
      </c>
      <c r="K29" s="63" cm="1">
        <f t="array" ref="K29">_xlfn.XLOOKUP(Top_100_Universities[[#This Row],[Town]], Cost_of_Living[[#All],[City]], Cost_of_Living[[#All],[Normalized Cost of Living]], "NA",0)</f>
        <v>1</v>
      </c>
      <c r="L29" s="63" cm="1">
        <f t="array" ref="L29">_xlfn.XLOOKUP(Top_100_Universities[[#This Row],[State]], Crime_rate_Index[[#All],[State ]], Crime_rate_Index[[#All],[Normalized Crime Index]], "NA", 0)</f>
        <v>0.61565963532356094</v>
      </c>
      <c r="M29" s="63" cm="1">
        <f t="array" ref="M29">_xlfn.XLOOKUP(Top_100_Universities[[#This Row],[State]], Safest_States[[#All],[state]], Safest_States[[#All],[Normailzed Safety Score]], "NA", 0)</f>
        <v>0.5736204576043068</v>
      </c>
      <c r="N29" s="63">
        <f>0.4*Top_100_Universities[[#This Row],[Normalized Cost of Living Index]] + 0.3*Top_100_Universities[[#This Row],[Normalized Crime Rate Index]] + 0.3*Top_100_Universities[[#This Row],[Normalized Safety Score]]</f>
        <v>0.75678402787836041</v>
      </c>
    </row>
    <row r="30" spans="1:14">
      <c r="A30" s="2">
        <v>29</v>
      </c>
      <c r="B30" s="2" t="s">
        <v>46</v>
      </c>
      <c r="C30" s="2" t="s">
        <v>47</v>
      </c>
      <c r="D30" s="2" t="s">
        <v>752</v>
      </c>
      <c r="E30" s="10" t="s">
        <v>889</v>
      </c>
      <c r="F30" s="2" t="str">
        <f>_xlfn.XLOOKUP(Top_100_Universities[[#This Row],[University]],Table1[University],Table1[Type],"NOT FOUND",0)</f>
        <v>Private not-for-profit</v>
      </c>
      <c r="G30" s="31">
        <f>_xlfn.XLOOKUP(Top_100_Universities[[#This Row],[University]],Table1[University],Table1[Av. Grant Aid],"NOT FOUND",0)</f>
        <v>57444</v>
      </c>
      <c r="H30" s="31">
        <f>_xlfn.XLOOKUP(Top_100_Universities[[#This Row],[University]],Table1[University],Table1[Av. Debt],"NOT FOUND",0)</f>
        <v>6351</v>
      </c>
      <c r="I30" s="31">
        <f>_xlfn.XLOOKUP(Top_100_Universities[[#This Row],[University]],Table1[University],Table1[Median 10-year Salary],"NOT FOUND",0)</f>
        <v>158700</v>
      </c>
      <c r="J30" s="41">
        <f>_xlfn.XLOOKUP(Top_100_Universities[[#This Row],[Town]],Cost_of_Living[City],Cost_of_Living[Cost of Living Index],"NA",0)</f>
        <v>99.8</v>
      </c>
      <c r="K30" s="63" cm="1">
        <f t="array" ref="K30">_xlfn.XLOOKUP(Top_100_Universities[[#This Row],[Town]], Cost_of_Living[[#All],[City]], Cost_of_Living[[#All],[Normalized Cost of Living]], "NA",0)</f>
        <v>0.71897810218978098</v>
      </c>
      <c r="L30" s="63" cm="1">
        <f t="array" ref="L30">_xlfn.XLOOKUP(Top_100_Universities[[#This Row],[State]], Crime_rate_Index[[#All],[State ]], Crime_rate_Index[[#All],[Normalized Crime Index]], "NA", 0)</f>
        <v>0.67143367894172323</v>
      </c>
      <c r="M30" s="63" cm="1">
        <f t="array" ref="M30">_xlfn.XLOOKUP(Top_100_Universities[[#This Row],[State]], Safest_States[[#All],[state]], Safest_States[[#All],[Normailzed Safety Score]], "NA", 0)</f>
        <v>0.55800807537012098</v>
      </c>
      <c r="N30" s="63">
        <f>0.4*Top_100_Universities[[#This Row],[Normalized Cost of Living Index]] + 0.3*Top_100_Universities[[#This Row],[Normalized Crime Rate Index]] + 0.3*Top_100_Universities[[#This Row],[Normalized Safety Score]]</f>
        <v>0.65642376716946571</v>
      </c>
    </row>
    <row r="31" spans="1:14">
      <c r="A31" s="2">
        <v>30</v>
      </c>
      <c r="B31" s="2" t="s">
        <v>48</v>
      </c>
      <c r="C31" s="2" t="s">
        <v>49</v>
      </c>
      <c r="D31" s="2" t="s">
        <v>750</v>
      </c>
      <c r="E31" s="10" t="s">
        <v>862</v>
      </c>
      <c r="F31" s="2" t="str">
        <f>_xlfn.XLOOKUP(Top_100_Universities[[#This Row],[University]],Table1[University],Table1[Type],"NOT FOUND",0)</f>
        <v>Public</v>
      </c>
      <c r="G31" s="31">
        <f>_xlfn.XLOOKUP(Top_100_Universities[[#This Row],[University]],Table1[University],Table1[Av. Grant Aid],"NOT FOUND",0)</f>
        <v>11232</v>
      </c>
      <c r="H31" s="31">
        <f>_xlfn.XLOOKUP(Top_100_Universities[[#This Row],[University]],Table1[University],Table1[Av. Debt],"NOT FOUND",0)</f>
        <v>10201</v>
      </c>
      <c r="I31" s="31">
        <f>_xlfn.XLOOKUP(Top_100_Universities[[#This Row],[University]],Table1[University],Table1[Median 10-year Salary],"NOT FOUND",0)</f>
        <v>134700</v>
      </c>
      <c r="J31" s="41">
        <f>_xlfn.XLOOKUP(Top_100_Universities[[#This Row],[Town]],Cost_of_Living[City],Cost_of_Living[Cost of Living Index],"NA",0)</f>
        <v>84.8</v>
      </c>
      <c r="K31" s="63" cm="1">
        <f t="array" ref="K31">_xlfn.XLOOKUP(Top_100_Universities[[#This Row],[Town]], Cost_of_Living[[#All],[City]], Cost_of_Living[[#All],[Normalized Cost of Living]], "NA",0)</f>
        <v>0.8558394160583942</v>
      </c>
      <c r="L31" s="63" cm="1">
        <f t="array" ref="L31">_xlfn.XLOOKUP(Top_100_Universities[[#This Row],[State]], Crime_rate_Index[[#All],[State ]], Crime_rate_Index[[#All],[Normalized Crime Index]], "NA", 0)</f>
        <v>0.66607079013228465</v>
      </c>
      <c r="M31" s="63" cm="1">
        <f t="array" ref="M31">_xlfn.XLOOKUP(Top_100_Universities[[#This Row],[State]], Safest_States[[#All],[state]], Safest_States[[#All],[Normailzed Safety Score]], "NA", 0)</f>
        <v>0.58115746971736182</v>
      </c>
      <c r="N31" s="63">
        <f>0.4*Top_100_Universities[[#This Row],[Normalized Cost of Living Index]] + 0.3*Top_100_Universities[[#This Row],[Normalized Crime Rate Index]] + 0.3*Top_100_Universities[[#This Row],[Normalized Safety Score]]</f>
        <v>0.71650424437825166</v>
      </c>
    </row>
    <row r="32" spans="1:14">
      <c r="A32" s="2">
        <v>31</v>
      </c>
      <c r="B32" s="2" t="s">
        <v>50</v>
      </c>
      <c r="C32" s="2" t="s">
        <v>754</v>
      </c>
      <c r="D32" s="2" t="s">
        <v>747</v>
      </c>
      <c r="E32" s="10" t="s">
        <v>816</v>
      </c>
      <c r="F32" s="2" t="str">
        <f>_xlfn.XLOOKUP(Top_100_Universities[[#This Row],[University]],Table1[University],Table1[Type],"NOT FOUND",0)</f>
        <v>Public</v>
      </c>
      <c r="G32" s="31">
        <f>_xlfn.XLOOKUP(Top_100_Universities[[#This Row],[University]],Table1[University],Table1[Av. Grant Aid],"NOT FOUND",0)</f>
        <v>12785</v>
      </c>
      <c r="H32" s="31">
        <f>_xlfn.XLOOKUP(Top_100_Universities[[#This Row],[University]],Table1[University],Table1[Av. Debt],"NOT FOUND",0)</f>
        <v>8040</v>
      </c>
      <c r="I32" s="31">
        <f>_xlfn.XLOOKUP(Top_100_Universities[[#This Row],[University]],Table1[University],Table1[Median 10-year Salary],"NOT FOUND",0)</f>
        <v>137000</v>
      </c>
      <c r="J32" s="41">
        <f>_xlfn.XLOOKUP(Top_100_Universities[[#This Row],[Town]],Cost_of_Living[City],Cost_of_Living[Cost of Living Index],"NA",0)</f>
        <v>84.8</v>
      </c>
      <c r="K32" s="63" cm="1">
        <f t="array" ref="K32">_xlfn.XLOOKUP(Top_100_Universities[[#This Row],[Town]], Cost_of_Living[[#All],[City]], Cost_of_Living[[#All],[Normalized Cost of Living]], "NA",0)</f>
        <v>0.8558394160583942</v>
      </c>
      <c r="L32" s="63" cm="1">
        <f t="array" ref="L32">_xlfn.XLOOKUP(Top_100_Universities[[#This Row],[State]], Crime_rate_Index[[#All],[State ]], Crime_rate_Index[[#All],[Normalized Crime Index]], "NA", 0)</f>
        <v>0.91776903825527345</v>
      </c>
      <c r="M32" s="63" cm="1">
        <f t="array" ref="M32">_xlfn.XLOOKUP(Top_100_Universities[[#This Row],[State]], Safest_States[[#All],[state]], Safest_States[[#All],[Normailzed Safety Score]], "NA", 0)</f>
        <v>0.61857335127860014</v>
      </c>
      <c r="N32" s="63">
        <f>0.4*Top_100_Universities[[#This Row],[Normalized Cost of Living Index]] + 0.3*Top_100_Universities[[#This Row],[Normalized Crime Rate Index]] + 0.3*Top_100_Universities[[#This Row],[Normalized Safety Score]]</f>
        <v>0.80323848328351977</v>
      </c>
    </row>
    <row r="33" spans="1:14">
      <c r="A33" s="2">
        <v>32</v>
      </c>
      <c r="B33" s="2" t="s">
        <v>51</v>
      </c>
      <c r="C33" s="2" t="s">
        <v>755</v>
      </c>
      <c r="D33" s="2" t="s">
        <v>746</v>
      </c>
      <c r="E33" s="10" t="s">
        <v>858</v>
      </c>
      <c r="F33" s="2" t="str">
        <f>_xlfn.XLOOKUP(Top_100_Universities[[#This Row],[University]],Table1[University],Table1[Type],"NOT FOUND",0)</f>
        <v>Public</v>
      </c>
      <c r="G33" s="31">
        <f>_xlfn.XLOOKUP(Top_100_Universities[[#This Row],[University]],Table1[University],Table1[Av. Grant Aid],"NOT FOUND",0)</f>
        <v>16552</v>
      </c>
      <c r="H33" s="31">
        <f>_xlfn.XLOOKUP(Top_100_Universities[[#This Row],[University]],Table1[University],Table1[Av. Debt],"NOT FOUND",0)</f>
        <v>6697</v>
      </c>
      <c r="I33" s="31">
        <f>_xlfn.XLOOKUP(Top_100_Universities[[#This Row],[University]],Table1[University],Table1[Median 10-year Salary],"NOT FOUND",0)</f>
        <v>139900</v>
      </c>
      <c r="J33" s="41">
        <f>_xlfn.XLOOKUP(Top_100_Universities[[#This Row],[Town]],Cost_of_Living[City],Cost_of_Living[Cost of Living Index],"NA",0)</f>
        <v>89</v>
      </c>
      <c r="K33" s="63" cm="1">
        <f t="array" ref="K33">_xlfn.XLOOKUP(Top_100_Universities[[#This Row],[Town]], Cost_of_Living[[#All],[City]], Cost_of_Living[[#All],[Normalized Cost of Living]], "NA",0)</f>
        <v>0.81751824817518248</v>
      </c>
      <c r="L33" s="63" cm="1">
        <f t="array" ref="L33">_xlfn.XLOOKUP(Top_100_Universities[[#This Row],[State]], Crime_rate_Index[[#All],[State ]], Crime_rate_Index[[#All],[Normalized Crime Index]], "NA", 0)</f>
        <v>0.76188773686092248</v>
      </c>
      <c r="M33" s="63" cm="1">
        <f t="array" ref="M33">_xlfn.XLOOKUP(Top_100_Universities[[#This Row],[State]], Safest_States[[#All],[state]], Safest_States[[#All],[Normailzed Safety Score]], "NA", 0)</f>
        <v>0.43176312247644677</v>
      </c>
      <c r="N33" s="63">
        <f>0.4*Top_100_Universities[[#This Row],[Normalized Cost of Living Index]] + 0.3*Top_100_Universities[[#This Row],[Normalized Crime Rate Index]] + 0.3*Top_100_Universities[[#This Row],[Normalized Safety Score]]</f>
        <v>0.68510255707128365</v>
      </c>
    </row>
    <row r="34" spans="1:14">
      <c r="A34" s="2">
        <v>33</v>
      </c>
      <c r="B34" s="2" t="s">
        <v>52</v>
      </c>
      <c r="C34" s="2" t="s">
        <v>544</v>
      </c>
      <c r="D34" s="2" t="s">
        <v>756</v>
      </c>
      <c r="E34" s="10" t="s">
        <v>1124</v>
      </c>
      <c r="F34" s="2" t="str">
        <f>_xlfn.XLOOKUP(Top_100_Universities[[#This Row],[University]],Table1[University],Table1[Type],"NOT FOUND",0)</f>
        <v>Public</v>
      </c>
      <c r="G34" s="31">
        <f>_xlfn.XLOOKUP(Top_100_Universities[[#This Row],[University]],Table1[University],Table1[Av. Grant Aid],"NOT FOUND",0)</f>
        <v>10993</v>
      </c>
      <c r="H34" s="31">
        <f>_xlfn.XLOOKUP(Top_100_Universities[[#This Row],[University]],Table1[University],Table1[Av. Debt],"NOT FOUND",0)</f>
        <v>7842</v>
      </c>
      <c r="I34" s="31">
        <f>_xlfn.XLOOKUP(Top_100_Universities[[#This Row],[University]],Table1[University],Table1[Median 10-year Salary],"NOT FOUND",0)</f>
        <v>116900</v>
      </c>
      <c r="J34" s="41">
        <f>_xlfn.XLOOKUP(Top_100_Universities[[#This Row],[Town]],Cost_of_Living[City],Cost_of_Living[Cost of Living Index],"NA",0)</f>
        <v>88.5</v>
      </c>
      <c r="K34" s="63" cm="1">
        <f t="array" ref="K34">_xlfn.XLOOKUP(Top_100_Universities[[#This Row],[Town]], Cost_of_Living[[#All],[City]], Cost_of_Living[[#All],[Normalized Cost of Living]], "NA",0)</f>
        <v>0.8220802919708029</v>
      </c>
      <c r="L34" s="63" cm="1">
        <f t="array" ref="L34">_xlfn.XLOOKUP(Top_100_Universities[[#This Row],[State]], Crime_rate_Index[[#All],[State ]], Crime_rate_Index[[#All],[Normalized Crime Index]], "NA", 0)</f>
        <v>0.73507329281372902</v>
      </c>
      <c r="M34" s="63" cm="1">
        <f t="array" ref="M34">_xlfn.XLOOKUP(Top_100_Universities[[#This Row],[State]], Safest_States[[#All],[state]], Safest_States[[#All],[Normailzed Safety Score]], "NA", 0)</f>
        <v>0.36339165545087476</v>
      </c>
      <c r="N34" s="63">
        <f>0.4*Top_100_Universities[[#This Row],[Normalized Cost of Living Index]] + 0.3*Top_100_Universities[[#This Row],[Normalized Crime Rate Index]] + 0.3*Top_100_Universities[[#This Row],[Normalized Safety Score]]</f>
        <v>0.65837160126770233</v>
      </c>
    </row>
    <row r="35" spans="1:14">
      <c r="A35" s="2">
        <v>34</v>
      </c>
      <c r="B35" s="2" t="s">
        <v>53</v>
      </c>
      <c r="C35" s="2" t="s">
        <v>54</v>
      </c>
      <c r="D35" s="2" t="s">
        <v>757</v>
      </c>
      <c r="E35" s="10" t="s">
        <v>1183</v>
      </c>
      <c r="F35" s="2" t="str">
        <f>_xlfn.XLOOKUP(Top_100_Universities[[#This Row],[University]],Table1[University],Table1[Type],"NOT FOUND",0)</f>
        <v>Public</v>
      </c>
      <c r="G35" s="31">
        <f>_xlfn.XLOOKUP(Top_100_Universities[[#This Row],[University]],Table1[University],Table1[Av. Grant Aid],"NOT FOUND",0)</f>
        <v>10477</v>
      </c>
      <c r="H35" s="31">
        <f>_xlfn.XLOOKUP(Top_100_Universities[[#This Row],[University]],Table1[University],Table1[Av. Debt],"NOT FOUND",0)</f>
        <v>10614</v>
      </c>
      <c r="I35" s="31">
        <f>_xlfn.XLOOKUP(Top_100_Universities[[#This Row],[University]],Table1[University],Table1[Median 10-year Salary],"NOT FOUND",0)</f>
        <v>136500</v>
      </c>
      <c r="J35" s="41">
        <f>_xlfn.XLOOKUP(Top_100_Universities[[#This Row],[Town]],Cost_of_Living[City],Cost_of_Living[Cost of Living Index],"NA",0)</f>
        <v>118.7</v>
      </c>
      <c r="K35" s="63" cm="1">
        <f t="array" ref="K35">_xlfn.XLOOKUP(Top_100_Universities[[#This Row],[Town]], Cost_of_Living[[#All],[City]], Cost_of_Living[[#All],[Normalized Cost of Living]], "NA",0)</f>
        <v>0.54653284671532842</v>
      </c>
      <c r="L35" s="63" cm="1">
        <f t="array" ref="L35">_xlfn.XLOOKUP(Top_100_Universities[[#This Row],[State]], Crime_rate_Index[[#All],[State ]], Crime_rate_Index[[#All],[Normalized Crime Index]], "NA", 0)</f>
        <v>0.79406506971755453</v>
      </c>
      <c r="M35" s="63" cm="1">
        <f t="array" ref="M35">_xlfn.XLOOKUP(Top_100_Universities[[#This Row],[State]], Safest_States[[#All],[state]], Safest_States[[#All],[Normailzed Safety Score]], "NA", 0)</f>
        <v>0.32839838492597578</v>
      </c>
      <c r="N35" s="63">
        <f>0.4*Top_100_Universities[[#This Row],[Normalized Cost of Living Index]] + 0.3*Top_100_Universities[[#This Row],[Normalized Crime Rate Index]] + 0.3*Top_100_Universities[[#This Row],[Normalized Safety Score]]</f>
        <v>0.55535217507919044</v>
      </c>
    </row>
    <row r="36" spans="1:14">
      <c r="A36" s="2">
        <v>35</v>
      </c>
      <c r="B36" s="2" t="s">
        <v>55</v>
      </c>
      <c r="C36" s="2" t="s">
        <v>56</v>
      </c>
      <c r="D36" s="2" t="s">
        <v>745</v>
      </c>
      <c r="E36" s="10" t="s">
        <v>851</v>
      </c>
      <c r="F36" s="2" t="str">
        <f>_xlfn.XLOOKUP(Top_100_Universities[[#This Row],[University]],Table1[University],Table1[Type],"NOT FOUND",0)</f>
        <v>Public</v>
      </c>
      <c r="G36" s="31">
        <f>_xlfn.XLOOKUP(Top_100_Universities[[#This Row],[University]],Table1[University],Table1[Av. Grant Aid],"NOT FOUND",0)</f>
        <v>12278</v>
      </c>
      <c r="H36" s="31">
        <f>_xlfn.XLOOKUP(Top_100_Universities[[#This Row],[University]],Table1[University],Table1[Av. Debt],"NOT FOUND",0)</f>
        <v>8518</v>
      </c>
      <c r="I36" s="31">
        <f>_xlfn.XLOOKUP(Top_100_Universities[[#This Row],[University]],Table1[University],Table1[Median 10-year Salary],"NOT FOUND",0)</f>
        <v>139700</v>
      </c>
      <c r="J36" s="41">
        <f>_xlfn.XLOOKUP(Top_100_Universities[[#This Row],[Town]],Cost_of_Living[City],Cost_of_Living[Cost of Living Index],"NA",0)</f>
        <v>92.3</v>
      </c>
      <c r="K36" s="63" cm="1">
        <f t="array" ref="K36">_xlfn.XLOOKUP(Top_100_Universities[[#This Row],[Town]], Cost_of_Living[[#All],[City]], Cost_of_Living[[#All],[Normalized Cost of Living]], "NA",0)</f>
        <v>0.78740875912408759</v>
      </c>
      <c r="L36" s="63" cm="1">
        <f t="array" ref="L36">_xlfn.XLOOKUP(Top_100_Universities[[#This Row],[State]], Crime_rate_Index[[#All],[State ]], Crime_rate_Index[[#All],[Normalized Crime Index]], "NA", 0)</f>
        <v>0.63818376832320345</v>
      </c>
      <c r="M36" s="63" cm="1">
        <f t="array" ref="M36">_xlfn.XLOOKUP(Top_100_Universities[[#This Row],[State]], Safest_States[[#All],[state]], Safest_States[[#All],[Normailzed Safety Score]], "NA", 0)</f>
        <v>0.13808882907133249</v>
      </c>
      <c r="N36" s="63">
        <f>0.4*Top_100_Universities[[#This Row],[Normalized Cost of Living Index]] + 0.3*Top_100_Universities[[#This Row],[Normalized Crime Rate Index]] + 0.3*Top_100_Universities[[#This Row],[Normalized Safety Score]]</f>
        <v>0.54784528286799583</v>
      </c>
    </row>
    <row r="37" spans="1:14">
      <c r="A37" s="2">
        <v>36</v>
      </c>
      <c r="B37" s="2" t="s">
        <v>57</v>
      </c>
      <c r="C37" s="2" t="s">
        <v>58</v>
      </c>
      <c r="D37" s="2" t="s">
        <v>753</v>
      </c>
      <c r="E37" s="10" t="s">
        <v>1199</v>
      </c>
      <c r="F37" s="2" t="str">
        <f>_xlfn.XLOOKUP(Top_100_Universities[[#This Row],[University]],Table1[University],Table1[Type],"NOT FOUND",0)</f>
        <v>Public</v>
      </c>
      <c r="G37" s="31">
        <f>_xlfn.XLOOKUP(Top_100_Universities[[#This Row],[University]],Table1[University],Table1[Av. Grant Aid],"NOT FOUND",0)</f>
        <v>15279</v>
      </c>
      <c r="H37" s="31">
        <f>_xlfn.XLOOKUP(Top_100_Universities[[#This Row],[University]],Table1[University],Table1[Av. Debt],"NOT FOUND",0)</f>
        <v>6934</v>
      </c>
      <c r="I37" s="31">
        <f>_xlfn.XLOOKUP(Top_100_Universities[[#This Row],[University]],Table1[University],Table1[Median 10-year Salary],"NOT FOUND",0)</f>
        <v>119300</v>
      </c>
      <c r="J37" s="41">
        <f>_xlfn.XLOOKUP(Top_100_Universities[[#This Row],[Town]],Cost_of_Living[City],Cost_of_Living[Cost of Living Index],"NA",0)</f>
        <v>97.7</v>
      </c>
      <c r="K37" s="63" cm="1">
        <f t="array" ref="K37">_xlfn.XLOOKUP(Top_100_Universities[[#This Row],[Town]], Cost_of_Living[[#All],[City]], Cost_of_Living[[#All],[Normalized Cost of Living]], "NA",0)</f>
        <v>0.73813868613138678</v>
      </c>
      <c r="L37" s="63" cm="1">
        <f t="array" ref="L37">_xlfn.XLOOKUP(Top_100_Universities[[#This Row],[State]], Crime_rate_Index[[#All],[State ]], Crime_rate_Index[[#All],[Normalized Crime Index]], "NA", 0)</f>
        <v>0.61565963532356094</v>
      </c>
      <c r="M37" s="63" cm="1">
        <f t="array" ref="M37">_xlfn.XLOOKUP(Top_100_Universities[[#This Row],[State]], Safest_States[[#All],[state]], Safest_States[[#All],[Normailzed Safety Score]], "NA", 0)</f>
        <v>0.5736204576043068</v>
      </c>
      <c r="N37" s="63">
        <f>0.4*Top_100_Universities[[#This Row],[Normalized Cost of Living Index]] + 0.3*Top_100_Universities[[#This Row],[Normalized Crime Rate Index]] + 0.3*Top_100_Universities[[#This Row],[Normalized Safety Score]]</f>
        <v>0.65203950233091512</v>
      </c>
    </row>
    <row r="38" spans="1:14">
      <c r="A38" s="2">
        <v>37</v>
      </c>
      <c r="B38" s="2" t="s">
        <v>59</v>
      </c>
      <c r="C38" s="2" t="s">
        <v>589</v>
      </c>
      <c r="D38" s="2" t="s">
        <v>666</v>
      </c>
      <c r="E38" s="10" t="s">
        <v>822</v>
      </c>
      <c r="F38" s="2" t="str">
        <f>_xlfn.XLOOKUP(Top_100_Universities[[#This Row],[University]],Table1[University],Table1[Type],"NOT FOUND",0)</f>
        <v>Public</v>
      </c>
      <c r="G38" s="31">
        <f>_xlfn.XLOOKUP(Top_100_Universities[[#This Row],[University]],Table1[University],Table1[Av. Grant Aid],"NOT FOUND",0)</f>
        <v>17411</v>
      </c>
      <c r="H38" s="31">
        <f>_xlfn.XLOOKUP(Top_100_Universities[[#This Row],[University]],Table1[University],Table1[Av. Debt],"NOT FOUND",0)</f>
        <v>6561</v>
      </c>
      <c r="I38" s="31">
        <f>_xlfn.XLOOKUP(Top_100_Universities[[#This Row],[University]],Table1[University],Table1[Median 10-year Salary],"NOT FOUND",0)</f>
        <v>148400</v>
      </c>
      <c r="J38" s="41">
        <f>_xlfn.XLOOKUP(Top_100_Universities[[#This Row],[Town]],Cost_of_Living[City],Cost_of_Living[Cost of Living Index],"NA",0)</f>
        <v>86.4</v>
      </c>
      <c r="K38" s="63" cm="1">
        <f t="array" ref="K38">_xlfn.XLOOKUP(Top_100_Universities[[#This Row],[Town]], Cost_of_Living[[#All],[City]], Cost_of_Living[[#All],[Normalized Cost of Living]], "NA",0)</f>
        <v>0.8412408759124087</v>
      </c>
      <c r="L38" s="63" cm="1">
        <f t="array" ref="L38">_xlfn.XLOOKUP(Top_100_Universities[[#This Row],[State]], Crime_rate_Index[[#All],[State ]], Crime_rate_Index[[#All],[Normalized Crime Index]], "NA", 0)</f>
        <v>0.73149803360743659</v>
      </c>
      <c r="M38" s="63" cm="1">
        <f t="array" ref="M38">_xlfn.XLOOKUP(Top_100_Universities[[#This Row],[State]], Safest_States[[#All],[state]], Safest_States[[#All],[Normailzed Safety Score]], "NA", 0)</f>
        <v>0.46567967698519502</v>
      </c>
      <c r="N38" s="63">
        <f>0.4*Top_100_Universities[[#This Row],[Normalized Cost of Living Index]] + 0.3*Top_100_Universities[[#This Row],[Normalized Crime Rate Index]] + 0.3*Top_100_Universities[[#This Row],[Normalized Safety Score]]</f>
        <v>0.69564966354275293</v>
      </c>
    </row>
    <row r="39" spans="1:14">
      <c r="A39" s="2">
        <v>38</v>
      </c>
      <c r="B39" s="2" t="s">
        <v>60</v>
      </c>
      <c r="C39" s="2" t="s">
        <v>758</v>
      </c>
      <c r="D39" s="2" t="s">
        <v>746</v>
      </c>
      <c r="E39" s="10" t="s">
        <v>858</v>
      </c>
      <c r="F39" s="2" t="str">
        <f>_xlfn.XLOOKUP(Top_100_Universities[[#This Row],[University]],Table1[University],Table1[Type],"NOT FOUND",0)</f>
        <v>Private not-for-profit</v>
      </c>
      <c r="G39" s="31">
        <f>_xlfn.XLOOKUP(Top_100_Universities[[#This Row],[University]],Table1[University],Table1[Av. Grant Aid],"NOT FOUND",0)</f>
        <v>61716</v>
      </c>
      <c r="H39" s="31">
        <f>_xlfn.XLOOKUP(Top_100_Universities[[#This Row],[University]],Table1[University],Table1[Av. Debt],"NOT FOUND",0)</f>
        <v>6973</v>
      </c>
      <c r="I39" s="31">
        <f>_xlfn.XLOOKUP(Top_100_Universities[[#This Row],[University]],Table1[University],Table1[Median 10-year Salary],"NOT FOUND",0)</f>
        <v>141300</v>
      </c>
      <c r="J39" s="41">
        <f>_xlfn.XLOOKUP(Top_100_Universities[[#This Row],[Town]],Cost_of_Living[City],Cost_of_Living[Cost of Living Index],"NA",0)</f>
        <v>80</v>
      </c>
      <c r="K39" s="63" cm="1">
        <f t="array" ref="K39">_xlfn.XLOOKUP(Top_100_Universities[[#This Row],[Town]], Cost_of_Living[[#All],[City]], Cost_of_Living[[#All],[Normalized Cost of Living]], "NA",0)</f>
        <v>0.89963503649635035</v>
      </c>
      <c r="L39" s="63" cm="1">
        <f t="array" ref="L39">_xlfn.XLOOKUP(Top_100_Universities[[#This Row],[State]], Crime_rate_Index[[#All],[State ]], Crime_rate_Index[[#All],[Normalized Crime Index]], "NA", 0)</f>
        <v>0.76188773686092248</v>
      </c>
      <c r="M39" s="63" cm="1">
        <f t="array" ref="M39">_xlfn.XLOOKUP(Top_100_Universities[[#This Row],[State]], Safest_States[[#All],[state]], Safest_States[[#All],[Normailzed Safety Score]], "NA", 0)</f>
        <v>0.43176312247644677</v>
      </c>
      <c r="N39" s="63">
        <f>0.4*Top_100_Universities[[#This Row],[Normalized Cost of Living Index]] + 0.3*Top_100_Universities[[#This Row],[Normalized Crime Rate Index]] + 0.3*Top_100_Universities[[#This Row],[Normalized Safety Score]]</f>
        <v>0.71794927239975093</v>
      </c>
    </row>
    <row r="40" spans="1:14">
      <c r="A40" s="2">
        <v>39</v>
      </c>
      <c r="B40" s="2" t="s">
        <v>61</v>
      </c>
      <c r="C40" s="2" t="s">
        <v>759</v>
      </c>
      <c r="D40" s="2" t="s">
        <v>760</v>
      </c>
      <c r="E40" s="10" t="s">
        <v>943</v>
      </c>
      <c r="F40" s="2" t="str">
        <f>_xlfn.XLOOKUP(Top_100_Universities[[#This Row],[University]],Table1[University],Table1[Type],"NOT FOUND",0)</f>
        <v>Public</v>
      </c>
      <c r="G40" s="31">
        <f>_xlfn.XLOOKUP(Top_100_Universities[[#This Row],[University]],Table1[University],Table1[Av. Grant Aid],"NOT FOUND",0)</f>
        <v>26818</v>
      </c>
      <c r="H40" s="31">
        <f>_xlfn.XLOOKUP(Top_100_Universities[[#This Row],[University]],Table1[University],Table1[Av. Debt],"NOT FOUND",0)</f>
        <v>8639</v>
      </c>
      <c r="I40" s="31">
        <f>_xlfn.XLOOKUP(Top_100_Universities[[#This Row],[University]],Table1[University],Table1[Median 10-year Salary],"NOT FOUND",0)</f>
        <v>149100</v>
      </c>
      <c r="J40" s="41">
        <f>_xlfn.XLOOKUP(Top_100_Universities[[#This Row],[Town]],Cost_of_Living[City],Cost_of_Living[Cost of Living Index],"NA",0)</f>
        <v>102.1</v>
      </c>
      <c r="K40" s="63" cm="1">
        <f t="array" ref="K40">_xlfn.XLOOKUP(Top_100_Universities[[#This Row],[Town]], Cost_of_Living[[#All],[City]], Cost_of_Living[[#All],[Normalized Cost of Living]], "NA",0)</f>
        <v>0.69799270072992703</v>
      </c>
      <c r="L40" s="63" cm="1">
        <f t="array" ref="L40">_xlfn.XLOOKUP(Top_100_Universities[[#This Row],[State]], Crime_rate_Index[[#All],[State ]], Crime_rate_Index[[#All],[Normalized Crime Index]], "NA", 0)</f>
        <v>0.93743296388988206</v>
      </c>
      <c r="M40" s="63" cm="1">
        <f t="array" ref="M40">_xlfn.XLOOKUP(Top_100_Universities[[#This Row],[State]], Safest_States[[#All],[state]], Safest_States[[#All],[Normailzed Safety Score]], "NA", 0)</f>
        <v>0.65545087483176301</v>
      </c>
      <c r="N40" s="63">
        <f>0.4*Top_100_Universities[[#This Row],[Normalized Cost of Living Index]] + 0.3*Top_100_Universities[[#This Row],[Normalized Crime Rate Index]] + 0.3*Top_100_Universities[[#This Row],[Normalized Safety Score]]</f>
        <v>0.75706223190846433</v>
      </c>
    </row>
    <row r="41" spans="1:14">
      <c r="A41" s="2">
        <v>40</v>
      </c>
      <c r="B41" s="2" t="s">
        <v>62</v>
      </c>
      <c r="C41" s="2" t="s">
        <v>256</v>
      </c>
      <c r="D41" s="2" t="s">
        <v>738</v>
      </c>
      <c r="E41" s="10" t="s">
        <v>827</v>
      </c>
      <c r="F41" s="2" t="str">
        <f>_xlfn.XLOOKUP(Top_100_Universities[[#This Row],[University]],Table1[University],Table1[Type],"NOT FOUND",0)</f>
        <v>Private not-for-profit</v>
      </c>
      <c r="G41" s="31">
        <f>_xlfn.XLOOKUP(Top_100_Universities[[#This Row],[University]],Table1[University],Table1[Av. Grant Aid],"NOT FOUND",0)</f>
        <v>51565</v>
      </c>
      <c r="H41" s="31">
        <f>_xlfn.XLOOKUP(Top_100_Universities[[#This Row],[University]],Table1[University],Table1[Av. Debt],"NOT FOUND",0)</f>
        <v>10425</v>
      </c>
      <c r="I41" s="31">
        <f>_xlfn.XLOOKUP(Top_100_Universities[[#This Row],[University]],Table1[University],Table1[Median 10-year Salary],"NOT FOUND",0)</f>
        <v>144400</v>
      </c>
      <c r="J41" s="41">
        <f>_xlfn.XLOOKUP(Top_100_Universities[[#This Row],[Town]],Cost_of_Living[City],Cost_of_Living[Cost of Living Index],"NA",0)</f>
        <v>132.6</v>
      </c>
      <c r="K41" s="63" cm="1">
        <f t="array" ref="K41">_xlfn.XLOOKUP(Top_100_Universities[[#This Row],[Town]], Cost_of_Living[[#All],[City]], Cost_of_Living[[#All],[Normalized Cost of Living]], "NA",0)</f>
        <v>0.41970802919708028</v>
      </c>
      <c r="L41" s="63" cm="1">
        <f t="array" ref="L41">_xlfn.XLOOKUP(Top_100_Universities[[#This Row],[State]], Crime_rate_Index[[#All],[State ]], Crime_rate_Index[[#All],[Normalized Crime Index]], "NA", 0)</f>
        <v>0.85055416517697535</v>
      </c>
      <c r="M41" s="63" cm="1">
        <f t="array" ref="M41">_xlfn.XLOOKUP(Top_100_Universities[[#This Row],[State]], Safest_States[[#All],[state]], Safest_States[[#All],[Normailzed Safety Score]], "NA", 0)</f>
        <v>0.76393001345895017</v>
      </c>
      <c r="N41" s="63">
        <f>0.4*Top_100_Universities[[#This Row],[Normalized Cost of Living Index]] + 0.3*Top_100_Universities[[#This Row],[Normalized Crime Rate Index]] + 0.3*Top_100_Universities[[#This Row],[Normalized Safety Score]]</f>
        <v>0.65222846526960976</v>
      </c>
    </row>
    <row r="42" spans="1:14">
      <c r="A42" s="2">
        <v>41</v>
      </c>
      <c r="B42" s="2" t="s">
        <v>63</v>
      </c>
      <c r="C42" s="2" t="s">
        <v>64</v>
      </c>
      <c r="D42" s="2" t="s">
        <v>752</v>
      </c>
      <c r="E42" s="10" t="s">
        <v>889</v>
      </c>
      <c r="F42" s="2" t="str">
        <f>_xlfn.XLOOKUP(Top_100_Universities[[#This Row],[University]],Table1[University],Table1[Type],"NOT FOUND",0)</f>
        <v>Public</v>
      </c>
      <c r="G42" s="31">
        <f>_xlfn.XLOOKUP(Top_100_Universities[[#This Row],[University]],Table1[University],Table1[Av. Grant Aid],"NOT FOUND",0)</f>
        <v>9181</v>
      </c>
      <c r="H42" s="31">
        <f>_xlfn.XLOOKUP(Top_100_Universities[[#This Row],[University]],Table1[University],Table1[Av. Debt],"NOT FOUND",0)</f>
        <v>7194</v>
      </c>
      <c r="I42" s="31">
        <f>_xlfn.XLOOKUP(Top_100_Universities[[#This Row],[University]],Table1[University],Table1[Median 10-year Salary],"NOT FOUND",0)</f>
        <v>128600</v>
      </c>
      <c r="J42" s="41">
        <f>_xlfn.XLOOKUP(Top_100_Universities[[#This Row],[Town]],Cost_of_Living[City],Cost_of_Living[Cost of Living Index],"NA",0)</f>
        <v>99.7</v>
      </c>
      <c r="K42" s="63" cm="1">
        <f t="array" ref="K42">_xlfn.XLOOKUP(Top_100_Universities[[#This Row],[Town]], Cost_of_Living[[#All],[City]], Cost_of_Living[[#All],[Normalized Cost of Living]], "NA",0)</f>
        <v>0.7198905109489051</v>
      </c>
      <c r="L42" s="63" cm="1">
        <f t="array" ref="L42">_xlfn.XLOOKUP(Top_100_Universities[[#This Row],[State]], Crime_rate_Index[[#All],[State ]], Crime_rate_Index[[#All],[Normalized Crime Index]], "NA", 0)</f>
        <v>0.67143367894172323</v>
      </c>
      <c r="M42" s="63" cm="1">
        <f t="array" ref="M42">_xlfn.XLOOKUP(Top_100_Universities[[#This Row],[State]], Safest_States[[#All],[state]], Safest_States[[#All],[Normailzed Safety Score]], "NA", 0)</f>
        <v>0.55800807537012098</v>
      </c>
      <c r="N42" s="63">
        <f>0.4*Top_100_Universities[[#This Row],[Normalized Cost of Living Index]] + 0.3*Top_100_Universities[[#This Row],[Normalized Crime Rate Index]] + 0.3*Top_100_Universities[[#This Row],[Normalized Safety Score]]</f>
        <v>0.65678873067311527</v>
      </c>
    </row>
    <row r="43" spans="1:14">
      <c r="A43" s="2">
        <v>42</v>
      </c>
      <c r="B43" s="2" t="s">
        <v>65</v>
      </c>
      <c r="C43" s="2" t="s">
        <v>66</v>
      </c>
      <c r="D43" s="2" t="s">
        <v>761</v>
      </c>
      <c r="E43" s="10" t="s">
        <v>950</v>
      </c>
      <c r="F43" s="2" t="str">
        <f>_xlfn.XLOOKUP(Top_100_Universities[[#This Row],[University]],Table1[University],Table1[Type],"NOT FOUND",0)</f>
        <v>Public</v>
      </c>
      <c r="G43" s="31">
        <f>_xlfn.XLOOKUP(Top_100_Universities[[#This Row],[University]],Table1[University],Table1[Av. Grant Aid],"NOT FOUND",0)</f>
        <v>9696</v>
      </c>
      <c r="H43" s="31">
        <f>_xlfn.XLOOKUP(Top_100_Universities[[#This Row],[University]],Table1[University],Table1[Av. Debt],"NOT FOUND",0)</f>
        <v>8287</v>
      </c>
      <c r="I43" s="31">
        <f>_xlfn.XLOOKUP(Top_100_Universities[[#This Row],[University]],Table1[University],Table1[Median 10-year Salary],"NOT FOUND",0)</f>
        <v>125900</v>
      </c>
      <c r="J43" s="41">
        <f>_xlfn.XLOOKUP(Top_100_Universities[[#This Row],[Town]],Cost_of_Living[City],Cost_of_Living[Cost of Living Index],"NA",0)</f>
        <v>105.9</v>
      </c>
      <c r="K43" s="63" cm="1">
        <f t="array" ref="K43">_xlfn.XLOOKUP(Top_100_Universities[[#This Row],[Town]], Cost_of_Living[[#All],[City]], Cost_of_Living[[#All],[Normalized Cost of Living]], "NA",0)</f>
        <v>0.6633211678832116</v>
      </c>
      <c r="L43" s="63" cm="1">
        <f t="array" ref="L43">_xlfn.XLOOKUP(Top_100_Universities[[#This Row],[State]], Crime_rate_Index[[#All],[State ]], Crime_rate_Index[[#All],[Normalized Crime Index]], "NA", 0)</f>
        <v>0.83732570611369328</v>
      </c>
      <c r="M43" s="63" cm="1">
        <f t="array" ref="M43">_xlfn.XLOOKUP(Top_100_Universities[[#This Row],[State]], Safest_States[[#All],[state]], Safest_States[[#All],[Normailzed Safety Score]], "NA", 0)</f>
        <v>0.85706594885598897</v>
      </c>
      <c r="N43" s="63">
        <f>0.4*Top_100_Universities[[#This Row],[Normalized Cost of Living Index]] + 0.3*Top_100_Universities[[#This Row],[Normalized Crime Rate Index]] + 0.3*Top_100_Universities[[#This Row],[Normalized Safety Score]]</f>
        <v>0.77364596364418947</v>
      </c>
    </row>
    <row r="44" spans="1:14">
      <c r="A44" s="2">
        <v>43</v>
      </c>
      <c r="B44" s="2" t="s">
        <v>67</v>
      </c>
      <c r="C44" s="2" t="s">
        <v>68</v>
      </c>
      <c r="D44" s="2" t="s">
        <v>416</v>
      </c>
      <c r="E44" s="10" t="s">
        <v>971</v>
      </c>
      <c r="F44" s="2" t="str">
        <f>_xlfn.XLOOKUP(Top_100_Universities[[#This Row],[University]],Table1[University],Table1[Type],"NOT FOUND",0)</f>
        <v>Public</v>
      </c>
      <c r="G44" s="31">
        <f>_xlfn.XLOOKUP(Top_100_Universities[[#This Row],[University]],Table1[University],Table1[Av. Grant Aid],"NOT FOUND",0)</f>
        <v>10336</v>
      </c>
      <c r="H44" s="31">
        <f>_xlfn.XLOOKUP(Top_100_Universities[[#This Row],[University]],Table1[University],Table1[Av. Debt],"NOT FOUND",0)</f>
        <v>9757</v>
      </c>
      <c r="I44" s="31">
        <f>_xlfn.XLOOKUP(Top_100_Universities[[#This Row],[University]],Table1[University],Table1[Median 10-year Salary],"NOT FOUND",0)</f>
        <v>117300</v>
      </c>
      <c r="J44" s="41">
        <f>_xlfn.XLOOKUP(Top_100_Universities[[#This Row],[Town]],Cost_of_Living[City],Cost_of_Living[Cost of Living Index],"NA",0)</f>
        <v>89</v>
      </c>
      <c r="K44" s="63" cm="1">
        <f t="array" ref="K44">_xlfn.XLOOKUP(Top_100_Universities[[#This Row],[Town]], Cost_of_Living[[#All],[City]], Cost_of_Living[[#All],[Normalized Cost of Living]], "NA",0)</f>
        <v>0.81751824817518248</v>
      </c>
      <c r="L44" s="63" cm="1">
        <f t="array" ref="L44">_xlfn.XLOOKUP(Top_100_Universities[[#This Row],[State]], Crime_rate_Index[[#All],[State ]], Crime_rate_Index[[#All],[Normalized Crime Index]], "NA", 0)</f>
        <v>0.76796567751161959</v>
      </c>
      <c r="M44" s="63" cm="1">
        <f t="array" ref="M44">_xlfn.XLOOKUP(Top_100_Universities[[#This Row],[State]], Safest_States[[#All],[state]], Safest_States[[#All],[Normailzed Safety Score]], "NA", 0)</f>
        <v>0.57442799461641969</v>
      </c>
      <c r="N44" s="63">
        <f>0.4*Top_100_Universities[[#This Row],[Normalized Cost of Living Index]] + 0.3*Top_100_Universities[[#This Row],[Normalized Crime Rate Index]] + 0.3*Top_100_Universities[[#This Row],[Normalized Safety Score]]</f>
        <v>0.7297254009084847</v>
      </c>
    </row>
    <row r="45" spans="1:14">
      <c r="A45" s="2">
        <v>44</v>
      </c>
      <c r="B45" s="2" t="s">
        <v>69</v>
      </c>
      <c r="C45" s="2" t="s">
        <v>584</v>
      </c>
      <c r="D45" s="2" t="s">
        <v>666</v>
      </c>
      <c r="E45" s="10" t="s">
        <v>822</v>
      </c>
      <c r="F45" s="2" t="str">
        <f>_xlfn.XLOOKUP(Top_100_Universities[[#This Row],[University]],Table1[University],Table1[Type],"NOT FOUND",0)</f>
        <v>Public</v>
      </c>
      <c r="G45" s="31">
        <f>_xlfn.XLOOKUP(Top_100_Universities[[#This Row],[University]],Table1[University],Table1[Av. Grant Aid],"NOT FOUND",0)</f>
        <v>20389</v>
      </c>
      <c r="H45" s="31">
        <f>_xlfn.XLOOKUP(Top_100_Universities[[#This Row],[University]],Table1[University],Table1[Av. Debt],"NOT FOUND",0)</f>
        <v>7453</v>
      </c>
      <c r="I45" s="31">
        <f>_xlfn.XLOOKUP(Top_100_Universities[[#This Row],[University]],Table1[University],Table1[Median 10-year Salary],"NOT FOUND",0)</f>
        <v>148600</v>
      </c>
      <c r="J45" s="41">
        <f>_xlfn.XLOOKUP(Top_100_Universities[[#This Row],[Town]],Cost_of_Living[City],Cost_of_Living[Cost of Living Index],"NA",0)</f>
        <v>83.7</v>
      </c>
      <c r="K45" s="63" cm="1">
        <f t="array" ref="K45">_xlfn.XLOOKUP(Top_100_Universities[[#This Row],[Town]], Cost_of_Living[[#All],[City]], Cost_of_Living[[#All],[Normalized Cost of Living]], "NA",0)</f>
        <v>0.86587591240875905</v>
      </c>
      <c r="L45" s="63" cm="1">
        <f t="array" ref="L45">_xlfn.XLOOKUP(Top_100_Universities[[#This Row],[State]], Crime_rate_Index[[#All],[State ]], Crime_rate_Index[[#All],[Normalized Crime Index]], "NA", 0)</f>
        <v>0.73149803360743659</v>
      </c>
      <c r="M45" s="63" cm="1">
        <f t="array" ref="M45">_xlfn.XLOOKUP(Top_100_Universities[[#This Row],[State]], Safest_States[[#All],[state]], Safest_States[[#All],[Normailzed Safety Score]], "NA", 0)</f>
        <v>0.46567967698519502</v>
      </c>
      <c r="N45" s="63">
        <f>0.4*Top_100_Universities[[#This Row],[Normalized Cost of Living Index]] + 0.3*Top_100_Universities[[#This Row],[Normalized Crime Rate Index]] + 0.3*Top_100_Universities[[#This Row],[Normalized Safety Score]]</f>
        <v>0.70550367814129311</v>
      </c>
    </row>
    <row r="46" spans="1:14">
      <c r="A46" s="2">
        <v>45</v>
      </c>
      <c r="B46" s="2" t="s">
        <v>70</v>
      </c>
      <c r="C46" s="2" t="s">
        <v>71</v>
      </c>
      <c r="D46" s="2" t="s">
        <v>762</v>
      </c>
      <c r="E46" s="10" t="s">
        <v>934</v>
      </c>
      <c r="F46" s="2" t="str">
        <f>_xlfn.XLOOKUP(Top_100_Universities[[#This Row],[University]],Table1[University],Table1[Type],"NOT FOUND",0)</f>
        <v>Private not-for-profit</v>
      </c>
      <c r="G46" s="31">
        <f>_xlfn.XLOOKUP(Top_100_Universities[[#This Row],[University]],Table1[University],Table1[Av. Grant Aid],"NOT FOUND",0)</f>
        <v>45949</v>
      </c>
      <c r="H46" s="31">
        <f>_xlfn.XLOOKUP(Top_100_Universities[[#This Row],[University]],Table1[University],Table1[Av. Debt],"NOT FOUND",0)</f>
        <v>8982</v>
      </c>
      <c r="I46" s="31">
        <f>_xlfn.XLOOKUP(Top_100_Universities[[#This Row],[University]],Table1[University],Table1[Median 10-year Salary],"NOT FOUND",0)</f>
        <v>163400</v>
      </c>
      <c r="J46" s="41">
        <f>_xlfn.XLOOKUP(Top_100_Universities[[#This Row],[Town]],Cost_of_Living[City],Cost_of_Living[Cost of Living Index],"NA",0)</f>
        <v>120.1</v>
      </c>
      <c r="K46" s="63" cm="1">
        <f t="array" ref="K46">_xlfn.XLOOKUP(Top_100_Universities[[#This Row],[Town]], Cost_of_Living[[#All],[City]], Cost_of_Living[[#All],[Normalized Cost of Living]], "NA",0)</f>
        <v>0.53375912408759119</v>
      </c>
      <c r="L46" s="63" cm="1">
        <f t="array" ref="L46">_xlfn.XLOOKUP(Top_100_Universities[[#This Row],[State]], Crime_rate_Index[[#All],[State ]], Crime_rate_Index[[#All],[Normalized Crime Index]], "NA", 0)</f>
        <v>0</v>
      </c>
      <c r="M46" s="63">
        <v>0.3</v>
      </c>
      <c r="N46" s="63">
        <f>0.4*Top_100_Universities[[#This Row],[Normalized Cost of Living Index]] + 0.3*Top_100_Universities[[#This Row],[Normalized Crime Rate Index]] + 0.3*Top_100_Universities[[#This Row],[Normalized Safety Score]]</f>
        <v>0.30350364963503651</v>
      </c>
    </row>
    <row r="47" spans="1:14">
      <c r="A47" s="2">
        <v>46</v>
      </c>
      <c r="B47" s="2" t="s">
        <v>72</v>
      </c>
      <c r="C47" s="2" t="s">
        <v>356</v>
      </c>
      <c r="D47" s="2" t="s">
        <v>743</v>
      </c>
      <c r="E47" s="10" t="s">
        <v>844</v>
      </c>
      <c r="F47" s="2" t="str">
        <f>_xlfn.XLOOKUP(Top_100_Universities[[#This Row],[University]],Table1[University],Table1[Type],"NOT FOUND",0)</f>
        <v>Public</v>
      </c>
      <c r="G47" s="31">
        <f>_xlfn.XLOOKUP(Top_100_Universities[[#This Row],[University]],Table1[University],Table1[Av. Grant Aid],"NOT FOUND",0)</f>
        <v>10919</v>
      </c>
      <c r="H47" s="31">
        <f>_xlfn.XLOOKUP(Top_100_Universities[[#This Row],[University]],Table1[University],Table1[Av. Debt],"NOT FOUND",0)</f>
        <v>10081</v>
      </c>
      <c r="I47" s="31">
        <f>_xlfn.XLOOKUP(Top_100_Universities[[#This Row],[University]],Table1[University],Table1[Median 10-year Salary],"NOT FOUND",0)</f>
        <v>121200</v>
      </c>
      <c r="J47" s="41">
        <f>_xlfn.XLOOKUP(Top_100_Universities[[#This Row],[Town]],Cost_of_Living[City],Cost_of_Living[Cost of Living Index],"NA",0)</f>
        <v>93.1</v>
      </c>
      <c r="K47" s="63" cm="1">
        <f t="array" ref="K47">_xlfn.XLOOKUP(Top_100_Universities[[#This Row],[Town]], Cost_of_Living[[#All],[City]], Cost_of_Living[[#All],[Normalized Cost of Living]], "NA",0)</f>
        <v>0.7801094890510949</v>
      </c>
      <c r="L47" s="63" cm="1">
        <f t="array" ref="L47">_xlfn.XLOOKUP(Top_100_Universities[[#This Row],[State]], Crime_rate_Index[[#All],[State ]], Crime_rate_Index[[#All],[Normalized Crime Index]], "NA", 0)</f>
        <v>0.86235252055774048</v>
      </c>
      <c r="M47" s="63" cm="1">
        <f t="array" ref="M47">_xlfn.XLOOKUP(Top_100_Universities[[#This Row],[State]], Safest_States[[#All],[state]], Safest_States[[#All],[Normailzed Safety Score]], "NA", 0)</f>
        <v>0.45410497981157455</v>
      </c>
      <c r="N47" s="63">
        <f>0.4*Top_100_Universities[[#This Row],[Normalized Cost of Living Index]] + 0.3*Top_100_Universities[[#This Row],[Normalized Crime Rate Index]] + 0.3*Top_100_Universities[[#This Row],[Normalized Safety Score]]</f>
        <v>0.70698104573123244</v>
      </c>
    </row>
    <row r="48" spans="1:14">
      <c r="A48" s="2">
        <v>47</v>
      </c>
      <c r="B48" s="2" t="s">
        <v>73</v>
      </c>
      <c r="C48" s="2" t="s">
        <v>74</v>
      </c>
      <c r="D48" s="2" t="s">
        <v>763</v>
      </c>
      <c r="E48" s="10" t="s">
        <v>926</v>
      </c>
      <c r="F48" s="2" t="str">
        <f>_xlfn.XLOOKUP(Top_100_Universities[[#This Row],[University]],Table1[University],Table1[Type],"NOT FOUND",0)</f>
        <v>Private not-for-profit</v>
      </c>
      <c r="G48" s="31">
        <f>_xlfn.XLOOKUP(Top_100_Universities[[#This Row],[University]],Table1[University],Table1[Av. Grant Aid],"NOT FOUND",0)</f>
        <v>58188</v>
      </c>
      <c r="H48" s="31">
        <f>_xlfn.XLOOKUP(Top_100_Universities[[#This Row],[University]],Table1[University],Table1[Av. Debt],"NOT FOUND",0)</f>
        <v>9495</v>
      </c>
      <c r="I48" s="31">
        <f>_xlfn.XLOOKUP(Top_100_Universities[[#This Row],[University]],Table1[University],Table1[Median 10-year Salary],"NOT FOUND",0)</f>
        <v>142800</v>
      </c>
      <c r="J48" s="41">
        <f>_xlfn.XLOOKUP(Top_100_Universities[[#This Row],[Town]],Cost_of_Living[City],Cost_of_Living[Cost of Living Index],"NA",0)</f>
        <v>89.6</v>
      </c>
      <c r="K48" s="63" cm="1">
        <f t="array" ref="K48">_xlfn.XLOOKUP(Top_100_Universities[[#This Row],[Town]], Cost_of_Living[[#All],[City]], Cost_of_Living[[#All],[Normalized Cost of Living]], "NA",0)</f>
        <v>0.81204379562043805</v>
      </c>
      <c r="L48" s="63" cm="1">
        <f t="array" ref="L48">_xlfn.XLOOKUP(Top_100_Universities[[#This Row],[State]], Crime_rate_Index[[#All],[State ]], Crime_rate_Index[[#All],[Normalized Crime Index]], "NA", 0)</f>
        <v>0.67536646406864498</v>
      </c>
      <c r="M48" s="63" cm="1">
        <f t="array" ref="M48">_xlfn.XLOOKUP(Top_100_Universities[[#This Row],[State]], Safest_States[[#All],[state]], Safest_States[[#All],[Normailzed Safety Score]], "NA", 0)</f>
        <v>0.23176312247644679</v>
      </c>
      <c r="N48" s="63">
        <f>0.4*Top_100_Universities[[#This Row],[Normalized Cost of Living Index]] + 0.3*Top_100_Universities[[#This Row],[Normalized Crime Rate Index]] + 0.3*Top_100_Universities[[#This Row],[Normalized Safety Score]]</f>
        <v>0.59695639421170277</v>
      </c>
    </row>
    <row r="49" spans="1:14">
      <c r="A49" s="2">
        <v>48</v>
      </c>
      <c r="B49" s="2" t="s">
        <v>75</v>
      </c>
      <c r="C49" s="2" t="s">
        <v>76</v>
      </c>
      <c r="D49" s="2" t="s">
        <v>738</v>
      </c>
      <c r="E49" s="10" t="s">
        <v>827</v>
      </c>
      <c r="F49" s="2" t="str">
        <f>_xlfn.XLOOKUP(Top_100_Universities[[#This Row],[University]],Table1[University],Table1[Type],"NOT FOUND",0)</f>
        <v>Private not-for-profit</v>
      </c>
      <c r="G49" s="31">
        <f>_xlfn.XLOOKUP(Top_100_Universities[[#This Row],[University]],Table1[University],Table1[Av. Grant Aid],"NOT FOUND",0)</f>
        <v>51613</v>
      </c>
      <c r="H49" s="31">
        <f>_xlfn.XLOOKUP(Top_100_Universities[[#This Row],[University]],Table1[University],Table1[Av. Debt],"NOT FOUND",0)</f>
        <v>7034</v>
      </c>
      <c r="I49" s="31">
        <f>_xlfn.XLOOKUP(Top_100_Universities[[#This Row],[University]],Table1[University],Table1[Median 10-year Salary],"NOT FOUND",0)</f>
        <v>144400</v>
      </c>
      <c r="J49" s="41">
        <f>_xlfn.XLOOKUP(Top_100_Universities[[#This Row],[Town]],Cost_of_Living[City],Cost_of_Living[Cost of Living Index],"NA",0)</f>
        <v>107.5</v>
      </c>
      <c r="K49" s="63" cm="1">
        <f t="array" ref="K49">_xlfn.XLOOKUP(Top_100_Universities[[#This Row],[Town]], Cost_of_Living[[#All],[City]], Cost_of_Living[[#All],[Normalized Cost of Living]], "NA",0)</f>
        <v>0.64872262773722622</v>
      </c>
      <c r="L49" s="63" cm="1">
        <f t="array" ref="L49">_xlfn.XLOOKUP(Top_100_Universities[[#This Row],[State]], Crime_rate_Index[[#All],[State ]], Crime_rate_Index[[#All],[Normalized Crime Index]], "NA", 0)</f>
        <v>0.85055416517697535</v>
      </c>
      <c r="M49" s="63" cm="1">
        <f t="array" ref="M49">_xlfn.XLOOKUP(Top_100_Universities[[#This Row],[State]], Safest_States[[#All],[state]], Safest_States[[#All],[Normailzed Safety Score]], "NA", 0)</f>
        <v>0.76393001345895017</v>
      </c>
      <c r="N49" s="63">
        <f>0.4*Top_100_Universities[[#This Row],[Normalized Cost of Living Index]] + 0.3*Top_100_Universities[[#This Row],[Normalized Crime Rate Index]] + 0.3*Top_100_Universities[[#This Row],[Normalized Safety Score]]</f>
        <v>0.74383430468566814</v>
      </c>
    </row>
    <row r="50" spans="1:14">
      <c r="A50" s="2">
        <v>49</v>
      </c>
      <c r="B50" s="2" t="s">
        <v>77</v>
      </c>
      <c r="C50" s="2" t="s">
        <v>78</v>
      </c>
      <c r="D50" s="2" t="s">
        <v>764</v>
      </c>
      <c r="E50" s="10" t="s">
        <v>1416</v>
      </c>
      <c r="F50" s="2" t="s">
        <v>835</v>
      </c>
      <c r="G50" s="31">
        <f>_xlfn.XLOOKUP(Top_100_Universities[[#This Row],[University]],Table1[University],Table1[Av. Grant Aid],"NOT FOUND",0)</f>
        <v>10941</v>
      </c>
      <c r="H50" s="31">
        <f>_xlfn.XLOOKUP(Top_100_Universities[[#This Row],[University]],Table1[University],Table1[Av. Debt],"NOT FOUND",0)</f>
        <v>6553</v>
      </c>
      <c r="I50" s="31">
        <f>_xlfn.XLOOKUP(Top_100_Universities[[#This Row],[University]],Table1[University],Table1[Median 10-year Salary],"NOT FOUND",0)</f>
        <v>117000</v>
      </c>
      <c r="J50" s="41">
        <f>_xlfn.XLOOKUP(Top_100_Universities[[#This Row],[Town]],Cost_of_Living[City],Cost_of_Living[Cost of Living Index],"NA",0)</f>
        <v>94.7</v>
      </c>
      <c r="K50" s="63" cm="1">
        <f t="array" ref="K50">_xlfn.XLOOKUP(Top_100_Universities[[#This Row],[Town]], Cost_of_Living[[#All],[City]], Cost_of_Living[[#All],[Normalized Cost of Living]], "NA",0)</f>
        <v>0.76551094890510951</v>
      </c>
      <c r="L50" s="63" cm="1">
        <f t="array" ref="L50">_xlfn.XLOOKUP(Top_100_Universities[[#This Row],[State]], Crime_rate_Index[[#All],[State ]], Crime_rate_Index[[#All],[Normalized Crime Index]], "NA", 0)</f>
        <v>0.84268859492313197</v>
      </c>
      <c r="M50" s="63" cm="1">
        <f t="array" ref="M50">_xlfn.XLOOKUP(Top_100_Universities[[#This Row],[State]], Safest_States[[#All],[state]], Safest_States[[#All],[Normailzed Safety Score]], "NA", 0)</f>
        <v>0.40215343203230136</v>
      </c>
      <c r="N50" s="63">
        <f>0.4*Top_100_Universities[[#This Row],[Normalized Cost of Living Index]] + 0.3*Top_100_Universities[[#This Row],[Normalized Crime Rate Index]] + 0.3*Top_100_Universities[[#This Row],[Normalized Safety Score]]</f>
        <v>0.67965698764867388</v>
      </c>
    </row>
    <row r="51" spans="1:14">
      <c r="A51" s="2">
        <v>50</v>
      </c>
      <c r="B51" s="2" t="s">
        <v>79</v>
      </c>
      <c r="C51" s="2" t="s">
        <v>80</v>
      </c>
      <c r="D51" s="2" t="s">
        <v>760</v>
      </c>
      <c r="E51" s="10" t="s">
        <v>943</v>
      </c>
      <c r="F51" s="2" t="str">
        <f>_xlfn.XLOOKUP(Top_100_Universities[[#This Row],[University]],Table1[University],Table1[Type],"NOT FOUND",0)</f>
        <v>Public</v>
      </c>
      <c r="G51" s="31">
        <f>_xlfn.XLOOKUP(Top_100_Universities[[#This Row],[University]],Table1[University],Table1[Av. Grant Aid],"NOT FOUND",0)</f>
        <v>7649</v>
      </c>
      <c r="H51" s="31">
        <f>_xlfn.XLOOKUP(Top_100_Universities[[#This Row],[University]],Table1[University],Table1[Av. Debt],"NOT FOUND",0)</f>
        <v>10100</v>
      </c>
      <c r="I51" s="31">
        <f>_xlfn.XLOOKUP(Top_100_Universities[[#This Row],[University]],Table1[University],Table1[Median 10-year Salary],"NOT FOUND",0)</f>
        <v>136000</v>
      </c>
      <c r="J51" s="41">
        <f>_xlfn.XLOOKUP(Top_100_Universities[[#This Row],[Town]],Cost_of_Living[City],Cost_of_Living[Cost of Living Index],"NA",0)</f>
        <v>94.5</v>
      </c>
      <c r="K51" s="63" cm="1">
        <f t="array" ref="K51">_xlfn.XLOOKUP(Top_100_Universities[[#This Row],[Town]], Cost_of_Living[[#All],[City]], Cost_of_Living[[#All],[Normalized Cost of Living]], "NA",0)</f>
        <v>0.76733576642335766</v>
      </c>
      <c r="L51" s="63" cm="1">
        <f t="array" ref="L51">_xlfn.XLOOKUP(Top_100_Universities[[#This Row],[State]], Crime_rate_Index[[#All],[State ]], Crime_rate_Index[[#All],[Normalized Crime Index]], "NA", 0)</f>
        <v>0.93743296388988206</v>
      </c>
      <c r="M51" s="63" cm="1">
        <f t="array" ref="M51">_xlfn.XLOOKUP(Top_100_Universities[[#This Row],[State]], Safest_States[[#All],[state]], Safest_States[[#All],[Normailzed Safety Score]], "NA", 0)</f>
        <v>0.65545087483176301</v>
      </c>
      <c r="N51" s="63">
        <f>0.4*Top_100_Universities[[#This Row],[Normalized Cost of Living Index]] + 0.3*Top_100_Universities[[#This Row],[Normalized Crime Rate Index]] + 0.3*Top_100_Universities[[#This Row],[Normalized Safety Score]]</f>
        <v>0.78479945818583663</v>
      </c>
    </row>
    <row r="52" spans="1:14">
      <c r="A52" s="2">
        <v>51</v>
      </c>
      <c r="B52" s="2" t="s">
        <v>81</v>
      </c>
      <c r="C52" s="2" t="s">
        <v>765</v>
      </c>
      <c r="D52" s="2" t="s">
        <v>766</v>
      </c>
      <c r="E52" s="10" t="s">
        <v>1236</v>
      </c>
      <c r="F52" s="2" t="str">
        <f>_xlfn.XLOOKUP(Top_100_Universities[[#This Row],[University]],Table1[University],Table1[Type],"NOT FOUND",0)</f>
        <v>Public</v>
      </c>
      <c r="G52" s="31">
        <f>_xlfn.XLOOKUP(Top_100_Universities[[#This Row],[University]],Table1[University],Table1[Av. Grant Aid],"NOT FOUND",0)</f>
        <v>9260</v>
      </c>
      <c r="H52" s="31">
        <f>_xlfn.XLOOKUP(Top_100_Universities[[#This Row],[University]],Table1[University],Table1[Av. Debt],"NOT FOUND",0)</f>
        <v>7622</v>
      </c>
      <c r="I52" s="31">
        <f>_xlfn.XLOOKUP(Top_100_Universities[[#This Row],[University]],Table1[University],Table1[Median 10-year Salary],"NOT FOUND",0)</f>
        <v>124000</v>
      </c>
      <c r="J52" s="41">
        <f>_xlfn.XLOOKUP(Top_100_Universities[[#This Row],[Town]],Cost_of_Living[City],Cost_of_Living[Cost of Living Index],"NA",0)</f>
        <v>110.6</v>
      </c>
      <c r="K52" s="63" cm="1">
        <f t="array" ref="K52">_xlfn.XLOOKUP(Top_100_Universities[[#This Row],[Town]], Cost_of_Living[[#All],[City]], Cost_of_Living[[#All],[Normalized Cost of Living]], "NA",0)</f>
        <v>0.62043795620437958</v>
      </c>
      <c r="L52" s="63" cm="1">
        <f t="array" ref="L52">_xlfn.XLOOKUP(Top_100_Universities[[#This Row],[State]], Crime_rate_Index[[#All],[State ]], Crime_rate_Index[[#All],[Normalized Crime Index]], "NA", 0)</f>
        <v>0.80443332141580259</v>
      </c>
      <c r="M52" s="63" cm="1">
        <f t="array" ref="M52">_xlfn.XLOOKUP(Top_100_Universities[[#This Row],[State]], Safest_States[[#All],[state]], Safest_States[[#All],[Normailzed Safety Score]], "NA", 0)</f>
        <v>0.64172274562584097</v>
      </c>
      <c r="N52" s="63">
        <f>0.4*Top_100_Universities[[#This Row],[Normalized Cost of Living Index]] + 0.3*Top_100_Universities[[#This Row],[Normalized Crime Rate Index]] + 0.3*Top_100_Universities[[#This Row],[Normalized Safety Score]]</f>
        <v>0.68202200259424484</v>
      </c>
    </row>
    <row r="53" spans="1:14">
      <c r="A53" s="2">
        <v>52</v>
      </c>
      <c r="B53" s="2" t="s">
        <v>82</v>
      </c>
      <c r="C53" s="2" t="s">
        <v>83</v>
      </c>
      <c r="D53" s="2" t="s">
        <v>761</v>
      </c>
      <c r="E53" s="10" t="s">
        <v>950</v>
      </c>
      <c r="F53" s="2" t="str">
        <f>_xlfn.XLOOKUP(Top_100_Universities[[#This Row],[University]],Table1[University],Table1[Type],"NOT FOUND",0)</f>
        <v>Private not-for-profit</v>
      </c>
      <c r="G53" s="31">
        <f>_xlfn.XLOOKUP(Top_100_Universities[[#This Row],[University]],Table1[University],Table1[Av. Grant Aid],"NOT FOUND",0)</f>
        <v>6325</v>
      </c>
      <c r="H53" s="31">
        <f>_xlfn.XLOOKUP(Top_100_Universities[[#This Row],[University]],Table1[University],Table1[Av. Debt],"NOT FOUND",0)</f>
        <v>5457</v>
      </c>
      <c r="I53" s="31">
        <f>_xlfn.XLOOKUP(Top_100_Universities[[#This Row],[University]],Table1[University],Table1[Median 10-year Salary],"NOT FOUND",0)</f>
        <v>133900</v>
      </c>
      <c r="J53" s="41">
        <f>_xlfn.XLOOKUP(Top_100_Universities[[#This Row],[Town]],Cost_of_Living[City],Cost_of_Living[Cost of Living Index],"NA",0)</f>
        <v>100.9</v>
      </c>
      <c r="K53" s="63" cm="1">
        <f t="array" ref="K53">_xlfn.XLOOKUP(Top_100_Universities[[#This Row],[Town]], Cost_of_Living[[#All],[City]], Cost_of_Living[[#All],[Normalized Cost of Living]], "NA",0)</f>
        <v>0.70894160583941601</v>
      </c>
      <c r="L53" s="63" cm="1">
        <f t="array" ref="L53">_xlfn.XLOOKUP(Top_100_Universities[[#This Row],[State]], Crime_rate_Index[[#All],[State ]], Crime_rate_Index[[#All],[Normalized Crime Index]], "NA", 0)</f>
        <v>0.83732570611369328</v>
      </c>
      <c r="M53" s="63" cm="1">
        <f t="array" ref="M53">_xlfn.XLOOKUP(Top_100_Universities[[#This Row],[State]], Safest_States[[#All],[state]], Safest_States[[#All],[Normailzed Safety Score]], "NA", 0)</f>
        <v>0.85706594885598897</v>
      </c>
      <c r="N53" s="63">
        <f>0.4*Top_100_Universities[[#This Row],[Normalized Cost of Living Index]] + 0.3*Top_100_Universities[[#This Row],[Normalized Crime Rate Index]] + 0.3*Top_100_Universities[[#This Row],[Normalized Safety Score]]</f>
        <v>0.79189413882667115</v>
      </c>
    </row>
    <row r="54" spans="1:14">
      <c r="A54" s="2">
        <v>53</v>
      </c>
      <c r="B54" s="2" t="s">
        <v>84</v>
      </c>
      <c r="C54" s="2" t="s">
        <v>85</v>
      </c>
      <c r="D54" s="2" t="s">
        <v>767</v>
      </c>
      <c r="E54" s="10" t="s">
        <v>939</v>
      </c>
      <c r="F54" s="2" t="str">
        <f>_xlfn.XLOOKUP(Top_100_Universities[[#This Row],[University]],Table1[University],Table1[Type],"NOT FOUND",0)</f>
        <v>Public</v>
      </c>
      <c r="G54" s="31">
        <f>_xlfn.XLOOKUP(Top_100_Universities[[#This Row],[University]],Table1[University],Table1[Av. Grant Aid],"NOT FOUND",0)</f>
        <v>13992</v>
      </c>
      <c r="H54" s="31">
        <f>_xlfn.XLOOKUP(Top_100_Universities[[#This Row],[University]],Table1[University],Table1[Av. Debt],"NOT FOUND",0)</f>
        <v>7027</v>
      </c>
      <c r="I54" s="31">
        <f>_xlfn.XLOOKUP(Top_100_Universities[[#This Row],[University]],Table1[University],Table1[Median 10-year Salary],"NOT FOUND",0)</f>
        <v>163500</v>
      </c>
      <c r="J54" s="41">
        <f>_xlfn.XLOOKUP(Top_100_Universities[[#This Row],[Town]],Cost_of_Living[City],Cost_of_Living[Cost of Living Index],"NA",0)</f>
        <v>100.3</v>
      </c>
      <c r="K54" s="63" cm="1">
        <f t="array" ref="K54">_xlfn.XLOOKUP(Top_100_Universities[[#This Row],[Town]], Cost_of_Living[[#All],[City]], Cost_of_Living[[#All],[Normalized Cost of Living]], "NA",0)</f>
        <v>0.71441605839416056</v>
      </c>
      <c r="L54" s="63" cm="1">
        <f t="array" ref="L54">_xlfn.XLOOKUP(Top_100_Universities[[#This Row],[State]], Crime_rate_Index[[#All],[State ]], Crime_rate_Index[[#All],[Normalized Crime Index]], "NA", 0)</f>
        <v>0.65641759027529489</v>
      </c>
      <c r="M54" s="63" cm="1">
        <f t="array" ref="M54">_xlfn.XLOOKUP(Top_100_Universities[[#This Row],[State]], Safest_States[[#All],[state]], Safest_States[[#All],[Normailzed Safety Score]], "NA", 0)</f>
        <v>0.36689098250336477</v>
      </c>
      <c r="N54" s="63">
        <f>0.4*Top_100_Universities[[#This Row],[Normalized Cost of Living Index]] + 0.3*Top_100_Universities[[#This Row],[Normalized Crime Rate Index]] + 0.3*Top_100_Universities[[#This Row],[Normalized Safety Score]]</f>
        <v>0.59275899519126207</v>
      </c>
    </row>
    <row r="55" spans="1:14">
      <c r="A55" s="2">
        <v>54</v>
      </c>
      <c r="B55" s="2" t="s">
        <v>86</v>
      </c>
      <c r="C55" s="2" t="s">
        <v>87</v>
      </c>
      <c r="D55" s="2" t="s">
        <v>767</v>
      </c>
      <c r="E55" s="10" t="s">
        <v>939</v>
      </c>
      <c r="F55" s="2" t="str">
        <f>_xlfn.XLOOKUP(Top_100_Universities[[#This Row],[University]],Table1[University],Table1[Type],"NOT FOUND",0)</f>
        <v>Public</v>
      </c>
      <c r="G55" s="31">
        <f>_xlfn.XLOOKUP(Top_100_Universities[[#This Row],[University]],Table1[University],Table1[Av. Grant Aid],"NOT FOUND",0)</f>
        <v>11559</v>
      </c>
      <c r="H55" s="31">
        <f>_xlfn.XLOOKUP(Top_100_Universities[[#This Row],[University]],Table1[University],Table1[Av. Debt],"NOT FOUND",0)</f>
        <v>6778</v>
      </c>
      <c r="I55" s="31">
        <f>_xlfn.XLOOKUP(Top_100_Universities[[#This Row],[University]],Table1[University],Table1[Median 10-year Salary],"NOT FOUND",0)</f>
        <v>124800</v>
      </c>
      <c r="J55" s="41">
        <f>_xlfn.XLOOKUP(Top_100_Universities[[#This Row],[Town]],Cost_of_Living[City],Cost_of_Living[Cost of Living Index],"NA",0)</f>
        <v>95</v>
      </c>
      <c r="K55" s="63" cm="1">
        <f t="array" ref="K55">_xlfn.XLOOKUP(Top_100_Universities[[#This Row],[Town]], Cost_of_Living[[#All],[City]], Cost_of_Living[[#All],[Normalized Cost of Living]], "NA",0)</f>
        <v>0.76277372262773724</v>
      </c>
      <c r="L55" s="63" cm="1">
        <f t="array" ref="L55">_xlfn.XLOOKUP(Top_100_Universities[[#This Row],[State]], Crime_rate_Index[[#All],[State ]], Crime_rate_Index[[#All],[Normalized Crime Index]], "NA", 0)</f>
        <v>0.65641759027529489</v>
      </c>
      <c r="M55" s="63" cm="1">
        <f t="array" ref="M55">_xlfn.XLOOKUP(Top_100_Universities[[#This Row],[State]], Safest_States[[#All],[state]], Safest_States[[#All],[Normailzed Safety Score]], "NA", 0)</f>
        <v>0.36689098250336477</v>
      </c>
      <c r="N55" s="63">
        <f>0.4*Top_100_Universities[[#This Row],[Normalized Cost of Living Index]] + 0.3*Top_100_Universities[[#This Row],[Normalized Crime Rate Index]] + 0.3*Top_100_Universities[[#This Row],[Normalized Safety Score]]</f>
        <v>0.61210206088469277</v>
      </c>
    </row>
    <row r="56" spans="1:14">
      <c r="A56" s="2">
        <v>55</v>
      </c>
      <c r="B56" s="2" t="s">
        <v>88</v>
      </c>
      <c r="C56" s="2" t="s">
        <v>89</v>
      </c>
      <c r="D56" s="2" t="s">
        <v>740</v>
      </c>
      <c r="E56" s="10" t="s">
        <v>840</v>
      </c>
      <c r="F56" s="2" t="str">
        <f>_xlfn.XLOOKUP(Top_100_Universities[[#This Row],[University]],Table1[University],Table1[Type],"NOT FOUND",0)</f>
        <v>Private not-for-profit</v>
      </c>
      <c r="G56" s="31">
        <f>_xlfn.XLOOKUP(Top_100_Universities[[#This Row],[University]],Table1[University],Table1[Av. Grant Aid],"NOT FOUND",0)</f>
        <v>39715</v>
      </c>
      <c r="H56" s="31">
        <f>_xlfn.XLOOKUP(Top_100_Universities[[#This Row],[University]],Table1[University],Table1[Av. Debt],"NOT FOUND",0)</f>
        <v>7198</v>
      </c>
      <c r="I56" s="31">
        <f>_xlfn.XLOOKUP(Top_100_Universities[[#This Row],[University]],Table1[University],Table1[Median 10-year Salary],"NOT FOUND",0)</f>
        <v>140900</v>
      </c>
      <c r="J56" s="41">
        <f>_xlfn.XLOOKUP(Top_100_Universities[[#This Row],[Town]],Cost_of_Living[City],Cost_of_Living[Cost of Living Index],"NA",0)</f>
        <v>96.6</v>
      </c>
      <c r="K56" s="63" cm="1">
        <f t="array" ref="K56">_xlfn.XLOOKUP(Top_100_Universities[[#This Row],[Town]], Cost_of_Living[[#All],[City]], Cost_of_Living[[#All],[Normalized Cost of Living]], "NA",0)</f>
        <v>0.74817518248175185</v>
      </c>
      <c r="L56" s="63" cm="1">
        <f t="array" ref="L56">_xlfn.XLOOKUP(Top_100_Universities[[#This Row],[State]], Crime_rate_Index[[#All],[State ]], Crime_rate_Index[[#All],[Normalized Crime Index]], "NA", 0)</f>
        <v>0.91276367536646408</v>
      </c>
      <c r="M56" s="63" cm="1">
        <f t="array" ref="M56">_xlfn.XLOOKUP(Top_100_Universities[[#This Row],[State]], Safest_States[[#All],[state]], Safest_States[[#All],[Normailzed Safety Score]], "NA", 0)</f>
        <v>0.54589502018842528</v>
      </c>
      <c r="N56" s="63">
        <f>0.4*Top_100_Universities[[#This Row],[Normalized Cost of Living Index]] + 0.3*Top_100_Universities[[#This Row],[Normalized Crime Rate Index]] + 0.3*Top_100_Universities[[#This Row],[Normalized Safety Score]]</f>
        <v>0.73686768165916761</v>
      </c>
    </row>
    <row r="57" spans="1:14">
      <c r="A57" s="2">
        <v>56</v>
      </c>
      <c r="B57" s="2" t="s">
        <v>90</v>
      </c>
      <c r="C57" s="2" t="s">
        <v>91</v>
      </c>
      <c r="D57" s="2" t="s">
        <v>768</v>
      </c>
      <c r="E57" s="10" t="s">
        <v>883</v>
      </c>
      <c r="F57" s="2" t="str">
        <f>_xlfn.XLOOKUP(Top_100_Universities[[#This Row],[University]],Table1[University],Table1[Type],"NOT FOUND",0)</f>
        <v>Private not-for-profit</v>
      </c>
      <c r="G57" s="31">
        <f>_xlfn.XLOOKUP(Top_100_Universities[[#This Row],[University]],Table1[University],Table1[Av. Grant Aid],"NOT FOUND",0)</f>
        <v>55847</v>
      </c>
      <c r="H57" s="31">
        <f>_xlfn.XLOOKUP(Top_100_Universities[[#This Row],[University]],Table1[University],Table1[Av. Debt],"NOT FOUND",0)</f>
        <v>10059</v>
      </c>
      <c r="I57" s="31">
        <f>_xlfn.XLOOKUP(Top_100_Universities[[#This Row],[University]],Table1[University],Table1[Median 10-year Salary],"NOT FOUND",0)</f>
        <v>155000</v>
      </c>
      <c r="J57" s="41">
        <f>_xlfn.XLOOKUP(Top_100_Universities[[#This Row],[Town]],Cost_of_Living[City],Cost_of_Living[Cost of Living Index],"NA",0)</f>
        <v>111.5</v>
      </c>
      <c r="K57" s="63" cm="1">
        <f t="array" ref="K57">_xlfn.XLOOKUP(Top_100_Universities[[#This Row],[Town]], Cost_of_Living[[#All],[City]], Cost_of_Living[[#All],[Normalized Cost of Living]], "NA",0)</f>
        <v>0.61222627737226276</v>
      </c>
      <c r="L57" s="63" cm="1">
        <f t="array" ref="L57">_xlfn.XLOOKUP(Top_100_Universities[[#This Row],[State]], Crime_rate_Index[[#All],[State ]], Crime_rate_Index[[#All],[Normalized Crime Index]], "NA", 0)</f>
        <v>0.88630675723989993</v>
      </c>
      <c r="M57" s="63" cm="1">
        <f t="array" ref="M57">_xlfn.XLOOKUP(Top_100_Universities[[#This Row],[State]], Safest_States[[#All],[state]], Safest_States[[#All],[Normailzed Safety Score]], "NA", 0)</f>
        <v>0.73620457604306855</v>
      </c>
      <c r="N57" s="63">
        <f>0.4*Top_100_Universities[[#This Row],[Normalized Cost of Living Index]] + 0.3*Top_100_Universities[[#This Row],[Normalized Crime Rate Index]] + 0.3*Top_100_Universities[[#This Row],[Normalized Safety Score]]</f>
        <v>0.73164391093379555</v>
      </c>
    </row>
    <row r="58" spans="1:14">
      <c r="A58" s="2">
        <v>57</v>
      </c>
      <c r="B58" s="2" t="s">
        <v>92</v>
      </c>
      <c r="C58" s="2" t="s">
        <v>93</v>
      </c>
      <c r="D58" s="2" t="s">
        <v>666</v>
      </c>
      <c r="E58" s="10" t="s">
        <v>822</v>
      </c>
      <c r="F58" s="2" t="str">
        <f>_xlfn.XLOOKUP(Top_100_Universities[[#This Row],[University]],Table1[University],Table1[Type],"NOT FOUND",0)</f>
        <v>Private not-for-profit</v>
      </c>
      <c r="G58" s="31">
        <f>_xlfn.XLOOKUP(Top_100_Universities[[#This Row],[University]],Table1[University],Table1[Av. Grant Aid],"NOT FOUND",0)</f>
        <v>59192</v>
      </c>
      <c r="H58" s="31">
        <f>_xlfn.XLOOKUP(Top_100_Universities[[#This Row],[University]],Table1[University],Table1[Av. Debt],"NOT FOUND",0)</f>
        <v>12553</v>
      </c>
      <c r="I58" s="31">
        <f>_xlfn.XLOOKUP(Top_100_Universities[[#This Row],[University]],Table1[University],Table1[Median 10-year Salary],"NOT FOUND",0)</f>
        <v>168600</v>
      </c>
      <c r="J58" s="41">
        <f>_xlfn.XLOOKUP(Top_100_Universities[[#This Row],[Town]],Cost_of_Living[City],Cost_of_Living[Cost of Living Index],"NA",0)</f>
        <v>85.1</v>
      </c>
      <c r="K58" s="63" cm="1">
        <f t="array" ref="K58">_xlfn.XLOOKUP(Top_100_Universities[[#This Row],[Town]], Cost_of_Living[[#All],[City]], Cost_of_Living[[#All],[Normalized Cost of Living]], "NA",0)</f>
        <v>0.85310218978102192</v>
      </c>
      <c r="L58" s="63" cm="1">
        <f t="array" ref="L58">_xlfn.XLOOKUP(Top_100_Universities[[#This Row],[State]], Crime_rate_Index[[#All],[State ]], Crime_rate_Index[[#All],[Normalized Crime Index]], "NA", 0)</f>
        <v>0.73149803360743659</v>
      </c>
      <c r="M58" s="63" cm="1">
        <f t="array" ref="M58">_xlfn.XLOOKUP(Top_100_Universities[[#This Row],[State]], Safest_States[[#All],[state]], Safest_States[[#All],[Normailzed Safety Score]], "NA", 0)</f>
        <v>0.46567967698519502</v>
      </c>
      <c r="N58" s="63">
        <f>0.4*Top_100_Universities[[#This Row],[Normalized Cost of Living Index]] + 0.3*Top_100_Universities[[#This Row],[Normalized Crime Rate Index]] + 0.3*Top_100_Universities[[#This Row],[Normalized Safety Score]]</f>
        <v>0.70039418909019824</v>
      </c>
    </row>
    <row r="59" spans="1:14">
      <c r="A59" s="2">
        <v>58</v>
      </c>
      <c r="B59" s="2" t="s">
        <v>94</v>
      </c>
      <c r="C59" s="2" t="s">
        <v>769</v>
      </c>
      <c r="D59" s="2" t="s">
        <v>770</v>
      </c>
      <c r="E59" s="10" t="s">
        <v>1104</v>
      </c>
      <c r="F59" s="2" t="str">
        <f>_xlfn.XLOOKUP(Top_100_Universities[[#This Row],[University]],Table1[University],Table1[Type],"NOT FOUND",0)</f>
        <v>Public</v>
      </c>
      <c r="G59" s="31">
        <f>_xlfn.XLOOKUP(Top_100_Universities[[#This Row],[University]],Table1[University],Table1[Av. Grant Aid],"NOT FOUND",0)</f>
        <v>9959</v>
      </c>
      <c r="H59" s="31">
        <f>_xlfn.XLOOKUP(Top_100_Universities[[#This Row],[University]],Table1[University],Table1[Av. Debt],"NOT FOUND",0)</f>
        <v>8853</v>
      </c>
      <c r="I59" s="31">
        <f>_xlfn.XLOOKUP(Top_100_Universities[[#This Row],[University]],Table1[University],Table1[Median 10-year Salary],"NOT FOUND",0)</f>
        <v>119800</v>
      </c>
      <c r="J59" s="41">
        <f>_xlfn.XLOOKUP(Top_100_Universities[[#This Row],[Town]],Cost_of_Living[City],Cost_of_Living[Cost of Living Index],"NA",0)</f>
        <v>93.5</v>
      </c>
      <c r="K59" s="63" cm="1">
        <f t="array" ref="K59">_xlfn.XLOOKUP(Top_100_Universities[[#This Row],[Town]], Cost_of_Living[[#All],[City]], Cost_of_Living[[#All],[Normalized Cost of Living]], "NA",0)</f>
        <v>0.77645985401459849</v>
      </c>
      <c r="L59" s="63" cm="1">
        <f t="array" ref="L59">_xlfn.XLOOKUP(Top_100_Universities[[#This Row],[State]], Crime_rate_Index[[#All],[State ]], Crime_rate_Index[[#All],[Normalized Crime Index]], "NA", 0)</f>
        <v>0.90954594208080086</v>
      </c>
      <c r="M59" s="63" cm="1">
        <f t="array" ref="M59">_xlfn.XLOOKUP(Top_100_Universities[[#This Row],[State]], Safest_States[[#All],[state]], Safest_States[[#All],[Normailzed Safety Score]], "NA", 0)</f>
        <v>0.63660834454912507</v>
      </c>
      <c r="N59" s="63">
        <f>0.4*Top_100_Universities[[#This Row],[Normalized Cost of Living Index]] + 0.3*Top_100_Universities[[#This Row],[Normalized Crime Rate Index]] + 0.3*Top_100_Universities[[#This Row],[Normalized Safety Score]]</f>
        <v>0.77443022759481728</v>
      </c>
    </row>
    <row r="60" spans="1:14">
      <c r="A60" s="2">
        <v>59</v>
      </c>
      <c r="B60" s="2" t="s">
        <v>95</v>
      </c>
      <c r="C60" s="2" t="s">
        <v>96</v>
      </c>
      <c r="D60" s="2" t="s">
        <v>770</v>
      </c>
      <c r="E60" s="10" t="s">
        <v>1104</v>
      </c>
      <c r="F60" s="2" t="str">
        <f>_xlfn.XLOOKUP(Top_100_Universities[[#This Row],[University]],Table1[University],Table1[Type],"NOT FOUND",0)</f>
        <v>Public</v>
      </c>
      <c r="G60" s="31">
        <f>_xlfn.XLOOKUP(Top_100_Universities[[#This Row],[University]],Table1[University],Table1[Av. Grant Aid],"NOT FOUND",0)</f>
        <v>11043</v>
      </c>
      <c r="H60" s="31">
        <f>_xlfn.XLOOKUP(Top_100_Universities[[#This Row],[University]],Table1[University],Table1[Av. Debt],"NOT FOUND",0)</f>
        <v>7620</v>
      </c>
      <c r="I60" s="31">
        <f>_xlfn.XLOOKUP(Top_100_Universities[[#This Row],[University]],Table1[University],Table1[Median 10-year Salary],"NOT FOUND",0)</f>
        <v>118800</v>
      </c>
      <c r="J60" s="41">
        <f>_xlfn.XLOOKUP(Top_100_Universities[[#This Row],[Town]],Cost_of_Living[City],Cost_of_Living[Cost of Living Index],"NA",0)</f>
        <v>91.5</v>
      </c>
      <c r="K60" s="63" cm="1">
        <f t="array" ref="K60">_xlfn.XLOOKUP(Top_100_Universities[[#This Row],[Town]], Cost_of_Living[[#All],[City]], Cost_of_Living[[#All],[Normalized Cost of Living]], "NA",0)</f>
        <v>0.79470802919708028</v>
      </c>
      <c r="L60" s="63" cm="1">
        <f t="array" ref="L60">_xlfn.XLOOKUP(Top_100_Universities[[#This Row],[State]], Crime_rate_Index[[#All],[State ]], Crime_rate_Index[[#All],[Normalized Crime Index]], "NA", 0)</f>
        <v>0.90954594208080086</v>
      </c>
      <c r="M60" s="63" cm="1">
        <f t="array" ref="M60">_xlfn.XLOOKUP(Top_100_Universities[[#This Row],[State]], Safest_States[[#All],[state]], Safest_States[[#All],[Normailzed Safety Score]], "NA", 0)</f>
        <v>0.63660834454912507</v>
      </c>
      <c r="N60" s="63">
        <f>0.4*Top_100_Universities[[#This Row],[Normalized Cost of Living Index]] + 0.3*Top_100_Universities[[#This Row],[Normalized Crime Rate Index]] + 0.3*Top_100_Universities[[#This Row],[Normalized Safety Score]]</f>
        <v>0.78172949766780997</v>
      </c>
    </row>
    <row r="61" spans="1:14">
      <c r="A61" s="2">
        <v>60</v>
      </c>
      <c r="B61" s="2" t="s">
        <v>97</v>
      </c>
      <c r="C61" s="2" t="s">
        <v>98</v>
      </c>
      <c r="D61" s="2" t="s">
        <v>757</v>
      </c>
      <c r="E61" s="10" t="s">
        <v>1183</v>
      </c>
      <c r="F61" s="2" t="str">
        <f>_xlfn.XLOOKUP(Top_100_Universities[[#This Row],[University]],Table1[University],Table1[Type],"NOT FOUND",0)</f>
        <v>Public</v>
      </c>
      <c r="G61" s="31">
        <f>_xlfn.XLOOKUP(Top_100_Universities[[#This Row],[University]],Table1[University],Table1[Av. Grant Aid],"NOT FOUND",0)</f>
        <v>10727</v>
      </c>
      <c r="H61" s="31">
        <f>_xlfn.XLOOKUP(Top_100_Universities[[#This Row],[University]],Table1[University],Table1[Av. Debt],"NOT FOUND",0)</f>
        <v>8773</v>
      </c>
      <c r="I61" s="31">
        <f>_xlfn.XLOOKUP(Top_100_Universities[[#This Row],[University]],Table1[University],Table1[Median 10-year Salary],"NOT FOUND",0)</f>
        <v>116300</v>
      </c>
      <c r="J61" s="41">
        <f>_xlfn.XLOOKUP(Top_100_Universities[[#This Row],[Town]],Cost_of_Living[City],Cost_of_Living[Cost of Living Index],"NA",0)</f>
        <v>109.2</v>
      </c>
      <c r="K61" s="63" cm="1">
        <f t="array" ref="K61">_xlfn.XLOOKUP(Top_100_Universities[[#This Row],[Town]], Cost_of_Living[[#All],[City]], Cost_of_Living[[#All],[Normalized Cost of Living]], "NA",0)</f>
        <v>0.63321167883211671</v>
      </c>
      <c r="L61" s="63" cm="1">
        <f t="array" ref="L61">_xlfn.XLOOKUP(Top_100_Universities[[#This Row],[State]], Crime_rate_Index[[#All],[State ]], Crime_rate_Index[[#All],[Normalized Crime Index]], "NA", 0)</f>
        <v>0.79406506971755453</v>
      </c>
      <c r="M61" s="63" cm="1">
        <f t="array" ref="M61">_xlfn.XLOOKUP(Top_100_Universities[[#This Row],[State]], Safest_States[[#All],[state]], Safest_States[[#All],[Normailzed Safety Score]], "NA", 0)</f>
        <v>0.32839838492597578</v>
      </c>
      <c r="N61" s="63">
        <f>0.4*Top_100_Universities[[#This Row],[Normalized Cost of Living Index]] + 0.3*Top_100_Universities[[#This Row],[Normalized Crime Rate Index]] + 0.3*Top_100_Universities[[#This Row],[Normalized Safety Score]]</f>
        <v>0.59002370792590575</v>
      </c>
    </row>
    <row r="62" spans="1:14">
      <c r="A62" s="2">
        <v>61</v>
      </c>
      <c r="B62" s="2" t="s">
        <v>99</v>
      </c>
      <c r="C62" s="2" t="s">
        <v>198</v>
      </c>
      <c r="D62" s="2" t="s">
        <v>666</v>
      </c>
      <c r="E62" s="10" t="s">
        <v>822</v>
      </c>
      <c r="F62" s="2" t="str">
        <f>_xlfn.XLOOKUP(Top_100_Universities[[#This Row],[University]],Table1[University],Table1[Type],"NOT FOUND",0)</f>
        <v>Private not-for-profit</v>
      </c>
      <c r="G62" s="31">
        <f>_xlfn.XLOOKUP(Top_100_Universities[[#This Row],[University]],Table1[University],Table1[Av. Grant Aid],"NOT FOUND",0)</f>
        <v>30916</v>
      </c>
      <c r="H62" s="31">
        <f>_xlfn.XLOOKUP(Top_100_Universities[[#This Row],[University]],Table1[University],Table1[Av. Debt],"NOT FOUND",0)</f>
        <v>9671</v>
      </c>
      <c r="I62" s="31">
        <f>_xlfn.XLOOKUP(Top_100_Universities[[#This Row],[University]],Table1[University],Table1[Median 10-year Salary],"NOT FOUND",0)</f>
        <v>133600</v>
      </c>
      <c r="J62" s="41">
        <f>_xlfn.XLOOKUP(Top_100_Universities[[#This Row],[Town]],Cost_of_Living[City],Cost_of_Living[Cost of Living Index],"NA",0)</f>
        <v>178.6</v>
      </c>
      <c r="K62" s="63" cm="1">
        <f t="array" ref="K62">_xlfn.XLOOKUP(Top_100_Universities[[#This Row],[Town]], Cost_of_Living[[#All],[City]], Cost_of_Living[[#All],[Normalized Cost of Living]], "NA",0)</f>
        <v>0</v>
      </c>
      <c r="L62" s="63" cm="1">
        <f t="array" ref="L62">_xlfn.XLOOKUP(Top_100_Universities[[#This Row],[State]], Crime_rate_Index[[#All],[State ]], Crime_rate_Index[[#All],[Normalized Crime Index]], "NA", 0)</f>
        <v>0.73149803360743659</v>
      </c>
      <c r="M62" s="63" cm="1">
        <f t="array" ref="M62">_xlfn.XLOOKUP(Top_100_Universities[[#This Row],[State]], Safest_States[[#All],[state]], Safest_States[[#All],[Normailzed Safety Score]], "NA", 0)</f>
        <v>0.46567967698519502</v>
      </c>
      <c r="N62" s="63">
        <f>0.4*Top_100_Universities[[#This Row],[Normalized Cost of Living Index]] + 0.3*Top_100_Universities[[#This Row],[Normalized Crime Rate Index]] + 0.3*Top_100_Universities[[#This Row],[Normalized Safety Score]]</f>
        <v>0.35915331317778948</v>
      </c>
    </row>
    <row r="63" spans="1:14">
      <c r="A63" s="2">
        <v>62</v>
      </c>
      <c r="B63" s="2" t="s">
        <v>100</v>
      </c>
      <c r="C63" s="2" t="s">
        <v>71</v>
      </c>
      <c r="D63" s="2" t="s">
        <v>762</v>
      </c>
      <c r="E63" s="10" t="s">
        <v>934</v>
      </c>
      <c r="F63" s="2" t="str">
        <f>_xlfn.XLOOKUP(Top_100_Universities[[#This Row],[University]],Table1[University],Table1[Type],"NOT FOUND",0)</f>
        <v>Private not-for-profit</v>
      </c>
      <c r="G63" s="31">
        <f>_xlfn.XLOOKUP(Top_100_Universities[[#This Row],[University]],Table1[University],Table1[Av. Grant Aid],"NOT FOUND",0)</f>
        <v>35257</v>
      </c>
      <c r="H63" s="31">
        <f>_xlfn.XLOOKUP(Top_100_Universities[[#This Row],[University]],Table1[University],Table1[Av. Debt],"NOT FOUND",0)</f>
        <v>10893</v>
      </c>
      <c r="I63" s="31">
        <f>_xlfn.XLOOKUP(Top_100_Universities[[#This Row],[University]],Table1[University],Table1[Median 10-year Salary],"NOT FOUND",0)</f>
        <v>148300</v>
      </c>
      <c r="J63" s="41">
        <f>_xlfn.XLOOKUP(Top_100_Universities[[#This Row],[Town]],Cost_of_Living[City],Cost_of_Living[Cost of Living Index],"NA",0)</f>
        <v>120.1</v>
      </c>
      <c r="K63" s="63" cm="1">
        <f t="array" ref="K63">_xlfn.XLOOKUP(Top_100_Universities[[#This Row],[Town]], Cost_of_Living[[#All],[City]], Cost_of_Living[[#All],[Normalized Cost of Living]], "NA",0)</f>
        <v>0.53375912408759119</v>
      </c>
      <c r="L63" s="63" cm="1">
        <f t="array" ref="L63">_xlfn.XLOOKUP(Top_100_Universities[[#This Row],[State]], Crime_rate_Index[[#All],[State ]], Crime_rate_Index[[#All],[Normalized Crime Index]], "NA", 0)</f>
        <v>0</v>
      </c>
      <c r="M63" s="63">
        <v>0.3</v>
      </c>
      <c r="N63" s="63">
        <f>0.4*Top_100_Universities[[#This Row],[Normalized Cost of Living Index]] + 0.3*Top_100_Universities[[#This Row],[Normalized Crime Rate Index]] + 0.3*Top_100_Universities[[#This Row],[Normalized Safety Score]]</f>
        <v>0.30350364963503651</v>
      </c>
    </row>
    <row r="64" spans="1:14">
      <c r="A64" s="2">
        <v>63</v>
      </c>
      <c r="B64" s="2" t="s">
        <v>101</v>
      </c>
      <c r="C64" s="2" t="s">
        <v>102</v>
      </c>
      <c r="D64" s="2" t="s">
        <v>738</v>
      </c>
      <c r="E64" s="10" t="s">
        <v>827</v>
      </c>
      <c r="F64" s="2" t="str">
        <f>_xlfn.XLOOKUP(Top_100_Universities[[#This Row],[University]],Table1[University],Table1[Type],"NOT FOUND",0)</f>
        <v>Public</v>
      </c>
      <c r="G64" s="31">
        <f>_xlfn.XLOOKUP(Top_100_Universities[[#This Row],[University]],Table1[University],Table1[Av. Grant Aid],"NOT FOUND",0)</f>
        <v>12350</v>
      </c>
      <c r="H64" s="31">
        <f>_xlfn.XLOOKUP(Top_100_Universities[[#This Row],[University]],Table1[University],Table1[Av. Debt],"NOT FOUND",0)</f>
        <v>8481</v>
      </c>
      <c r="I64" s="31">
        <f>_xlfn.XLOOKUP(Top_100_Universities[[#This Row],[University]],Table1[University],Table1[Median 10-year Salary],"NOT FOUND",0)</f>
        <v>122300</v>
      </c>
      <c r="J64" s="41">
        <f>_xlfn.XLOOKUP(Top_100_Universities[[#This Row],[Town]],Cost_of_Living[City],Cost_of_Living[Cost of Living Index],"NA",0)</f>
        <v>89.2</v>
      </c>
      <c r="K64" s="63" cm="1">
        <f t="array" ref="K64">_xlfn.XLOOKUP(Top_100_Universities[[#This Row],[Town]], Cost_of_Living[[#All],[City]], Cost_of_Living[[#All],[Normalized Cost of Living]], "NA",0)</f>
        <v>0.81569343065693434</v>
      </c>
      <c r="L64" s="63" cm="1">
        <f t="array" ref="L64">_xlfn.XLOOKUP(Top_100_Universities[[#This Row],[State]], Crime_rate_Index[[#All],[State ]], Crime_rate_Index[[#All],[Normalized Crime Index]], "NA", 0)</f>
        <v>0.85055416517697535</v>
      </c>
      <c r="M64" s="63" cm="1">
        <f t="array" ref="M64">_xlfn.XLOOKUP(Top_100_Universities[[#This Row],[State]], Safest_States[[#All],[state]], Safest_States[[#All],[Normailzed Safety Score]], "NA", 0)</f>
        <v>0.76393001345895017</v>
      </c>
      <c r="N64" s="63">
        <f>0.4*Top_100_Universities[[#This Row],[Normalized Cost of Living Index]] + 0.3*Top_100_Universities[[#This Row],[Normalized Crime Rate Index]] + 0.3*Top_100_Universities[[#This Row],[Normalized Safety Score]]</f>
        <v>0.81062262585355138</v>
      </c>
    </row>
    <row r="65" spans="1:14">
      <c r="A65" s="2">
        <v>64</v>
      </c>
      <c r="B65" s="2" t="s">
        <v>103</v>
      </c>
      <c r="C65" s="2" t="s">
        <v>104</v>
      </c>
      <c r="D65" s="2" t="s">
        <v>760</v>
      </c>
      <c r="E65" s="10" t="s">
        <v>943</v>
      </c>
      <c r="F65" s="2" t="str">
        <f>_xlfn.XLOOKUP(Top_100_Universities[[#This Row],[University]],Table1[University],Table1[Type],"NOT FOUND",0)</f>
        <v>Public</v>
      </c>
      <c r="G65" s="31">
        <f>_xlfn.XLOOKUP(Top_100_Universities[[#This Row],[University]],Table1[University],Table1[Av. Grant Aid],"NOT FOUND",0)</f>
        <v>10760</v>
      </c>
      <c r="H65" s="31">
        <f>_xlfn.XLOOKUP(Top_100_Universities[[#This Row],[University]],Table1[University],Table1[Av. Debt],"NOT FOUND",0)</f>
        <v>8079</v>
      </c>
      <c r="I65" s="31">
        <f>_xlfn.XLOOKUP(Top_100_Universities[[#This Row],[University]],Table1[University],Table1[Median 10-year Salary],"NOT FOUND",0)</f>
        <v>128200</v>
      </c>
      <c r="J65" s="41">
        <f>_xlfn.XLOOKUP(Top_100_Universities[[#This Row],[Town]],Cost_of_Living[City],Cost_of_Living[Cost of Living Index],"NA",0)</f>
        <v>84.8</v>
      </c>
      <c r="K65" s="63" cm="1">
        <f t="array" ref="K65">_xlfn.XLOOKUP(Top_100_Universities[[#This Row],[Town]], Cost_of_Living[[#All],[City]], Cost_of_Living[[#All],[Normalized Cost of Living]], "NA",0)</f>
        <v>0.8558394160583942</v>
      </c>
      <c r="L65" s="63" cm="1">
        <f t="array" ref="L65">_xlfn.XLOOKUP(Top_100_Universities[[#This Row],[State]], Crime_rate_Index[[#All],[State ]], Crime_rate_Index[[#All],[Normalized Crime Index]], "NA", 0)</f>
        <v>0.93743296388988206</v>
      </c>
      <c r="M65" s="63" cm="1">
        <f t="array" ref="M65">_xlfn.XLOOKUP(Top_100_Universities[[#This Row],[State]], Safest_States[[#All],[state]], Safest_States[[#All],[Normailzed Safety Score]], "NA", 0)</f>
        <v>0.65545087483176301</v>
      </c>
      <c r="N65" s="63">
        <f>0.4*Top_100_Universities[[#This Row],[Normalized Cost of Living Index]] + 0.3*Top_100_Universities[[#This Row],[Normalized Crime Rate Index]] + 0.3*Top_100_Universities[[#This Row],[Normalized Safety Score]]</f>
        <v>0.82020091803985129</v>
      </c>
    </row>
    <row r="66" spans="1:14">
      <c r="A66" s="2">
        <v>65</v>
      </c>
      <c r="B66" s="2" t="s">
        <v>105</v>
      </c>
      <c r="C66" s="2" t="s">
        <v>527</v>
      </c>
      <c r="D66" s="2" t="s">
        <v>751</v>
      </c>
      <c r="E66" s="10" t="s">
        <v>910</v>
      </c>
      <c r="F66" s="2" t="str">
        <f>_xlfn.XLOOKUP(Top_100_Universities[[#This Row],[University]],Table1[University],Table1[Type],"NOT FOUND",0)</f>
        <v>Public</v>
      </c>
      <c r="G66" s="31">
        <f>_xlfn.XLOOKUP(Top_100_Universities[[#This Row],[University]],Table1[University],Table1[Av. Grant Aid],"NOT FOUND",0)</f>
        <v>11066</v>
      </c>
      <c r="H66" s="31">
        <f>_xlfn.XLOOKUP(Top_100_Universities[[#This Row],[University]],Table1[University],Table1[Av. Debt],"NOT FOUND",0)</f>
        <v>8261</v>
      </c>
      <c r="I66" s="31">
        <f>_xlfn.XLOOKUP(Top_100_Universities[[#This Row],[University]],Table1[University],Table1[Median 10-year Salary],"NOT FOUND",0)</f>
        <v>110100</v>
      </c>
      <c r="J66" s="41">
        <f>_xlfn.XLOOKUP(Top_100_Universities[[#This Row],[Town]],Cost_of_Living[City],Cost_of_Living[Cost of Living Index],"NA",0)</f>
        <v>101.4</v>
      </c>
      <c r="K66" s="63" cm="1">
        <f t="array" ref="K66">_xlfn.XLOOKUP(Top_100_Universities[[#This Row],[Town]], Cost_of_Living[[#All],[City]], Cost_of_Living[[#All],[Normalized Cost of Living]], "NA",0)</f>
        <v>0.70437956204379559</v>
      </c>
      <c r="L66" s="63" cm="1">
        <f t="array" ref="L66">_xlfn.XLOOKUP(Top_100_Universities[[#This Row],[State]], Crime_rate_Index[[#All],[State ]], Crime_rate_Index[[#All],[Normalized Crime Index]], "NA", 0)</f>
        <v>0.59063282087951374</v>
      </c>
      <c r="M66" s="63" cm="1">
        <f t="array" ref="M66">_xlfn.XLOOKUP(Top_100_Universities[[#This Row],[State]], Safest_States[[#All],[state]], Safest_States[[#All],[Normailzed Safety Score]], "NA", 0)</f>
        <v>0.21211305518169588</v>
      </c>
      <c r="N66" s="63">
        <f>0.4*Top_100_Universities[[#This Row],[Normalized Cost of Living Index]] + 0.3*Top_100_Universities[[#This Row],[Normalized Crime Rate Index]] + 0.3*Top_100_Universities[[#This Row],[Normalized Safety Score]]</f>
        <v>0.52257558763588119</v>
      </c>
    </row>
    <row r="67" spans="1:14">
      <c r="A67" s="2">
        <v>66</v>
      </c>
      <c r="B67" s="2" t="s">
        <v>106</v>
      </c>
      <c r="C67" s="2" t="s">
        <v>107</v>
      </c>
      <c r="D67" s="2" t="s">
        <v>71</v>
      </c>
      <c r="E67" s="10" t="s">
        <v>979</v>
      </c>
      <c r="F67" s="2" t="str">
        <f>_xlfn.XLOOKUP(Top_100_Universities[[#This Row],[University]],Table1[University],Table1[Type],"NOT FOUND",0)</f>
        <v>Public</v>
      </c>
      <c r="G67" s="31">
        <f>_xlfn.XLOOKUP(Top_100_Universities[[#This Row],[University]],Table1[University],Table1[Av. Grant Aid],"NOT FOUND",0)</f>
        <v>10689</v>
      </c>
      <c r="H67" s="31">
        <f>_xlfn.XLOOKUP(Top_100_Universities[[#This Row],[University]],Table1[University],Table1[Av. Debt],"NOT FOUND",0)</f>
        <v>6714</v>
      </c>
      <c r="I67" s="31">
        <f>_xlfn.XLOOKUP(Top_100_Universities[[#This Row],[University]],Table1[University],Table1[Median 10-year Salary],"NOT FOUND",0)</f>
        <v>124000</v>
      </c>
      <c r="J67" s="41">
        <f>_xlfn.XLOOKUP(Top_100_Universities[[#This Row],[Town]],Cost_of_Living[City],Cost_of_Living[Cost of Living Index],"NA",0)</f>
        <v>72.400000000000006</v>
      </c>
      <c r="K67" s="63" cm="1">
        <f t="array" ref="K67">_xlfn.XLOOKUP(Top_100_Universities[[#This Row],[Town]], Cost_of_Living[[#All],[City]], Cost_of_Living[[#All],[Normalized Cost of Living]], "NA",0)</f>
        <v>0.96897810218978098</v>
      </c>
      <c r="L67" s="63" cm="1">
        <f t="array" ref="L67">_xlfn.XLOOKUP(Top_100_Universities[[#This Row],[State]], Crime_rate_Index[[#All],[State ]], Crime_rate_Index[[#All],[Normalized Crime Index]], "NA", 0)</f>
        <v>0.67643904183053272</v>
      </c>
      <c r="M67" s="63" cm="1">
        <f t="array" ref="M67">_xlfn.XLOOKUP(Top_100_Universities[[#This Row],[State]], Safest_States[[#All],[state]], Safest_States[[#All],[Normailzed Safety Score]], "NA", 0)</f>
        <v>0.74831763122476425</v>
      </c>
      <c r="N67" s="63">
        <f>0.4*Top_100_Universities[[#This Row],[Normalized Cost of Living Index]] + 0.3*Top_100_Universities[[#This Row],[Normalized Crime Rate Index]] + 0.3*Top_100_Universities[[#This Row],[Normalized Safety Score]]</f>
        <v>0.81501824279250146</v>
      </c>
    </row>
    <row r="68" spans="1:14">
      <c r="A68" s="2">
        <v>67</v>
      </c>
      <c r="B68" s="2" t="s">
        <v>108</v>
      </c>
      <c r="C68" s="2" t="s">
        <v>446</v>
      </c>
      <c r="D68" s="2" t="s">
        <v>751</v>
      </c>
      <c r="E68" s="10" t="s">
        <v>910</v>
      </c>
      <c r="F68" s="2" t="str">
        <f>_xlfn.XLOOKUP(Top_100_Universities[[#This Row],[University]],Table1[University],Table1[Type],"NOT FOUND",0)</f>
        <v>Public</v>
      </c>
      <c r="G68" s="31">
        <f>_xlfn.XLOOKUP(Top_100_Universities[[#This Row],[University]],Table1[University],Table1[Av. Grant Aid],"NOT FOUND",0)</f>
        <v>10169</v>
      </c>
      <c r="H68" s="31">
        <f>_xlfn.XLOOKUP(Top_100_Universities[[#This Row],[University]],Table1[University],Table1[Av. Debt],"NOT FOUND",0)</f>
        <v>6953</v>
      </c>
      <c r="I68" s="31">
        <f>_xlfn.XLOOKUP(Top_100_Universities[[#This Row],[University]],Table1[University],Table1[Median 10-year Salary],"NOT FOUND",0)</f>
        <v>111900</v>
      </c>
      <c r="J68" s="41">
        <f>_xlfn.XLOOKUP(Top_100_Universities[[#This Row],[Town]],Cost_of_Living[City],Cost_of_Living[Cost of Living Index],"NA",0)</f>
        <v>96.4</v>
      </c>
      <c r="K68" s="63" cm="1">
        <f t="array" ref="K68">_xlfn.XLOOKUP(Top_100_Universities[[#This Row],[Town]], Cost_of_Living[[#All],[City]], Cost_of_Living[[#All],[Normalized Cost of Living]], "NA",0)</f>
        <v>0.75</v>
      </c>
      <c r="L68" s="63" cm="1">
        <f t="array" ref="L68">_xlfn.XLOOKUP(Top_100_Universities[[#This Row],[State]], Crime_rate_Index[[#All],[State ]], Crime_rate_Index[[#All],[Normalized Crime Index]], "NA", 0)</f>
        <v>0.59063282087951374</v>
      </c>
      <c r="M68" s="63" cm="1">
        <f t="array" ref="M68">_xlfn.XLOOKUP(Top_100_Universities[[#This Row],[State]], Safest_States[[#All],[state]], Safest_States[[#All],[Normailzed Safety Score]], "NA", 0)</f>
        <v>0.21211305518169588</v>
      </c>
      <c r="N68" s="63">
        <f>0.4*Top_100_Universities[[#This Row],[Normalized Cost of Living Index]] + 0.3*Top_100_Universities[[#This Row],[Normalized Crime Rate Index]] + 0.3*Top_100_Universities[[#This Row],[Normalized Safety Score]]</f>
        <v>0.54082376281836297</v>
      </c>
    </row>
    <row r="69" spans="1:14">
      <c r="A69" s="2">
        <v>68</v>
      </c>
      <c r="B69" s="2" t="s">
        <v>109</v>
      </c>
      <c r="C69" s="2" t="s">
        <v>110</v>
      </c>
      <c r="D69" s="2" t="s">
        <v>771</v>
      </c>
      <c r="E69" s="10" t="s">
        <v>872</v>
      </c>
      <c r="F69" s="2" t="str">
        <f>_xlfn.XLOOKUP(Top_100_Universities[[#This Row],[University]],Table1[University],Table1[Type],"NOT FOUND",0)</f>
        <v>Private not-for-profit</v>
      </c>
      <c r="G69" s="31">
        <f>_xlfn.XLOOKUP(Top_100_Universities[[#This Row],[University]],Table1[University],Table1[Av. Grant Aid],"NOT FOUND",0)</f>
        <v>53932</v>
      </c>
      <c r="H69" s="31">
        <f>_xlfn.XLOOKUP(Top_100_Universities[[#This Row],[University]],Table1[University],Table1[Av. Debt],"NOT FOUND",0)</f>
        <v>8872</v>
      </c>
      <c r="I69" s="31">
        <f>_xlfn.XLOOKUP(Top_100_Universities[[#This Row],[University]],Table1[University],Table1[Median 10-year Salary],"NOT FOUND",0)</f>
        <v>148000</v>
      </c>
      <c r="J69" s="41">
        <f>_xlfn.XLOOKUP(Top_100_Universities[[#This Row],[Town]],Cost_of_Living[City],Cost_of_Living[Cost of Living Index],"NA",0)</f>
        <v>100.1</v>
      </c>
      <c r="K69" s="63" cm="1">
        <f t="array" ref="K69">_xlfn.XLOOKUP(Top_100_Universities[[#This Row],[Town]], Cost_of_Living[[#All],[City]], Cost_of_Living[[#All],[Normalized Cost of Living]], "NA",0)</f>
        <v>0.71624087591240881</v>
      </c>
      <c r="L69" s="63" cm="1">
        <f t="array" ref="L69">_xlfn.XLOOKUP(Top_100_Universities[[#This Row],[State]], Crime_rate_Index[[#All],[State ]], Crime_rate_Index[[#All],[Normalized Crime Index]], "NA", 0)</f>
        <v>0.55523775473721848</v>
      </c>
      <c r="M69" s="63" cm="1">
        <f t="array" ref="M69">_xlfn.XLOOKUP(Top_100_Universities[[#This Row],[State]], Safest_States[[#All],[state]], Safest_States[[#All],[Normailzed Safety Score]], "NA", 0)</f>
        <v>0.26110363391655456</v>
      </c>
      <c r="N69" s="63">
        <f>0.4*Top_100_Universities[[#This Row],[Normalized Cost of Living Index]] + 0.3*Top_100_Universities[[#This Row],[Normalized Crime Rate Index]] + 0.3*Top_100_Universities[[#This Row],[Normalized Safety Score]]</f>
        <v>0.53139876696109534</v>
      </c>
    </row>
    <row r="70" spans="1:14">
      <c r="A70" s="2">
        <v>69</v>
      </c>
      <c r="B70" s="2" t="s">
        <v>111</v>
      </c>
      <c r="C70" s="2" t="s">
        <v>112</v>
      </c>
      <c r="D70" s="2" t="s">
        <v>740</v>
      </c>
      <c r="E70" s="10" t="s">
        <v>840</v>
      </c>
      <c r="F70" s="2" t="str">
        <f>_xlfn.XLOOKUP(Top_100_Universities[[#This Row],[University]],Table1[University],Table1[Type],"NOT FOUND",0)</f>
        <v>Private not-for-profit</v>
      </c>
      <c r="G70" s="31">
        <f>_xlfn.XLOOKUP(Top_100_Universities[[#This Row],[University]],Table1[University],Table1[Av. Grant Aid],"NOT FOUND",0)</f>
        <v>34737</v>
      </c>
      <c r="H70" s="31">
        <f>_xlfn.XLOOKUP(Top_100_Universities[[#This Row],[University]],Table1[University],Table1[Av. Debt],"NOT FOUND",0)</f>
        <v>10986</v>
      </c>
      <c r="I70" s="31">
        <f>_xlfn.XLOOKUP(Top_100_Universities[[#This Row],[University]],Table1[University],Table1[Median 10-year Salary],"NOT FOUND",0)</f>
        <v>130100</v>
      </c>
      <c r="J70" s="41">
        <f>_xlfn.XLOOKUP(Top_100_Universities[[#This Row],[Town]],Cost_of_Living[City],Cost_of_Living[Cost of Living Index],"NA",0)</f>
        <v>95.1</v>
      </c>
      <c r="K70" s="63" cm="1">
        <f t="array" ref="K70">_xlfn.XLOOKUP(Top_100_Universities[[#This Row],[Town]], Cost_of_Living[[#All],[City]], Cost_of_Living[[#All],[Normalized Cost of Living]], "NA",0)</f>
        <v>0.76186131386861322</v>
      </c>
      <c r="L70" s="63" cm="1">
        <f t="array" ref="L70">_xlfn.XLOOKUP(Top_100_Universities[[#This Row],[State]], Crime_rate_Index[[#All],[State ]], Crime_rate_Index[[#All],[Normalized Crime Index]], "NA", 0)</f>
        <v>0.91276367536646408</v>
      </c>
      <c r="M70" s="63" cm="1">
        <f t="array" ref="M70">_xlfn.XLOOKUP(Top_100_Universities[[#This Row],[State]], Safest_States[[#All],[state]], Safest_States[[#All],[Normailzed Safety Score]], "NA", 0)</f>
        <v>0.54589502018842528</v>
      </c>
      <c r="N70" s="63">
        <f>0.4*Top_100_Universities[[#This Row],[Normalized Cost of Living Index]] + 0.3*Top_100_Universities[[#This Row],[Normalized Crime Rate Index]] + 0.3*Top_100_Universities[[#This Row],[Normalized Safety Score]]</f>
        <v>0.74234213421391215</v>
      </c>
    </row>
    <row r="71" spans="1:14">
      <c r="A71" s="2">
        <v>70</v>
      </c>
      <c r="B71" s="2" t="s">
        <v>113</v>
      </c>
      <c r="C71" s="2" t="s">
        <v>721</v>
      </c>
      <c r="D71" s="2" t="s">
        <v>766</v>
      </c>
      <c r="E71" s="10" t="s">
        <v>1236</v>
      </c>
      <c r="F71" s="2" t="str">
        <f>_xlfn.XLOOKUP(Top_100_Universities[[#This Row],[University]],Table1[University],Table1[Type],"NOT FOUND",0)</f>
        <v>Public</v>
      </c>
      <c r="G71" s="31">
        <f>_xlfn.XLOOKUP(Top_100_Universities[[#This Row],[University]],Table1[University],Table1[Av. Grant Aid],"NOT FOUND",0)</f>
        <v>9767</v>
      </c>
      <c r="H71" s="31">
        <f>_xlfn.XLOOKUP(Top_100_Universities[[#This Row],[University]],Table1[University],Table1[Av. Debt],"NOT FOUND",0)</f>
        <v>7821</v>
      </c>
      <c r="I71" s="31">
        <f>_xlfn.XLOOKUP(Top_100_Universities[[#This Row],[University]],Table1[University],Table1[Median 10-year Salary],"NOT FOUND",0)</f>
        <v>119500</v>
      </c>
      <c r="J71" s="41">
        <f>_xlfn.XLOOKUP(Top_100_Universities[[#This Row],[Town]],Cost_of_Living[City],Cost_of_Living[Cost of Living Index],"NA",0)</f>
        <v>108.4</v>
      </c>
      <c r="K71" s="63" cm="1">
        <f t="array" ref="K71">_xlfn.XLOOKUP(Top_100_Universities[[#This Row],[Town]], Cost_of_Living[[#All],[City]], Cost_of_Living[[#All],[Normalized Cost of Living]], "NA",0)</f>
        <v>0.6405109489051094</v>
      </c>
      <c r="L71" s="63" cm="1">
        <f t="array" ref="L71">_xlfn.XLOOKUP(Top_100_Universities[[#This Row],[State]], Crime_rate_Index[[#All],[State ]], Crime_rate_Index[[#All],[Normalized Crime Index]], "NA", 0)</f>
        <v>0.80443332141580259</v>
      </c>
      <c r="M71" s="63" cm="1">
        <f t="array" ref="M71">_xlfn.XLOOKUP(Top_100_Universities[[#This Row],[State]], Safest_States[[#All],[state]], Safest_States[[#All],[Normailzed Safety Score]], "NA", 0)</f>
        <v>0.64172274562584097</v>
      </c>
      <c r="N71" s="63">
        <f>0.4*Top_100_Universities[[#This Row],[Normalized Cost of Living Index]] + 0.3*Top_100_Universities[[#This Row],[Normalized Crime Rate Index]] + 0.3*Top_100_Universities[[#This Row],[Normalized Safety Score]]</f>
        <v>0.69005119967453676</v>
      </c>
    </row>
    <row r="72" spans="1:14">
      <c r="A72" s="2">
        <v>71</v>
      </c>
      <c r="B72" s="2" t="s">
        <v>114</v>
      </c>
      <c r="C72" s="2" t="s">
        <v>85</v>
      </c>
      <c r="D72" s="2" t="s">
        <v>767</v>
      </c>
      <c r="E72" s="10" t="s">
        <v>939</v>
      </c>
      <c r="F72" s="2" t="str">
        <f>_xlfn.XLOOKUP(Top_100_Universities[[#This Row],[University]],Table1[University],Table1[Type],"NOT FOUND",0)</f>
        <v>Private not-for-profit</v>
      </c>
      <c r="G72" s="31">
        <f>_xlfn.XLOOKUP(Top_100_Universities[[#This Row],[University]],Table1[University],Table1[Av. Grant Aid],"NOT FOUND",0)</f>
        <v>48914</v>
      </c>
      <c r="H72" s="31">
        <f>_xlfn.XLOOKUP(Top_100_Universities[[#This Row],[University]],Table1[University],Table1[Av. Debt],"NOT FOUND",0)</f>
        <v>7280</v>
      </c>
      <c r="I72" s="31">
        <f>_xlfn.XLOOKUP(Top_100_Universities[[#This Row],[University]],Table1[University],Table1[Median 10-year Salary],"NOT FOUND",0)</f>
        <v>138600</v>
      </c>
      <c r="J72" s="41">
        <f>_xlfn.XLOOKUP(Top_100_Universities[[#This Row],[Town]],Cost_of_Living[City],Cost_of_Living[Cost of Living Index],"NA",0)</f>
        <v>100.3</v>
      </c>
      <c r="K72" s="63" cm="1">
        <f t="array" ref="K72">_xlfn.XLOOKUP(Top_100_Universities[[#This Row],[Town]], Cost_of_Living[[#All],[City]], Cost_of_Living[[#All],[Normalized Cost of Living]], "NA",0)</f>
        <v>0.71441605839416056</v>
      </c>
      <c r="L72" s="63" cm="1">
        <f t="array" ref="L72">_xlfn.XLOOKUP(Top_100_Universities[[#This Row],[State]], Crime_rate_Index[[#All],[State ]], Crime_rate_Index[[#All],[Normalized Crime Index]], "NA", 0)</f>
        <v>0.65641759027529489</v>
      </c>
      <c r="M72" s="63" cm="1">
        <f t="array" ref="M72">_xlfn.XLOOKUP(Top_100_Universities[[#This Row],[State]], Safest_States[[#All],[state]], Safest_States[[#All],[Normailzed Safety Score]], "NA", 0)</f>
        <v>0.36689098250336477</v>
      </c>
      <c r="N72" s="63">
        <f>0.4*Top_100_Universities[[#This Row],[Normalized Cost of Living Index]] + 0.3*Top_100_Universities[[#This Row],[Normalized Crime Rate Index]] + 0.3*Top_100_Universities[[#This Row],[Normalized Safety Score]]</f>
        <v>0.59275899519126207</v>
      </c>
    </row>
    <row r="73" spans="1:14">
      <c r="A73" s="2">
        <v>72</v>
      </c>
      <c r="B73" s="2" t="s">
        <v>115</v>
      </c>
      <c r="C73" s="2" t="s">
        <v>772</v>
      </c>
      <c r="D73" s="2" t="s">
        <v>666</v>
      </c>
      <c r="E73" s="10" t="s">
        <v>822</v>
      </c>
      <c r="F73" s="2" t="str">
        <f>_xlfn.XLOOKUP(Top_100_Universities[[#This Row],[University]],Table1[University],Table1[Type],"NOT FOUND",0)</f>
        <v>Public</v>
      </c>
      <c r="G73" s="31">
        <f>_xlfn.XLOOKUP(Top_100_Universities[[#This Row],[University]],Table1[University],Table1[Av. Grant Aid],"NOT FOUND",0)</f>
        <v>21202</v>
      </c>
      <c r="H73" s="31">
        <f>_xlfn.XLOOKUP(Top_100_Universities[[#This Row],[University]],Table1[University],Table1[Av. Debt],"NOT FOUND",0)</f>
        <v>6519</v>
      </c>
      <c r="I73" s="31">
        <f>_xlfn.XLOOKUP(Top_100_Universities[[#This Row],[University]],Table1[University],Table1[Median 10-year Salary],"NOT FOUND",0)</f>
        <v>132000</v>
      </c>
      <c r="J73" s="41">
        <f>_xlfn.XLOOKUP(Top_100_Universities[[#This Row],[Town]],Cost_of_Living[City],Cost_of_Living[Cost of Living Index],"NA",0)</f>
        <v>163.9</v>
      </c>
      <c r="K73" s="63" cm="1">
        <f t="array" ref="K73">_xlfn.XLOOKUP(Top_100_Universities[[#This Row],[Town]], Cost_of_Living[[#All],[City]], Cost_of_Living[[#All],[Normalized Cost of Living]], "NA",0)</f>
        <v>0.13412408759124073</v>
      </c>
      <c r="L73" s="63" cm="1">
        <f t="array" ref="L73">_xlfn.XLOOKUP(Top_100_Universities[[#This Row],[State]], Crime_rate_Index[[#All],[State ]], Crime_rate_Index[[#All],[Normalized Crime Index]], "NA", 0)</f>
        <v>0.73149803360743659</v>
      </c>
      <c r="M73" s="63" cm="1">
        <f t="array" ref="M73">_xlfn.XLOOKUP(Top_100_Universities[[#This Row],[State]], Safest_States[[#All],[state]], Safest_States[[#All],[Normailzed Safety Score]], "NA", 0)</f>
        <v>0.46567967698519502</v>
      </c>
      <c r="N73" s="63">
        <f>0.4*Top_100_Universities[[#This Row],[Normalized Cost of Living Index]] + 0.3*Top_100_Universities[[#This Row],[Normalized Crime Rate Index]] + 0.3*Top_100_Universities[[#This Row],[Normalized Safety Score]]</f>
        <v>0.41280294821428576</v>
      </c>
    </row>
    <row r="74" spans="1:14">
      <c r="A74" s="2">
        <v>73</v>
      </c>
      <c r="B74" s="2" t="s">
        <v>116</v>
      </c>
      <c r="C74" s="2" t="s">
        <v>117</v>
      </c>
      <c r="D74" s="2" t="s">
        <v>416</v>
      </c>
      <c r="E74" s="10" t="s">
        <v>971</v>
      </c>
      <c r="F74" s="2" t="str">
        <f>_xlfn.XLOOKUP(Top_100_Universities[[#This Row],[University]],Table1[University],Table1[Type],"NOT FOUND",0)</f>
        <v>Private not-for-profit</v>
      </c>
      <c r="G74" s="31">
        <f>_xlfn.XLOOKUP(Top_100_Universities[[#This Row],[University]],Table1[University],Table1[Av. Grant Aid],"NOT FOUND",0)</f>
        <v>49859</v>
      </c>
      <c r="H74" s="31">
        <f>_xlfn.XLOOKUP(Top_100_Universities[[#This Row],[University]],Table1[University],Table1[Av. Debt],"NOT FOUND",0)</f>
        <v>7390</v>
      </c>
      <c r="I74" s="31">
        <f>_xlfn.XLOOKUP(Top_100_Universities[[#This Row],[University]],Table1[University],Table1[Median 10-year Salary],"NOT FOUND",0)</f>
        <v>160200</v>
      </c>
      <c r="J74" s="41">
        <f>_xlfn.XLOOKUP(Top_100_Universities[[#This Row],[Town]],Cost_of_Living[City],Cost_of_Living[Cost of Living Index],"NA",0)</f>
        <v>71.3</v>
      </c>
      <c r="K74" s="63" cm="1">
        <f t="array" ref="K74">_xlfn.XLOOKUP(Top_100_Universities[[#This Row],[Town]], Cost_of_Living[[#All],[City]], Cost_of_Living[[#All],[Normalized Cost of Living]], "NA",0)</f>
        <v>0.97901459854014605</v>
      </c>
      <c r="L74" s="63" cm="1">
        <f t="array" ref="L74">_xlfn.XLOOKUP(Top_100_Universities[[#This Row],[State]], Crime_rate_Index[[#All],[State ]], Crime_rate_Index[[#All],[Normalized Crime Index]], "NA", 0)</f>
        <v>0.76796567751161959</v>
      </c>
      <c r="M74" s="63" cm="1">
        <f t="array" ref="M74">_xlfn.XLOOKUP(Top_100_Universities[[#This Row],[State]], Safest_States[[#All],[state]], Safest_States[[#All],[Normailzed Safety Score]], "NA", 0)</f>
        <v>0.57442799461641969</v>
      </c>
      <c r="N74" s="63">
        <f>0.4*Top_100_Universities[[#This Row],[Normalized Cost of Living Index]] + 0.3*Top_100_Universities[[#This Row],[Normalized Crime Rate Index]] + 0.3*Top_100_Universities[[#This Row],[Normalized Safety Score]]</f>
        <v>0.79432394105447013</v>
      </c>
    </row>
    <row r="75" spans="1:14">
      <c r="A75" s="2">
        <v>74</v>
      </c>
      <c r="B75" s="2" t="s">
        <v>118</v>
      </c>
      <c r="C75" s="2" t="s">
        <v>119</v>
      </c>
      <c r="D75" s="2" t="s">
        <v>773</v>
      </c>
      <c r="E75" s="10" t="s">
        <v>876</v>
      </c>
      <c r="F75" s="2" t="str">
        <f>_xlfn.XLOOKUP(Top_100_Universities[[#This Row],[University]],Table1[University],Table1[Type],"NOT FOUND",0)</f>
        <v>Private not-for-profit</v>
      </c>
      <c r="G75" s="31">
        <f>_xlfn.XLOOKUP(Top_100_Universities[[#This Row],[University]],Table1[University],Table1[Av. Grant Aid],"NOT FOUND",0)</f>
        <v>62293</v>
      </c>
      <c r="H75" s="31">
        <f>_xlfn.XLOOKUP(Top_100_Universities[[#This Row],[University]],Table1[University],Table1[Av. Debt],"NOT FOUND",0)</f>
        <v>6404</v>
      </c>
      <c r="I75" s="31">
        <f>_xlfn.XLOOKUP(Top_100_Universities[[#This Row],[University]],Table1[University],Table1[Median 10-year Salary],"NOT FOUND",0)</f>
        <v>173300</v>
      </c>
      <c r="J75" s="41">
        <f>_xlfn.XLOOKUP(Top_100_Universities[[#This Row],[Town]],Cost_of_Living[City],Cost_of_Living[Cost of Living Index],"NA",0)</f>
        <v>70.400000000000006</v>
      </c>
      <c r="K75" s="63" cm="1">
        <f t="array" ref="K75">_xlfn.XLOOKUP(Top_100_Universities[[#This Row],[Town]], Cost_of_Living[[#All],[City]], Cost_of_Living[[#All],[Normalized Cost of Living]], "NA",0)</f>
        <v>0.98722627737226276</v>
      </c>
      <c r="L75" s="63" cm="1">
        <f t="array" ref="L75">_xlfn.XLOOKUP(Top_100_Universities[[#This Row],[State]], Crime_rate_Index[[#All],[State ]], Crime_rate_Index[[#All],[Normalized Crime Index]], "NA", 0)</f>
        <v>0.99785484447622452</v>
      </c>
      <c r="M75" s="63" cm="1">
        <f t="array" ref="M75">_xlfn.XLOOKUP(Top_100_Universities[[#This Row],[State]], Safest_States[[#All],[state]], Safest_States[[#All],[Normailzed Safety Score]], "NA", 0)</f>
        <v>0.87079407806191111</v>
      </c>
      <c r="N75" s="63">
        <f>0.4*Top_100_Universities[[#This Row],[Normalized Cost of Living Index]] + 0.3*Top_100_Universities[[#This Row],[Normalized Crime Rate Index]] + 0.3*Top_100_Universities[[#This Row],[Normalized Safety Score]]</f>
        <v>0.95548518771034585</v>
      </c>
    </row>
    <row r="76" spans="1:14">
      <c r="A76" s="2">
        <v>75</v>
      </c>
      <c r="B76" s="2" t="s">
        <v>120</v>
      </c>
      <c r="C76" s="2" t="s">
        <v>774</v>
      </c>
      <c r="D76" s="2" t="s">
        <v>742</v>
      </c>
      <c r="E76" s="10" t="s">
        <v>831</v>
      </c>
      <c r="F76" s="2" t="str">
        <f>_xlfn.XLOOKUP(Top_100_Universities[[#This Row],[University]],Table1[University],Table1[Type],"NOT FOUND",0)</f>
        <v>Public</v>
      </c>
      <c r="G76" s="31">
        <f>_xlfn.XLOOKUP(Top_100_Universities[[#This Row],[University]],Table1[University],Table1[Av. Grant Aid],"NOT FOUND",0)</f>
        <v>14678</v>
      </c>
      <c r="H76" s="31">
        <f>_xlfn.XLOOKUP(Top_100_Universities[[#This Row],[University]],Table1[University],Table1[Av. Debt],"NOT FOUND",0)</f>
        <v>8108</v>
      </c>
      <c r="I76" s="31">
        <f>_xlfn.XLOOKUP(Top_100_Universities[[#This Row],[University]],Table1[University],Table1[Median 10-year Salary],"NOT FOUND",0)</f>
        <v>126000</v>
      </c>
      <c r="J76" s="41">
        <f>_xlfn.XLOOKUP(Top_100_Universities[[#This Row],[Town]],Cost_of_Living[City],Cost_of_Living[Cost of Living Index],"NA",0)</f>
        <v>89.2</v>
      </c>
      <c r="K76" s="63" cm="1">
        <f t="array" ref="K76">_xlfn.XLOOKUP(Top_100_Universities[[#This Row],[Town]], Cost_of_Living[[#All],[City]], Cost_of_Living[[#All],[Normalized Cost of Living]], "NA",0)</f>
        <v>0.81569343065693434</v>
      </c>
      <c r="L76" s="63" cm="1">
        <f t="array" ref="L76">_xlfn.XLOOKUP(Top_100_Universities[[#This Row],[State]], Crime_rate_Index[[#All],[State ]], Crime_rate_Index[[#All],[Normalized Crime Index]], "NA", 0)</f>
        <v>0.92098677154093678</v>
      </c>
      <c r="M76" s="63" cm="1">
        <f t="array" ref="M76">_xlfn.XLOOKUP(Top_100_Universities[[#This Row],[State]], Safest_States[[#All],[state]], Safest_States[[#All],[Normailzed Safety Score]], "NA", 0)</f>
        <v>0.7601615074024225</v>
      </c>
      <c r="N76" s="63">
        <f>0.4*Top_100_Universities[[#This Row],[Normalized Cost of Living Index]] + 0.3*Top_100_Universities[[#This Row],[Normalized Crime Rate Index]] + 0.3*Top_100_Universities[[#This Row],[Normalized Safety Score]]</f>
        <v>0.83062185594578142</v>
      </c>
    </row>
    <row r="77" spans="1:14">
      <c r="A77" s="2">
        <v>76</v>
      </c>
      <c r="B77" s="2" t="s">
        <v>121</v>
      </c>
      <c r="C77" s="2" t="s">
        <v>122</v>
      </c>
      <c r="D77" s="2" t="s">
        <v>745</v>
      </c>
      <c r="E77" s="10" t="s">
        <v>851</v>
      </c>
      <c r="F77" s="2" t="str">
        <f>_xlfn.XLOOKUP(Top_100_Universities[[#This Row],[University]],Table1[University],Table1[Type],"NOT FOUND",0)</f>
        <v>Public</v>
      </c>
      <c r="G77" s="31">
        <f>_xlfn.XLOOKUP(Top_100_Universities[[#This Row],[University]],Table1[University],Table1[Av. Grant Aid],"NOT FOUND",0)</f>
        <v>11457</v>
      </c>
      <c r="H77" s="31">
        <f>_xlfn.XLOOKUP(Top_100_Universities[[#This Row],[University]],Table1[University],Table1[Av. Debt],"NOT FOUND",0)</f>
        <v>6375</v>
      </c>
      <c r="I77" s="31">
        <f>_xlfn.XLOOKUP(Top_100_Universities[[#This Row],[University]],Table1[University],Table1[Median 10-year Salary],"NOT FOUND",0)</f>
        <v>123300</v>
      </c>
      <c r="J77" s="41">
        <f>_xlfn.XLOOKUP(Top_100_Universities[[#This Row],[Town]],Cost_of_Living[City],Cost_of_Living[Cost of Living Index],"NA",0)</f>
        <v>95.8</v>
      </c>
      <c r="K77" s="63" cm="1">
        <f t="array" ref="K77">_xlfn.XLOOKUP(Top_100_Universities[[#This Row],[Town]], Cost_of_Living[[#All],[City]], Cost_of_Living[[#All],[Normalized Cost of Living]], "NA",0)</f>
        <v>0.75547445255474455</v>
      </c>
      <c r="L77" s="63" cm="1">
        <f t="array" ref="L77">_xlfn.XLOOKUP(Top_100_Universities[[#This Row],[State]], Crime_rate_Index[[#All],[State ]], Crime_rate_Index[[#All],[Normalized Crime Index]], "NA", 0)</f>
        <v>0.63818376832320345</v>
      </c>
      <c r="M77" s="63" cm="1">
        <f t="array" ref="M77">_xlfn.XLOOKUP(Top_100_Universities[[#This Row],[State]], Safest_States[[#All],[state]], Safest_States[[#All],[Normailzed Safety Score]], "NA", 0)</f>
        <v>0.13808882907133249</v>
      </c>
      <c r="N77" s="63">
        <f>0.4*Top_100_Universities[[#This Row],[Normalized Cost of Living Index]] + 0.3*Top_100_Universities[[#This Row],[Normalized Crime Rate Index]] + 0.3*Top_100_Universities[[#This Row],[Normalized Safety Score]]</f>
        <v>0.5350715602402587</v>
      </c>
    </row>
    <row r="78" spans="1:14">
      <c r="A78" s="2">
        <v>77</v>
      </c>
      <c r="B78" s="2" t="s">
        <v>123</v>
      </c>
      <c r="C78" s="2" t="s">
        <v>552</v>
      </c>
      <c r="D78" s="2" t="s">
        <v>740</v>
      </c>
      <c r="E78" s="10" t="s">
        <v>840</v>
      </c>
      <c r="F78" s="2" t="str">
        <f>_xlfn.XLOOKUP(Top_100_Universities[[#This Row],[University]],Table1[University],Table1[Type],"NOT FOUND",0)</f>
        <v>Public</v>
      </c>
      <c r="G78" s="31">
        <f>_xlfn.XLOOKUP(Top_100_Universities[[#This Row],[University]],Table1[University],Table1[Av. Grant Aid],"NOT FOUND",0)</f>
        <v>8521</v>
      </c>
      <c r="H78" s="31">
        <f>_xlfn.XLOOKUP(Top_100_Universities[[#This Row],[University]],Table1[University],Table1[Av. Debt],"NOT FOUND",0)</f>
        <v>7839</v>
      </c>
      <c r="I78" s="31">
        <f>_xlfn.XLOOKUP(Top_100_Universities[[#This Row],[University]],Table1[University],Table1[Median 10-year Salary],"NOT FOUND",0)</f>
        <v>114500</v>
      </c>
      <c r="J78" s="41">
        <f>_xlfn.XLOOKUP(Top_100_Universities[[#This Row],[Town]],Cost_of_Living[City],Cost_of_Living[Cost of Living Index],"NA",0)</f>
        <v>97.3</v>
      </c>
      <c r="K78" s="63" cm="1">
        <f t="array" ref="K78">_xlfn.XLOOKUP(Top_100_Universities[[#This Row],[Town]], Cost_of_Living[[#All],[City]], Cost_of_Living[[#All],[Normalized Cost of Living]], "NA",0)</f>
        <v>0.74178832116788329</v>
      </c>
      <c r="L78" s="63" cm="1">
        <f t="array" ref="L78">_xlfn.XLOOKUP(Top_100_Universities[[#This Row],[State]], Crime_rate_Index[[#All],[State ]], Crime_rate_Index[[#All],[Normalized Crime Index]], "NA", 0)</f>
        <v>0.91276367536646408</v>
      </c>
      <c r="M78" s="63" cm="1">
        <f t="array" ref="M78">_xlfn.XLOOKUP(Top_100_Universities[[#This Row],[State]], Safest_States[[#All],[state]], Safest_States[[#All],[Normailzed Safety Score]], "NA", 0)</f>
        <v>0.54589502018842528</v>
      </c>
      <c r="N78" s="63">
        <f>0.4*Top_100_Universities[[#This Row],[Normalized Cost of Living Index]] + 0.3*Top_100_Universities[[#This Row],[Normalized Crime Rate Index]] + 0.3*Top_100_Universities[[#This Row],[Normalized Safety Score]]</f>
        <v>0.73431293713362011</v>
      </c>
    </row>
    <row r="79" spans="1:14">
      <c r="A79" s="2">
        <v>78</v>
      </c>
      <c r="B79" s="2" t="s">
        <v>124</v>
      </c>
      <c r="C79" s="2" t="s">
        <v>125</v>
      </c>
      <c r="D79" s="2" t="s">
        <v>775</v>
      </c>
      <c r="E79" s="10" t="s">
        <v>1358</v>
      </c>
      <c r="F79" s="2" t="str">
        <f>_xlfn.XLOOKUP(Top_100_Universities[[#This Row],[University]],Table1[University],Table1[Type],"NOT FOUND",0)</f>
        <v>Public</v>
      </c>
      <c r="G79" s="31">
        <f>_xlfn.XLOOKUP(Top_100_Universities[[#This Row],[University]],Table1[University],Table1[Av. Grant Aid],"NOT FOUND",0)</f>
        <v>14114</v>
      </c>
      <c r="H79" s="31">
        <f>_xlfn.XLOOKUP(Top_100_Universities[[#This Row],[University]],Table1[University],Table1[Av. Debt],"NOT FOUND",0)</f>
        <v>8420</v>
      </c>
      <c r="I79" s="31">
        <f>_xlfn.XLOOKUP(Top_100_Universities[[#This Row],[University]],Table1[University],Table1[Median 10-year Salary],"NOT FOUND",0)</f>
        <v>111700</v>
      </c>
      <c r="J79" s="41">
        <f>_xlfn.XLOOKUP(Top_100_Universities[[#This Row],[Town]],Cost_of_Living[City],Cost_of_Living[Cost of Living Index],"NA",0)</f>
        <v>91.1</v>
      </c>
      <c r="K79" s="63" cm="1">
        <f t="array" ref="K79">_xlfn.XLOOKUP(Top_100_Universities[[#This Row],[Town]], Cost_of_Living[[#All],[City]], Cost_of_Living[[#All],[Normalized Cost of Living]], "NA",0)</f>
        <v>0.79835766423357668</v>
      </c>
      <c r="L79" s="63" cm="1">
        <f t="array" ref="L79">_xlfn.XLOOKUP(Top_100_Universities[[#This Row],[State]], Crime_rate_Index[[#All],[State ]], Crime_rate_Index[[#All],[Normalized Crime Index]], "NA", 0)</f>
        <v>0.87307829817661786</v>
      </c>
      <c r="M79" s="63" cm="1">
        <f t="array" ref="M79">_xlfn.XLOOKUP(Top_100_Universities[[#This Row],[State]], Safest_States[[#All],[state]], Safest_States[[#All],[Normailzed Safety Score]], "NA", 0)</f>
        <v>0.46002691790040362</v>
      </c>
      <c r="N79" s="63">
        <f>0.4*Top_100_Universities[[#This Row],[Normalized Cost of Living Index]] + 0.3*Top_100_Universities[[#This Row],[Normalized Crime Rate Index]] + 0.3*Top_100_Universities[[#This Row],[Normalized Safety Score]]</f>
        <v>0.71927463051653706</v>
      </c>
    </row>
    <row r="80" spans="1:14">
      <c r="A80" s="2">
        <v>79</v>
      </c>
      <c r="B80" s="2" t="s">
        <v>126</v>
      </c>
      <c r="C80" s="2" t="s">
        <v>25</v>
      </c>
      <c r="D80" s="2" t="s">
        <v>746</v>
      </c>
      <c r="E80" s="10" t="s">
        <v>858</v>
      </c>
      <c r="F80" s="2" t="str">
        <f>_xlfn.XLOOKUP(Top_100_Universities[[#This Row],[University]],Table1[University],Table1[Type],"NOT FOUND",0)</f>
        <v>Public</v>
      </c>
      <c r="G80" s="31">
        <f>_xlfn.XLOOKUP(Top_100_Universities[[#This Row],[University]],Table1[University],Table1[Av. Grant Aid],"NOT FOUND",0)</f>
        <v>13813</v>
      </c>
      <c r="H80" s="31">
        <f>_xlfn.XLOOKUP(Top_100_Universities[[#This Row],[University]],Table1[University],Table1[Av. Debt],"NOT FOUND",0)</f>
        <v>7514</v>
      </c>
      <c r="I80" s="31">
        <f>_xlfn.XLOOKUP(Top_100_Universities[[#This Row],[University]],Table1[University],Table1[Median 10-year Salary],"NOT FOUND",0)</f>
        <v>121600</v>
      </c>
      <c r="J80" s="41">
        <f>_xlfn.XLOOKUP(Top_100_Universities[[#This Row],[Town]],Cost_of_Living[City],Cost_of_Living[Cost of Living Index],"NA",0)</f>
        <v>100.1</v>
      </c>
      <c r="K80" s="63" cm="1">
        <f t="array" ref="K80">_xlfn.XLOOKUP(Top_100_Universities[[#This Row],[Town]], Cost_of_Living[[#All],[City]], Cost_of_Living[[#All],[Normalized Cost of Living]], "NA",0)</f>
        <v>0.71624087591240881</v>
      </c>
      <c r="L80" s="63" cm="1">
        <f t="array" ref="L80">_xlfn.XLOOKUP(Top_100_Universities[[#This Row],[State]], Crime_rate_Index[[#All],[State ]], Crime_rate_Index[[#All],[Normalized Crime Index]], "NA", 0)</f>
        <v>0.76188773686092248</v>
      </c>
      <c r="M80" s="63" cm="1">
        <f t="array" ref="M80">_xlfn.XLOOKUP(Top_100_Universities[[#This Row],[State]], Safest_States[[#All],[state]], Safest_States[[#All],[Normailzed Safety Score]], "NA", 0)</f>
        <v>0.43176312247644677</v>
      </c>
      <c r="N80" s="63">
        <f>0.4*Top_100_Universities[[#This Row],[Normalized Cost of Living Index]] + 0.3*Top_100_Universities[[#This Row],[Normalized Crime Rate Index]] + 0.3*Top_100_Universities[[#This Row],[Normalized Safety Score]]</f>
        <v>0.64459160816617422</v>
      </c>
    </row>
    <row r="81" spans="1:14">
      <c r="A81" s="2">
        <v>80</v>
      </c>
      <c r="B81" s="2" t="s">
        <v>127</v>
      </c>
      <c r="C81" s="2" t="s">
        <v>631</v>
      </c>
      <c r="D81" s="2" t="s">
        <v>666</v>
      </c>
      <c r="E81" s="10" t="s">
        <v>822</v>
      </c>
      <c r="F81" s="2" t="str">
        <f>_xlfn.XLOOKUP(Top_100_Universities[[#This Row],[University]],Table1[University],Table1[Type],"NOT FOUND",0)</f>
        <v>Public</v>
      </c>
      <c r="G81" s="31">
        <f>_xlfn.XLOOKUP(Top_100_Universities[[#This Row],[University]],Table1[University],Table1[Av. Grant Aid],"NOT FOUND",0)</f>
        <v>22042</v>
      </c>
      <c r="H81" s="31">
        <f>_xlfn.XLOOKUP(Top_100_Universities[[#This Row],[University]],Table1[University],Table1[Av. Debt],"NOT FOUND",0)</f>
        <v>5140</v>
      </c>
      <c r="I81" s="31">
        <f>_xlfn.XLOOKUP(Top_100_Universities[[#This Row],[University]],Table1[University],Table1[Median 10-year Salary],"NOT FOUND",0)</f>
        <v>128800</v>
      </c>
      <c r="J81" s="41">
        <f>_xlfn.XLOOKUP(Top_100_Universities[[#This Row],[Town]],Cost_of_Living[City],Cost_of_Living[Cost of Living Index],"NA",0)</f>
        <v>116.1</v>
      </c>
      <c r="K81" s="63" cm="1">
        <f t="array" ref="K81">_xlfn.XLOOKUP(Top_100_Universities[[#This Row],[Town]], Cost_of_Living[[#All],[City]], Cost_of_Living[[#All],[Normalized Cost of Living]], "NA",0)</f>
        <v>0.57025547445255476</v>
      </c>
      <c r="L81" s="63" cm="1">
        <f t="array" ref="L81">_xlfn.XLOOKUP(Top_100_Universities[[#This Row],[State]], Crime_rate_Index[[#All],[State ]], Crime_rate_Index[[#All],[Normalized Crime Index]], "NA", 0)</f>
        <v>0.73149803360743659</v>
      </c>
      <c r="M81" s="63" cm="1">
        <f t="array" ref="M81">_xlfn.XLOOKUP(Top_100_Universities[[#This Row],[State]], Safest_States[[#All],[state]], Safest_States[[#All],[Normailzed Safety Score]], "NA", 0)</f>
        <v>0.46567967698519502</v>
      </c>
      <c r="N81" s="63">
        <f>0.4*Top_100_Universities[[#This Row],[Normalized Cost of Living Index]] + 0.3*Top_100_Universities[[#This Row],[Normalized Crime Rate Index]] + 0.3*Top_100_Universities[[#This Row],[Normalized Safety Score]]</f>
        <v>0.58725550295881135</v>
      </c>
    </row>
    <row r="82" spans="1:14">
      <c r="A82" s="2">
        <v>81</v>
      </c>
      <c r="B82" s="2" t="s">
        <v>128</v>
      </c>
      <c r="C82" s="2" t="s">
        <v>122</v>
      </c>
      <c r="D82" s="2" t="s">
        <v>745</v>
      </c>
      <c r="E82" s="10" t="s">
        <v>851</v>
      </c>
      <c r="F82" s="2" t="str">
        <f>_xlfn.XLOOKUP(Top_100_Universities[[#This Row],[University]],Table1[University],Table1[Type],"NOT FOUND",0)</f>
        <v>Private not-for-profit</v>
      </c>
      <c r="G82" s="31">
        <f>_xlfn.XLOOKUP(Top_100_Universities[[#This Row],[University]],Table1[University],Table1[Av. Grant Aid],"NOT FOUND",0)</f>
        <v>51955</v>
      </c>
      <c r="H82" s="31">
        <f>_xlfn.XLOOKUP(Top_100_Universities[[#This Row],[University]],Table1[University],Table1[Av. Debt],"NOT FOUND",0)</f>
        <v>10818</v>
      </c>
      <c r="I82" s="31">
        <f>_xlfn.XLOOKUP(Top_100_Universities[[#This Row],[University]],Table1[University],Table1[Median 10-year Salary],"NOT FOUND",0)</f>
        <v>152100</v>
      </c>
      <c r="J82" s="41">
        <f>_xlfn.XLOOKUP(Top_100_Universities[[#This Row],[Town]],Cost_of_Living[City],Cost_of_Living[Cost of Living Index],"NA",0)</f>
        <v>95.8</v>
      </c>
      <c r="K82" s="63" cm="1">
        <f t="array" ref="K82">_xlfn.XLOOKUP(Top_100_Universities[[#This Row],[Town]], Cost_of_Living[[#All],[City]], Cost_of_Living[[#All],[Normalized Cost of Living]], "NA",0)</f>
        <v>0.75547445255474455</v>
      </c>
      <c r="L82" s="63" cm="1">
        <f t="array" ref="L82">_xlfn.XLOOKUP(Top_100_Universities[[#This Row],[State]], Crime_rate_Index[[#All],[State ]], Crime_rate_Index[[#All],[Normalized Crime Index]], "NA", 0)</f>
        <v>0.63818376832320345</v>
      </c>
      <c r="M82" s="63" cm="1">
        <f t="array" ref="M82">_xlfn.XLOOKUP(Top_100_Universities[[#This Row],[State]], Safest_States[[#All],[state]], Safest_States[[#All],[Normailzed Safety Score]], "NA", 0)</f>
        <v>0.13808882907133249</v>
      </c>
      <c r="N82" s="63">
        <f>0.4*Top_100_Universities[[#This Row],[Normalized Cost of Living Index]] + 0.3*Top_100_Universities[[#This Row],[Normalized Crime Rate Index]] + 0.3*Top_100_Universities[[#This Row],[Normalized Safety Score]]</f>
        <v>0.5350715602402587</v>
      </c>
    </row>
    <row r="83" spans="1:14">
      <c r="A83" s="2">
        <v>82</v>
      </c>
      <c r="B83" s="2" t="s">
        <v>129</v>
      </c>
      <c r="C83" s="2" t="s">
        <v>433</v>
      </c>
      <c r="D83" s="2" t="s">
        <v>751</v>
      </c>
      <c r="E83" s="10" t="s">
        <v>910</v>
      </c>
      <c r="F83" s="2" t="str">
        <f>_xlfn.XLOOKUP(Top_100_Universities[[#This Row],[University]],Table1[University],Table1[Type],"NOT FOUND",0)</f>
        <v>Public</v>
      </c>
      <c r="G83" s="31">
        <f>_xlfn.XLOOKUP(Top_100_Universities[[#This Row],[University]],Table1[University],Table1[Av. Grant Aid],"NOT FOUND",0)</f>
        <v>9986</v>
      </c>
      <c r="H83" s="31">
        <f>_xlfn.XLOOKUP(Top_100_Universities[[#This Row],[University]],Table1[University],Table1[Av. Debt],"NOT FOUND",0)</f>
        <v>6526</v>
      </c>
      <c r="I83" s="31">
        <f>_xlfn.XLOOKUP(Top_100_Universities[[#This Row],[University]],Table1[University],Table1[Median 10-year Salary],"NOT FOUND",0)</f>
        <v>105500</v>
      </c>
      <c r="J83" s="41">
        <f>_xlfn.XLOOKUP(Top_100_Universities[[#This Row],[Town]],Cost_of_Living[City],Cost_of_Living[Cost of Living Index],"NA",0)</f>
        <v>101.4</v>
      </c>
      <c r="K83" s="63" cm="1">
        <f t="array" ref="K83">_xlfn.XLOOKUP(Top_100_Universities[[#This Row],[Town]], Cost_of_Living[[#All],[City]], Cost_of_Living[[#All],[Normalized Cost of Living]], "NA",0)</f>
        <v>0.70437956204379559</v>
      </c>
      <c r="L83" s="63" cm="1">
        <f t="array" ref="L83">_xlfn.XLOOKUP(Top_100_Universities[[#This Row],[State]], Crime_rate_Index[[#All],[State ]], Crime_rate_Index[[#All],[Normalized Crime Index]], "NA", 0)</f>
        <v>0.59063282087951374</v>
      </c>
      <c r="M83" s="63" cm="1">
        <f t="array" ref="M83">_xlfn.XLOOKUP(Top_100_Universities[[#This Row],[State]], Safest_States[[#All],[state]], Safest_States[[#All],[Normailzed Safety Score]], "NA", 0)</f>
        <v>0.21211305518169588</v>
      </c>
      <c r="N83" s="63">
        <f>0.4*Top_100_Universities[[#This Row],[Normalized Cost of Living Index]] + 0.3*Top_100_Universities[[#This Row],[Normalized Crime Rate Index]] + 0.3*Top_100_Universities[[#This Row],[Normalized Safety Score]]</f>
        <v>0.52257558763588119</v>
      </c>
    </row>
    <row r="84" spans="1:14">
      <c r="A84" s="2">
        <v>83</v>
      </c>
      <c r="B84" s="2" t="s">
        <v>130</v>
      </c>
      <c r="C84" s="2" t="s">
        <v>131</v>
      </c>
      <c r="D84" s="2" t="s">
        <v>763</v>
      </c>
      <c r="E84" s="10" t="s">
        <v>926</v>
      </c>
      <c r="F84" s="2" t="str">
        <f>_xlfn.XLOOKUP(Top_100_Universities[[#This Row],[University]],Table1[University],Table1[Type],"NOT FOUND",0)</f>
        <v>Public</v>
      </c>
      <c r="G84" s="31">
        <f>_xlfn.XLOOKUP(Top_100_Universities[[#This Row],[University]],Table1[University],Table1[Av. Grant Aid],"NOT FOUND",0)</f>
        <v>11545</v>
      </c>
      <c r="H84" s="31">
        <f>_xlfn.XLOOKUP(Top_100_Universities[[#This Row],[University]],Table1[University],Table1[Av. Debt],"NOT FOUND",0)</f>
        <v>9167</v>
      </c>
      <c r="I84" s="31">
        <f>_xlfn.XLOOKUP(Top_100_Universities[[#This Row],[University]],Table1[University],Table1[Median 10-year Salary],"NOT FOUND",0)</f>
        <v>119500</v>
      </c>
      <c r="J84" s="41">
        <f>_xlfn.XLOOKUP(Top_100_Universities[[#This Row],[Town]],Cost_of_Living[City],Cost_of_Living[Cost of Living Index],"NA",0)</f>
        <v>89.8</v>
      </c>
      <c r="K84" s="63" cm="1">
        <f t="array" ref="K84">_xlfn.XLOOKUP(Top_100_Universities[[#This Row],[Town]], Cost_of_Living[[#All],[City]], Cost_of_Living[[#All],[Normalized Cost of Living]], "NA",0)</f>
        <v>0.81021897810218979</v>
      </c>
      <c r="L84" s="63" cm="1">
        <f t="array" ref="L84">_xlfn.XLOOKUP(Top_100_Universities[[#This Row],[State]], Crime_rate_Index[[#All],[State ]], Crime_rate_Index[[#All],[Normalized Crime Index]], "NA", 0)</f>
        <v>0.67536646406864498</v>
      </c>
      <c r="M84" s="63" cm="1">
        <f t="array" ref="M84">_xlfn.XLOOKUP(Top_100_Universities[[#This Row],[State]], Safest_States[[#All],[state]], Safest_States[[#All],[Normailzed Safety Score]], "NA", 0)</f>
        <v>0.23176312247644679</v>
      </c>
      <c r="N84" s="63">
        <f>0.4*Top_100_Universities[[#This Row],[Normalized Cost of Living Index]] + 0.3*Top_100_Universities[[#This Row],[Normalized Crime Rate Index]] + 0.3*Top_100_Universities[[#This Row],[Normalized Safety Score]]</f>
        <v>0.59622646720440342</v>
      </c>
    </row>
    <row r="85" spans="1:14">
      <c r="A85" s="2">
        <v>84</v>
      </c>
      <c r="B85" s="2" t="s">
        <v>132</v>
      </c>
      <c r="C85" s="2" t="s">
        <v>85</v>
      </c>
      <c r="D85" s="2" t="s">
        <v>767</v>
      </c>
      <c r="E85" s="10" t="s">
        <v>939</v>
      </c>
      <c r="F85" s="2" t="str">
        <f>_xlfn.XLOOKUP(Top_100_Universities[[#This Row],[University]],Table1[University],Table1[Type],"NOT FOUND",0)</f>
        <v>Public</v>
      </c>
      <c r="G85" s="31">
        <f>_xlfn.XLOOKUP(Top_100_Universities[[#This Row],[University]],Table1[University],Table1[Av. Grant Aid],"NOT FOUND",0)</f>
        <v>11563</v>
      </c>
      <c r="H85" s="31">
        <f>_xlfn.XLOOKUP(Top_100_Universities[[#This Row],[University]],Table1[University],Table1[Av. Debt],"NOT FOUND",0)</f>
        <v>5857</v>
      </c>
      <c r="I85" s="31">
        <f>_xlfn.XLOOKUP(Top_100_Universities[[#This Row],[University]],Table1[University],Table1[Median 10-year Salary],"NOT FOUND",0)</f>
        <v>108800</v>
      </c>
      <c r="J85" s="41">
        <f>_xlfn.XLOOKUP(Top_100_Universities[[#This Row],[Town]],Cost_of_Living[City],Cost_of_Living[Cost of Living Index],"NA",0)</f>
        <v>100.3</v>
      </c>
      <c r="K85" s="63" cm="1">
        <f t="array" ref="K85">_xlfn.XLOOKUP(Top_100_Universities[[#This Row],[Town]], Cost_of_Living[[#All],[City]], Cost_of_Living[[#All],[Normalized Cost of Living]], "NA",0)</f>
        <v>0.71441605839416056</v>
      </c>
      <c r="L85" s="63" cm="1">
        <f t="array" ref="L85">_xlfn.XLOOKUP(Top_100_Universities[[#This Row],[State]], Crime_rate_Index[[#All],[State ]], Crime_rate_Index[[#All],[Normalized Crime Index]], "NA", 0)</f>
        <v>0.65641759027529489</v>
      </c>
      <c r="M85" s="63" cm="1">
        <f t="array" ref="M85">_xlfn.XLOOKUP(Top_100_Universities[[#This Row],[State]], Safest_States[[#All],[state]], Safest_States[[#All],[Normailzed Safety Score]], "NA", 0)</f>
        <v>0.36689098250336477</v>
      </c>
      <c r="N85" s="63">
        <f>0.4*Top_100_Universities[[#This Row],[Normalized Cost of Living Index]] + 0.3*Top_100_Universities[[#This Row],[Normalized Crime Rate Index]] + 0.3*Top_100_Universities[[#This Row],[Normalized Safety Score]]</f>
        <v>0.59275899519126207</v>
      </c>
    </row>
    <row r="86" spans="1:14">
      <c r="A86" s="2">
        <v>85</v>
      </c>
      <c r="B86" s="2" t="s">
        <v>133</v>
      </c>
      <c r="C86" s="2" t="s">
        <v>256</v>
      </c>
      <c r="D86" s="2" t="s">
        <v>738</v>
      </c>
      <c r="E86" s="10" t="s">
        <v>827</v>
      </c>
      <c r="F86" s="2" t="str">
        <f>_xlfn.XLOOKUP(Top_100_Universities[[#This Row],[University]],Table1[University],Table1[Type],"NOT FOUND",0)</f>
        <v>Private not-for-profit</v>
      </c>
      <c r="G86" s="31">
        <f>_xlfn.XLOOKUP(Top_100_Universities[[#This Row],[University]],Table1[University],Table1[Av. Grant Aid],"NOT FOUND",0)</f>
        <v>42331</v>
      </c>
      <c r="H86" s="31">
        <f>_xlfn.XLOOKUP(Top_100_Universities[[#This Row],[University]],Table1[University],Table1[Av. Debt],"NOT FOUND",0)</f>
        <v>8278</v>
      </c>
      <c r="I86" s="31">
        <f>_xlfn.XLOOKUP(Top_100_Universities[[#This Row],[University]],Table1[University],Table1[Median 10-year Salary],"NOT FOUND",0)</f>
        <v>130300</v>
      </c>
      <c r="J86" s="41">
        <f>_xlfn.XLOOKUP(Top_100_Universities[[#This Row],[Town]],Cost_of_Living[City],Cost_of_Living[Cost of Living Index],"NA",0)</f>
        <v>132.6</v>
      </c>
      <c r="K86" s="63" cm="1">
        <f t="array" ref="K86">_xlfn.XLOOKUP(Top_100_Universities[[#This Row],[Town]], Cost_of_Living[[#All],[City]], Cost_of_Living[[#All],[Normalized Cost of Living]], "NA",0)</f>
        <v>0.41970802919708028</v>
      </c>
      <c r="L86" s="63" cm="1">
        <f t="array" ref="L86">_xlfn.XLOOKUP(Top_100_Universities[[#This Row],[State]], Crime_rate_Index[[#All],[State ]], Crime_rate_Index[[#All],[Normalized Crime Index]], "NA", 0)</f>
        <v>0.85055416517697535</v>
      </c>
      <c r="M86" s="63" cm="1">
        <f t="array" ref="M86">_xlfn.XLOOKUP(Top_100_Universities[[#This Row],[State]], Safest_States[[#All],[state]], Safest_States[[#All],[Normailzed Safety Score]], "NA", 0)</f>
        <v>0.76393001345895017</v>
      </c>
      <c r="N86" s="63">
        <f>0.4*Top_100_Universities[[#This Row],[Normalized Cost of Living Index]] + 0.3*Top_100_Universities[[#This Row],[Normalized Crime Rate Index]] + 0.3*Top_100_Universities[[#This Row],[Normalized Safety Score]]</f>
        <v>0.65222846526960976</v>
      </c>
    </row>
    <row r="87" spans="1:14">
      <c r="A87" s="2">
        <v>86</v>
      </c>
      <c r="B87" s="2" t="s">
        <v>134</v>
      </c>
      <c r="C87" s="2" t="s">
        <v>776</v>
      </c>
      <c r="D87" s="2" t="s">
        <v>777</v>
      </c>
      <c r="E87" s="10" t="s">
        <v>1428</v>
      </c>
      <c r="F87" s="2" t="str">
        <f>_xlfn.XLOOKUP(Top_100_Universities[[#This Row],[University]],Table1[University],Table1[Type],"NOT FOUND",0)</f>
        <v>Public</v>
      </c>
      <c r="G87" s="31">
        <f>_xlfn.XLOOKUP(Top_100_Universities[[#This Row],[University]],Table1[University],Table1[Av. Grant Aid],"NOT FOUND",0)</f>
        <v>11140</v>
      </c>
      <c r="H87" s="31">
        <f>_xlfn.XLOOKUP(Top_100_Universities[[#This Row],[University]],Table1[University],Table1[Av. Debt],"NOT FOUND",0)</f>
        <v>6880</v>
      </c>
      <c r="I87" s="31">
        <f>_xlfn.XLOOKUP(Top_100_Universities[[#This Row],[University]],Table1[University],Table1[Median 10-year Salary],"NOT FOUND",0)</f>
        <v>118100</v>
      </c>
      <c r="J87" s="41">
        <f>_xlfn.XLOOKUP(Top_100_Universities[[#This Row],[Town]],Cost_of_Living[City],Cost_of_Living[Cost of Living Index],"NA",0)</f>
        <v>91.6</v>
      </c>
      <c r="K87" s="63" cm="1">
        <f t="array" ref="K87">_xlfn.XLOOKUP(Top_100_Universities[[#This Row],[Town]], Cost_of_Living[[#All],[City]], Cost_of_Living[[#All],[Normalized Cost of Living]], "NA",0)</f>
        <v>0.79379562043795626</v>
      </c>
      <c r="L87" s="63" cm="1">
        <f t="array" ref="L87">_xlfn.XLOOKUP(Top_100_Universities[[#This Row],[State]], Crime_rate_Index[[#All],[State ]], Crime_rate_Index[[#All],[Normalized Crime Index]], "NA", 0)</f>
        <v>0.74258133714694319</v>
      </c>
      <c r="M87" s="63" cm="1">
        <f t="array" ref="M87">_xlfn.XLOOKUP(Top_100_Universities[[#This Row],[State]], Safest_States[[#All],[state]], Safest_States[[#All],[Normailzed Safety Score]], "NA", 0)</f>
        <v>0.30336473755047089</v>
      </c>
      <c r="N87" s="63">
        <f>0.4*Top_100_Universities[[#This Row],[Normalized Cost of Living Index]] + 0.3*Top_100_Universities[[#This Row],[Normalized Crime Rate Index]] + 0.3*Top_100_Universities[[#This Row],[Normalized Safety Score]]</f>
        <v>0.63130207058440668</v>
      </c>
    </row>
    <row r="88" spans="1:14">
      <c r="A88" s="2">
        <v>87</v>
      </c>
      <c r="B88" s="2" t="s">
        <v>135</v>
      </c>
      <c r="C88" s="2" t="s">
        <v>136</v>
      </c>
      <c r="D88" s="2" t="s">
        <v>778</v>
      </c>
      <c r="E88" s="10" t="s">
        <v>1263</v>
      </c>
      <c r="F88" s="2" t="str">
        <f>_xlfn.XLOOKUP(Top_100_Universities[[#This Row],[University]],Table1[University],Table1[Type],"NOT FOUND",0)</f>
        <v>Public</v>
      </c>
      <c r="G88" s="31">
        <f>_xlfn.XLOOKUP(Top_100_Universities[[#This Row],[University]],Table1[University],Table1[Av. Grant Aid],"NOT FOUND",0)</f>
        <v>12375</v>
      </c>
      <c r="H88" s="31">
        <f>_xlfn.XLOOKUP(Top_100_Universities[[#This Row],[University]],Table1[University],Table1[Av. Debt],"NOT FOUND",0)</f>
        <v>10580</v>
      </c>
      <c r="I88" s="31">
        <f>_xlfn.XLOOKUP(Top_100_Universities[[#This Row],[University]],Table1[University],Table1[Median 10-year Salary],"NOT FOUND",0)</f>
        <v>127600</v>
      </c>
      <c r="J88" s="41">
        <f>_xlfn.XLOOKUP(Top_100_Universities[[#This Row],[Town]],Cost_of_Living[City],Cost_of_Living[Cost of Living Index],"NA",0)</f>
        <v>76.599999999999994</v>
      </c>
      <c r="K88" s="63" cm="1">
        <f t="array" ref="K88">_xlfn.XLOOKUP(Top_100_Universities[[#This Row],[Town]], Cost_of_Living[[#All],[City]], Cost_of_Living[[#All],[Normalized Cost of Living]], "NA",0)</f>
        <v>0.93065693430656937</v>
      </c>
      <c r="L88" s="63" cm="1">
        <f t="array" ref="L88">_xlfn.XLOOKUP(Top_100_Universities[[#This Row],[State]], Crime_rate_Index[[#All],[State ]], Crime_rate_Index[[#All],[Normalized Crime Index]], "NA", 0)</f>
        <v>0.63389345727565249</v>
      </c>
      <c r="M88" s="63" cm="1">
        <f t="array" ref="M88">_xlfn.XLOOKUP(Top_100_Universities[[#This Row],[State]], Safest_States[[#All],[state]], Safest_States[[#All],[Normailzed Safety Score]], "NA", 0)</f>
        <v>0.5308209959623148</v>
      </c>
      <c r="N88" s="63">
        <f>0.4*Top_100_Universities[[#This Row],[Normalized Cost of Living Index]] + 0.3*Top_100_Universities[[#This Row],[Normalized Crime Rate Index]] + 0.3*Top_100_Universities[[#This Row],[Normalized Safety Score]]</f>
        <v>0.72167710969401799</v>
      </c>
    </row>
    <row r="89" spans="1:14">
      <c r="A89" s="2">
        <v>88</v>
      </c>
      <c r="B89" s="2" t="s">
        <v>137</v>
      </c>
      <c r="C89" s="2" t="s">
        <v>659</v>
      </c>
      <c r="D89" s="2" t="s">
        <v>771</v>
      </c>
      <c r="E89" s="10" t="s">
        <v>872</v>
      </c>
      <c r="F89" s="2" t="str">
        <f>_xlfn.XLOOKUP(Top_100_Universities[[#This Row],[University]],Table1[University],Table1[Type],"NOT FOUND",0)</f>
        <v>Public</v>
      </c>
      <c r="G89" s="31">
        <f>_xlfn.XLOOKUP(Top_100_Universities[[#This Row],[University]],Table1[University],Table1[Av. Grant Aid],"NOT FOUND",0)</f>
        <v>10593</v>
      </c>
      <c r="H89" s="31">
        <f>_xlfn.XLOOKUP(Top_100_Universities[[#This Row],[University]],Table1[University],Table1[Av. Debt],"NOT FOUND",0)</f>
        <v>10094</v>
      </c>
      <c r="I89" s="31">
        <f>_xlfn.XLOOKUP(Top_100_Universities[[#This Row],[University]],Table1[University],Table1[Median 10-year Salary],"NOT FOUND",0)</f>
        <v>110500</v>
      </c>
      <c r="J89" s="41">
        <f>_xlfn.XLOOKUP(Top_100_Universities[[#This Row],[Town]],Cost_of_Living[City],Cost_of_Living[Cost of Living Index],"NA",0)</f>
        <v>91.6</v>
      </c>
      <c r="K89" s="63" cm="1">
        <f t="array" ref="K89">_xlfn.XLOOKUP(Top_100_Universities[[#This Row],[Town]], Cost_of_Living[[#All],[City]], Cost_of_Living[[#All],[Normalized Cost of Living]], "NA",0)</f>
        <v>0.79379562043795626</v>
      </c>
      <c r="L89" s="63" cm="1">
        <f t="array" ref="L89">_xlfn.XLOOKUP(Top_100_Universities[[#This Row],[State]], Crime_rate_Index[[#All],[State ]], Crime_rate_Index[[#All],[Normalized Crime Index]], "NA", 0)</f>
        <v>0.55523775473721848</v>
      </c>
      <c r="M89" s="63" cm="1">
        <f t="array" ref="M89">_xlfn.XLOOKUP(Top_100_Universities[[#This Row],[State]], Safest_States[[#All],[state]], Safest_States[[#All],[Normailzed Safety Score]], "NA", 0)</f>
        <v>0.26110363391655456</v>
      </c>
      <c r="N89" s="63">
        <f>0.4*Top_100_Universities[[#This Row],[Normalized Cost of Living Index]] + 0.3*Top_100_Universities[[#This Row],[Normalized Crime Rate Index]] + 0.3*Top_100_Universities[[#This Row],[Normalized Safety Score]]</f>
        <v>0.56242066477131436</v>
      </c>
    </row>
    <row r="90" spans="1:14">
      <c r="A90" s="2">
        <v>89</v>
      </c>
      <c r="B90" s="2" t="s">
        <v>138</v>
      </c>
      <c r="C90" s="2" t="s">
        <v>779</v>
      </c>
      <c r="D90" s="2" t="s">
        <v>780</v>
      </c>
      <c r="E90" s="10" t="s">
        <v>1678</v>
      </c>
      <c r="F90" s="2" t="str">
        <f>_xlfn.XLOOKUP(Top_100_Universities[[#This Row],[University]],Table1[University],Table1[Type],"NOT FOUND",0)</f>
        <v>Public</v>
      </c>
      <c r="G90" s="31">
        <f>_xlfn.XLOOKUP(Top_100_Universities[[#This Row],[University]],Table1[University],Table1[Av. Grant Aid],"NOT FOUND",0)</f>
        <v>9280</v>
      </c>
      <c r="H90" s="31">
        <f>_xlfn.XLOOKUP(Top_100_Universities[[#This Row],[University]],Table1[University],Table1[Av. Debt],"NOT FOUND",0)</f>
        <v>5724</v>
      </c>
      <c r="I90" s="31">
        <f>_xlfn.XLOOKUP(Top_100_Universities[[#This Row],[University]],Table1[University],Table1[Median 10-year Salary],"NOT FOUND",0)</f>
        <v>111400</v>
      </c>
      <c r="J90" s="41">
        <f>_xlfn.XLOOKUP(Top_100_Universities[[#This Row],[Town]],Cost_of_Living[City],Cost_of_Living[Cost of Living Index],"NA",0)</f>
        <v>92.9</v>
      </c>
      <c r="K90" s="63" cm="1">
        <f t="array" ref="K90">_xlfn.XLOOKUP(Top_100_Universities[[#This Row],[Town]], Cost_of_Living[[#All],[City]], Cost_of_Living[[#All],[Normalized Cost of Living]], "NA",0)</f>
        <v>0.78193430656934304</v>
      </c>
      <c r="L90" s="63" cm="1">
        <f t="array" ref="L90">_xlfn.XLOOKUP(Top_100_Universities[[#This Row],[State]], Crime_rate_Index[[#All],[State ]], Crime_rate_Index[[#All],[Normalized Crime Index]], "NA", 0)</f>
        <v>0.53843403646764387</v>
      </c>
      <c r="M90" s="63" cm="1">
        <f t="array" ref="M90">_xlfn.XLOOKUP(Top_100_Universities[[#This Row],[State]], Safest_States[[#All],[state]], Safest_States[[#All],[Normailzed Safety Score]], "NA", 0)</f>
        <v>0.49205921938088826</v>
      </c>
      <c r="N90" s="63">
        <f>0.4*Top_100_Universities[[#This Row],[Normalized Cost of Living Index]] + 0.3*Top_100_Universities[[#This Row],[Normalized Crime Rate Index]] + 0.3*Top_100_Universities[[#This Row],[Normalized Safety Score]]</f>
        <v>0.6219216993822968</v>
      </c>
    </row>
    <row r="91" spans="1:14">
      <c r="A91" s="2">
        <v>90</v>
      </c>
      <c r="B91" s="2" t="s">
        <v>139</v>
      </c>
      <c r="C91" s="2" t="s">
        <v>781</v>
      </c>
      <c r="D91" s="2" t="s">
        <v>751</v>
      </c>
      <c r="E91" s="10" t="s">
        <v>910</v>
      </c>
      <c r="F91" s="2" t="str">
        <f>_xlfn.XLOOKUP(Top_100_Universities[[#This Row],[University]],Table1[University],Table1[Type],"NOT FOUND",0)</f>
        <v>Private not-for-profit</v>
      </c>
      <c r="G91" s="31">
        <f>_xlfn.XLOOKUP(Top_100_Universities[[#This Row],[University]],Table1[University],Table1[Av. Grant Aid],"NOT FOUND",0)</f>
        <v>37322</v>
      </c>
      <c r="H91" s="31">
        <f>_xlfn.XLOOKUP(Top_100_Universities[[#This Row],[University]],Table1[University],Table1[Av. Debt],"NOT FOUND",0)</f>
        <v>8432</v>
      </c>
      <c r="I91" s="31">
        <f>_xlfn.XLOOKUP(Top_100_Universities[[#This Row],[University]],Table1[University],Table1[Median 10-year Salary],"NOT FOUND",0)</f>
        <v>120000</v>
      </c>
      <c r="J91" s="41">
        <f>_xlfn.XLOOKUP(Top_100_Universities[[#This Row],[Town]],Cost_of_Living[City],Cost_of_Living[Cost of Living Index],"NA",0)</f>
        <v>77.7</v>
      </c>
      <c r="K91" s="63" cm="1">
        <f t="array" ref="K91">_xlfn.XLOOKUP(Top_100_Universities[[#This Row],[Town]], Cost_of_Living[[#All],[City]], Cost_of_Living[[#All],[Normalized Cost of Living]], "NA",0)</f>
        <v>0.92062043795620441</v>
      </c>
      <c r="L91" s="63" cm="1">
        <f t="array" ref="L91">_xlfn.XLOOKUP(Top_100_Universities[[#This Row],[State]], Crime_rate_Index[[#All],[State ]], Crime_rate_Index[[#All],[Normalized Crime Index]], "NA", 0)</f>
        <v>0.59063282087951374</v>
      </c>
      <c r="M91" s="63" cm="1">
        <f t="array" ref="M91">_xlfn.XLOOKUP(Top_100_Universities[[#This Row],[State]], Safest_States[[#All],[state]], Safest_States[[#All],[Normailzed Safety Score]], "NA", 0)</f>
        <v>0.21211305518169588</v>
      </c>
      <c r="N91" s="63">
        <f>0.4*Top_100_Universities[[#This Row],[Normalized Cost of Living Index]] + 0.3*Top_100_Universities[[#This Row],[Normalized Crime Rate Index]] + 0.3*Top_100_Universities[[#This Row],[Normalized Safety Score]]</f>
        <v>0.60907193800084469</v>
      </c>
    </row>
    <row r="92" spans="1:14">
      <c r="A92" s="2">
        <v>91</v>
      </c>
      <c r="B92" s="2" t="s">
        <v>140</v>
      </c>
      <c r="C92" s="2" t="s">
        <v>782</v>
      </c>
      <c r="D92" s="2" t="s">
        <v>745</v>
      </c>
      <c r="E92" s="10" t="s">
        <v>851</v>
      </c>
      <c r="F92" s="2" t="str">
        <f>_xlfn.XLOOKUP(Top_100_Universities[[#This Row],[University]],Table1[University],Table1[Type],"NOT FOUND",0)</f>
        <v>Public</v>
      </c>
      <c r="G92" s="31">
        <f>_xlfn.XLOOKUP(Top_100_Universities[[#This Row],[University]],Table1[University],Table1[Av. Grant Aid],"NOT FOUND",0)</f>
        <v>9159</v>
      </c>
      <c r="H92" s="31">
        <f>_xlfn.XLOOKUP(Top_100_Universities[[#This Row],[University]],Table1[University],Table1[Av. Debt],"NOT FOUND",0)</f>
        <v>6289</v>
      </c>
      <c r="I92" s="31">
        <f>_xlfn.XLOOKUP(Top_100_Universities[[#This Row],[University]],Table1[University],Table1[Median 10-year Salary],"NOT FOUND",0)</f>
        <v>110000</v>
      </c>
      <c r="J92" s="41">
        <f>_xlfn.XLOOKUP(Top_100_Universities[[#This Row],[Town]],Cost_of_Living[City],Cost_of_Living[Cost of Living Index],"NA",0)</f>
        <v>72.599999999999994</v>
      </c>
      <c r="K92" s="63" cm="1">
        <f t="array" ref="K92">_xlfn.XLOOKUP(Top_100_Universities[[#This Row],[Town]], Cost_of_Living[[#All],[City]], Cost_of_Living[[#All],[Normalized Cost of Living]], "NA",0)</f>
        <v>0.96715328467153294</v>
      </c>
      <c r="L92" s="63" cm="1">
        <f t="array" ref="L92">_xlfn.XLOOKUP(Top_100_Universities[[#This Row],[State]], Crime_rate_Index[[#All],[State ]], Crime_rate_Index[[#All],[Normalized Crime Index]], "NA", 0)</f>
        <v>0.63818376832320345</v>
      </c>
      <c r="M92" s="63" cm="1">
        <f t="array" ref="M92">_xlfn.XLOOKUP(Top_100_Universities[[#This Row],[State]], Safest_States[[#All],[state]], Safest_States[[#All],[Normailzed Safety Score]], "NA", 0)</f>
        <v>0.13808882907133249</v>
      </c>
      <c r="N92" s="63">
        <f>0.4*Top_100_Universities[[#This Row],[Normalized Cost of Living Index]] + 0.3*Top_100_Universities[[#This Row],[Normalized Crime Rate Index]] + 0.3*Top_100_Universities[[#This Row],[Normalized Safety Score]]</f>
        <v>0.61974309308697406</v>
      </c>
    </row>
    <row r="93" spans="1:14">
      <c r="A93" s="2">
        <v>92</v>
      </c>
      <c r="B93" s="2" t="s">
        <v>141</v>
      </c>
      <c r="C93" s="2" t="s">
        <v>131</v>
      </c>
      <c r="D93" s="2" t="s">
        <v>783</v>
      </c>
      <c r="E93" s="10" t="s">
        <v>1164</v>
      </c>
      <c r="F93" s="2" t="str">
        <f>_xlfn.XLOOKUP(Top_100_Universities[[#This Row],[University]],Table1[University],Table1[Type],"NOT FOUND",0)</f>
        <v>Public</v>
      </c>
      <c r="G93" s="31">
        <f>_xlfn.XLOOKUP(Top_100_Universities[[#This Row],[University]],Table1[University],Table1[Av. Grant Aid],"NOT FOUND",0)</f>
        <v>6880</v>
      </c>
      <c r="H93" s="31">
        <f>_xlfn.XLOOKUP(Top_100_Universities[[#This Row],[University]],Table1[University],Table1[Av. Debt],"NOT FOUND",0)</f>
        <v>9631</v>
      </c>
      <c r="I93" s="31">
        <f>_xlfn.XLOOKUP(Top_100_Universities[[#This Row],[University]],Table1[University],Table1[Median 10-year Salary],"NOT FOUND",0)</f>
        <v>104900</v>
      </c>
      <c r="J93" s="41">
        <f>_xlfn.XLOOKUP(Top_100_Universities[[#This Row],[Town]],Cost_of_Living[City],Cost_of_Living[Cost of Living Index],"NA",0)</f>
        <v>89.8</v>
      </c>
      <c r="K93" s="63" cm="1">
        <f t="array" ref="K93">_xlfn.XLOOKUP(Top_100_Universities[[#This Row],[Town]], Cost_of_Living[[#All],[City]], Cost_of_Living[[#All],[Normalized Cost of Living]], "NA",0)</f>
        <v>0.81021897810218979</v>
      </c>
      <c r="L93" s="63" cm="1">
        <f t="array" ref="L93">_xlfn.XLOOKUP(Top_100_Universities[[#This Row],[State]], Crime_rate_Index[[#All],[State ]], Crime_rate_Index[[#All],[Normalized Crime Index]], "NA", 0)</f>
        <v>0.53414372542009292</v>
      </c>
      <c r="M93" s="63" cm="1">
        <f t="array" ref="M93">_xlfn.XLOOKUP(Top_100_Universities[[#This Row],[State]], Safest_States[[#All],[state]], Safest_States[[#All],[Normailzed Safety Score]], "NA", 0)</f>
        <v>0.25275908479138626</v>
      </c>
      <c r="N93" s="63">
        <f>0.4*Top_100_Universities[[#This Row],[Normalized Cost of Living Index]] + 0.3*Top_100_Universities[[#This Row],[Normalized Crime Rate Index]] + 0.3*Top_100_Universities[[#This Row],[Normalized Safety Score]]</f>
        <v>0.56015843430431966</v>
      </c>
    </row>
    <row r="94" spans="1:14">
      <c r="A94" s="2">
        <v>93</v>
      </c>
      <c r="B94" s="2" t="s">
        <v>142</v>
      </c>
      <c r="C94" s="2" t="s">
        <v>143</v>
      </c>
      <c r="D94" s="2" t="s">
        <v>738</v>
      </c>
      <c r="E94" s="10" t="s">
        <v>827</v>
      </c>
      <c r="F94" s="2" t="str">
        <f>_xlfn.XLOOKUP(Top_100_Universities[[#This Row],[University]],Table1[University],Table1[Type],"NOT FOUND",0)</f>
        <v>Private not-for-profit</v>
      </c>
      <c r="G94" s="31">
        <f>_xlfn.XLOOKUP(Top_100_Universities[[#This Row],[University]],Table1[University],Table1[Av. Grant Aid],"NOT FOUND",0)</f>
        <v>49992</v>
      </c>
      <c r="H94" s="31">
        <f>_xlfn.XLOOKUP(Top_100_Universities[[#This Row],[University]],Table1[University],Table1[Av. Debt],"NOT FOUND",0)</f>
        <v>3588</v>
      </c>
      <c r="I94" s="31">
        <f>_xlfn.XLOOKUP(Top_100_Universities[[#This Row],[University]],Table1[University],Table1[Median 10-year Salary],"NOT FOUND",0)</f>
        <v>142200</v>
      </c>
      <c r="J94" s="41">
        <f>_xlfn.XLOOKUP(Top_100_Universities[[#This Row],[Town]],Cost_of_Living[City],Cost_of_Living[Cost of Living Index],"NA",0)</f>
        <v>89.2</v>
      </c>
      <c r="K94" s="63" cm="1">
        <f t="array" ref="K94">_xlfn.XLOOKUP(Top_100_Universities[[#This Row],[Town]], Cost_of_Living[[#All],[City]], Cost_of_Living[[#All],[Normalized Cost of Living]], "NA",0)</f>
        <v>0.81569343065693434</v>
      </c>
      <c r="L94" s="63" cm="1">
        <f t="array" ref="L94">_xlfn.XLOOKUP(Top_100_Universities[[#This Row],[State]], Crime_rate_Index[[#All],[State ]], Crime_rate_Index[[#All],[Normalized Crime Index]], "NA", 0)</f>
        <v>0.85055416517697535</v>
      </c>
      <c r="M94" s="63" cm="1">
        <f t="array" ref="M94">_xlfn.XLOOKUP(Top_100_Universities[[#This Row],[State]], Safest_States[[#All],[state]], Safest_States[[#All],[Normailzed Safety Score]], "NA", 0)</f>
        <v>0.76393001345895017</v>
      </c>
      <c r="N94" s="63">
        <f>0.4*Top_100_Universities[[#This Row],[Normalized Cost of Living Index]] + 0.3*Top_100_Universities[[#This Row],[Normalized Crime Rate Index]] + 0.3*Top_100_Universities[[#This Row],[Normalized Safety Score]]</f>
        <v>0.81062262585355138</v>
      </c>
    </row>
    <row r="95" spans="1:14">
      <c r="A95" s="2">
        <v>94</v>
      </c>
      <c r="B95" s="2" t="s">
        <v>144</v>
      </c>
      <c r="C95" s="2" t="s">
        <v>145</v>
      </c>
      <c r="D95" s="2" t="s">
        <v>784</v>
      </c>
      <c r="E95" s="10" t="s">
        <v>1303</v>
      </c>
      <c r="F95" s="2" t="str">
        <f>_xlfn.XLOOKUP(Top_100_Universities[[#This Row],[University]],Table1[University],Table1[Type],"NOT FOUND",0)</f>
        <v>Public</v>
      </c>
      <c r="G95" s="31">
        <f>_xlfn.XLOOKUP(Top_100_Universities[[#This Row],[University]],Table1[University],Table1[Av. Grant Aid],"NOT FOUND",0)</f>
        <v>12374</v>
      </c>
      <c r="H95" s="31">
        <f>_xlfn.XLOOKUP(Top_100_Universities[[#This Row],[University]],Table1[University],Table1[Av. Debt],"NOT FOUND",0)</f>
        <v>8404</v>
      </c>
      <c r="I95" s="31">
        <f>_xlfn.XLOOKUP(Top_100_Universities[[#This Row],[University]],Table1[University],Table1[Median 10-year Salary],"NOT FOUND",0)</f>
        <v>119500</v>
      </c>
      <c r="J95" s="41">
        <f>_xlfn.XLOOKUP(Top_100_Universities[[#This Row],[Town]],Cost_of_Living[City],Cost_of_Living[Cost of Living Index],"NA",0)</f>
        <v>91.1</v>
      </c>
      <c r="K95" s="63" cm="1">
        <f t="array" ref="K95">_xlfn.XLOOKUP(Top_100_Universities[[#This Row],[Town]], Cost_of_Living[[#All],[City]], Cost_of_Living[[#All],[Normalized Cost of Living]], "NA",0)</f>
        <v>0.79835766423357668</v>
      </c>
      <c r="L95" s="63" cm="1">
        <f t="array" ref="L95">_xlfn.XLOOKUP(Top_100_Universities[[#This Row],[State]], Crime_rate_Index[[#All],[State ]], Crime_rate_Index[[#All],[Normalized Crime Index]], "NA", 0)</f>
        <v>0.56489095459420802</v>
      </c>
      <c r="M95" s="63" cm="1">
        <f t="array" ref="M95">_xlfn.XLOOKUP(Top_100_Universities[[#This Row],[State]], Safest_States[[#All],[state]], Safest_States[[#All],[Normailzed Safety Score]], "NA", 0)</f>
        <v>0</v>
      </c>
      <c r="N95" s="63">
        <f>0.4*Top_100_Universities[[#This Row],[Normalized Cost of Living Index]] + 0.3*Top_100_Universities[[#This Row],[Normalized Crime Rate Index]] + 0.3*Top_100_Universities[[#This Row],[Normalized Safety Score]]</f>
        <v>0.4888103520716931</v>
      </c>
    </row>
    <row r="96" spans="1:14">
      <c r="A96" s="2">
        <v>95</v>
      </c>
      <c r="B96" s="2" t="s">
        <v>146</v>
      </c>
      <c r="C96" s="2" t="s">
        <v>147</v>
      </c>
      <c r="D96" s="2" t="s">
        <v>751</v>
      </c>
      <c r="E96" s="10" t="s">
        <v>910</v>
      </c>
      <c r="F96" s="2" t="str">
        <f>_xlfn.XLOOKUP(Top_100_Universities[[#This Row],[University]],Table1[University],Table1[Type],"NOT FOUND",0)</f>
        <v>Public</v>
      </c>
      <c r="G96" s="31">
        <f>_xlfn.XLOOKUP(Top_100_Universities[[#This Row],[University]],Table1[University],Table1[Av. Grant Aid],"NOT FOUND",0)</f>
        <v>11087</v>
      </c>
      <c r="H96" s="31">
        <f>_xlfn.XLOOKUP(Top_100_Universities[[#This Row],[University]],Table1[University],Table1[Av. Debt],"NOT FOUND",0)</f>
        <v>5614</v>
      </c>
      <c r="I96" s="31">
        <f>_xlfn.XLOOKUP(Top_100_Universities[[#This Row],[University]],Table1[University],Table1[Median 10-year Salary],"NOT FOUND",0)</f>
        <v>106900</v>
      </c>
      <c r="J96" s="41">
        <f>_xlfn.XLOOKUP(Top_100_Universities[[#This Row],[Town]],Cost_of_Living[City],Cost_of_Living[Cost of Living Index],"NA",0)</f>
        <v>110.1</v>
      </c>
      <c r="K96" s="63" cm="1">
        <f t="array" ref="K96">_xlfn.XLOOKUP(Top_100_Universities[[#This Row],[Town]], Cost_of_Living[[#All],[City]], Cost_of_Living[[#All],[Normalized Cost of Living]], "NA",0)</f>
        <v>0.625</v>
      </c>
      <c r="L96" s="63" cm="1">
        <f t="array" ref="L96">_xlfn.XLOOKUP(Top_100_Universities[[#This Row],[State]], Crime_rate_Index[[#All],[State ]], Crime_rate_Index[[#All],[Normalized Crime Index]], "NA", 0)</f>
        <v>0.59063282087951374</v>
      </c>
      <c r="M96" s="63" cm="1">
        <f t="array" ref="M96">_xlfn.XLOOKUP(Top_100_Universities[[#This Row],[State]], Safest_States[[#All],[state]], Safest_States[[#All],[Normailzed Safety Score]], "NA", 0)</f>
        <v>0.21211305518169588</v>
      </c>
      <c r="N96" s="63">
        <f>0.4*Top_100_Universities[[#This Row],[Normalized Cost of Living Index]] + 0.3*Top_100_Universities[[#This Row],[Normalized Crime Rate Index]] + 0.3*Top_100_Universities[[#This Row],[Normalized Safety Score]]</f>
        <v>0.49082376281836293</v>
      </c>
    </row>
    <row r="97" spans="1:14">
      <c r="A97" s="2">
        <v>96</v>
      </c>
      <c r="B97" s="2" t="s">
        <v>148</v>
      </c>
      <c r="C97" s="2" t="s">
        <v>284</v>
      </c>
      <c r="D97" s="2" t="s">
        <v>666</v>
      </c>
      <c r="E97" s="10" t="s">
        <v>822</v>
      </c>
      <c r="F97" s="2" t="str">
        <f>_xlfn.XLOOKUP(Top_100_Universities[[#This Row],[University]],Table1[University],Table1[Type],"NOT FOUND",0)</f>
        <v>Public</v>
      </c>
      <c r="G97" s="31">
        <f>_xlfn.XLOOKUP(Top_100_Universities[[#This Row],[University]],Table1[University],Table1[Av. Grant Aid],"NOT FOUND",0)</f>
        <v>9934</v>
      </c>
      <c r="H97" s="31">
        <f>_xlfn.XLOOKUP(Top_100_Universities[[#This Row],[University]],Table1[University],Table1[Av. Debt],"NOT FOUND",0)</f>
        <v>8240</v>
      </c>
      <c r="I97" s="31">
        <f>_xlfn.XLOOKUP(Top_100_Universities[[#This Row],[University]],Table1[University],Table1[Median 10-year Salary],"NOT FOUND",0)</f>
        <v>124100</v>
      </c>
      <c r="J97" s="41">
        <f>_xlfn.XLOOKUP(Top_100_Universities[[#This Row],[Town]],Cost_of_Living[City],Cost_of_Living[Cost of Living Index],"NA",0)</f>
        <v>136.19999999999999</v>
      </c>
      <c r="K97" s="63" cm="1">
        <f t="array" ref="K97">_xlfn.XLOOKUP(Top_100_Universities[[#This Row],[Town]], Cost_of_Living[[#All],[City]], Cost_of_Living[[#All],[Normalized Cost of Living]], "NA",0)</f>
        <v>0.38686131386861322</v>
      </c>
      <c r="L97" s="63" cm="1">
        <f t="array" ref="L97">_xlfn.XLOOKUP(Top_100_Universities[[#This Row],[State]], Crime_rate_Index[[#All],[State ]], Crime_rate_Index[[#All],[Normalized Crime Index]], "NA", 0)</f>
        <v>0.73149803360743659</v>
      </c>
      <c r="M97" s="63" cm="1">
        <f t="array" ref="M97">_xlfn.XLOOKUP(Top_100_Universities[[#This Row],[State]], Safest_States[[#All],[state]], Safest_States[[#All],[Normailzed Safety Score]], "NA", 0)</f>
        <v>0.46567967698519502</v>
      </c>
      <c r="N97" s="63">
        <f>0.4*Top_100_Universities[[#This Row],[Normalized Cost of Living Index]] + 0.3*Top_100_Universities[[#This Row],[Normalized Crime Rate Index]] + 0.3*Top_100_Universities[[#This Row],[Normalized Safety Score]]</f>
        <v>0.51389783872523476</v>
      </c>
    </row>
    <row r="98" spans="1:14">
      <c r="A98" s="2">
        <v>97</v>
      </c>
      <c r="B98" s="2" t="s">
        <v>149</v>
      </c>
      <c r="C98" s="2" t="s">
        <v>19</v>
      </c>
      <c r="D98" s="2" t="s">
        <v>743</v>
      </c>
      <c r="E98" s="10" t="s">
        <v>844</v>
      </c>
      <c r="F98" s="2" t="str">
        <f>_xlfn.XLOOKUP(Top_100_Universities[[#This Row],[University]],Table1[University],Table1[Type],"NOT FOUND",0)</f>
        <v>Public</v>
      </c>
      <c r="G98" s="31">
        <f>_xlfn.XLOOKUP(Top_100_Universities[[#This Row],[University]],Table1[University],Table1[Av. Grant Aid],"NOT FOUND",0)</f>
        <v>11575</v>
      </c>
      <c r="H98" s="31">
        <f>_xlfn.XLOOKUP(Top_100_Universities[[#This Row],[University]],Table1[University],Table1[Av. Debt],"NOT FOUND",0)</f>
        <v>10571</v>
      </c>
      <c r="I98" s="31">
        <f>_xlfn.XLOOKUP(Top_100_Universities[[#This Row],[University]],Table1[University],Table1[Median 10-year Salary],"NOT FOUND",0)</f>
        <v>113900</v>
      </c>
      <c r="J98" s="41">
        <f>_xlfn.XLOOKUP(Top_100_Universities[[#This Row],[Town]],Cost_of_Living[City],Cost_of_Living[Cost of Living Index],"NA",0)</f>
        <v>103.4</v>
      </c>
      <c r="K98" s="63" cm="1">
        <f t="array" ref="K98">_xlfn.XLOOKUP(Top_100_Universities[[#This Row],[Town]], Cost_of_Living[[#All],[City]], Cost_of_Living[[#All],[Normalized Cost of Living]], "NA",0)</f>
        <v>0.68613138686131381</v>
      </c>
      <c r="L98" s="63" cm="1">
        <f t="array" ref="L98">_xlfn.XLOOKUP(Top_100_Universities[[#This Row],[State]], Crime_rate_Index[[#All],[State ]], Crime_rate_Index[[#All],[Normalized Crime Index]], "NA", 0)</f>
        <v>0.86235252055774048</v>
      </c>
      <c r="M98" s="63" cm="1">
        <f t="array" ref="M98">_xlfn.XLOOKUP(Top_100_Universities[[#This Row],[State]], Safest_States[[#All],[state]], Safest_States[[#All],[Normailzed Safety Score]], "NA", 0)</f>
        <v>0.45410497981157455</v>
      </c>
      <c r="N98" s="63">
        <f>0.4*Top_100_Universities[[#This Row],[Normalized Cost of Living Index]] + 0.3*Top_100_Universities[[#This Row],[Normalized Crime Rate Index]] + 0.3*Top_100_Universities[[#This Row],[Normalized Safety Score]]</f>
        <v>0.66938980485531996</v>
      </c>
    </row>
    <row r="99" spans="1:14">
      <c r="A99" s="2">
        <v>98</v>
      </c>
      <c r="B99" s="2" t="s">
        <v>150</v>
      </c>
      <c r="C99" s="2" t="s">
        <v>19</v>
      </c>
      <c r="D99" s="2" t="s">
        <v>743</v>
      </c>
      <c r="E99" s="10" t="s">
        <v>844</v>
      </c>
      <c r="F99" s="2" t="str">
        <f>_xlfn.XLOOKUP(Top_100_Universities[[#This Row],[University]],Table1[University],Table1[Type],"NOT FOUND",0)</f>
        <v>Private not-for-profit</v>
      </c>
      <c r="G99" s="31">
        <f>_xlfn.XLOOKUP(Top_100_Universities[[#This Row],[University]],Table1[University],Table1[Av. Grant Aid],"NOT FOUND",0)</f>
        <v>33861</v>
      </c>
      <c r="H99" s="31">
        <f>_xlfn.XLOOKUP(Top_100_Universities[[#This Row],[University]],Table1[University],Table1[Av. Debt],"NOT FOUND",0)</f>
        <v>10865</v>
      </c>
      <c r="I99" s="31">
        <f>_xlfn.XLOOKUP(Top_100_Universities[[#This Row],[University]],Table1[University],Table1[Median 10-year Salary],"NOT FOUND",0)</f>
        <v>132600</v>
      </c>
      <c r="J99" s="41">
        <f>_xlfn.XLOOKUP(Top_100_Universities[[#This Row],[Town]],Cost_of_Living[City],Cost_of_Living[Cost of Living Index],"NA",0)</f>
        <v>103.4</v>
      </c>
      <c r="K99" s="63" cm="1">
        <f t="array" ref="K99">_xlfn.XLOOKUP(Top_100_Universities[[#This Row],[Town]], Cost_of_Living[[#All],[City]], Cost_of_Living[[#All],[Normalized Cost of Living]], "NA",0)</f>
        <v>0.68613138686131381</v>
      </c>
      <c r="L99" s="63" cm="1">
        <f t="array" ref="L99">_xlfn.XLOOKUP(Top_100_Universities[[#This Row],[State]], Crime_rate_Index[[#All],[State ]], Crime_rate_Index[[#All],[Normalized Crime Index]], "NA", 0)</f>
        <v>0.86235252055774048</v>
      </c>
      <c r="M99" s="63" cm="1">
        <f t="array" ref="M99">_xlfn.XLOOKUP(Top_100_Universities[[#This Row],[State]], Safest_States[[#All],[state]], Safest_States[[#All],[Normailzed Safety Score]], "NA", 0)</f>
        <v>0.45410497981157455</v>
      </c>
      <c r="N99" s="63">
        <f>0.4*Top_100_Universities[[#This Row],[Normalized Cost of Living Index]] + 0.3*Top_100_Universities[[#This Row],[Normalized Crime Rate Index]] + 0.3*Top_100_Universities[[#This Row],[Normalized Safety Score]]</f>
        <v>0.66938980485531996</v>
      </c>
    </row>
    <row r="100" spans="1:14">
      <c r="A100" s="2">
        <v>99</v>
      </c>
      <c r="B100" s="2" t="s">
        <v>151</v>
      </c>
      <c r="C100" s="2" t="s">
        <v>152</v>
      </c>
      <c r="D100" s="2" t="s">
        <v>756</v>
      </c>
      <c r="E100" s="10" t="s">
        <v>1124</v>
      </c>
      <c r="F100" s="2" t="str">
        <f>_xlfn.XLOOKUP(Top_100_Universities[[#This Row],[University]],Table1[University],Table1[Type],"NOT FOUND",0)</f>
        <v>Public</v>
      </c>
      <c r="G100" s="31">
        <f>_xlfn.XLOOKUP(Top_100_Universities[[#This Row],[University]],Table1[University],Table1[Av. Grant Aid],"NOT FOUND",0)</f>
        <v>8733</v>
      </c>
      <c r="H100" s="31">
        <f>_xlfn.XLOOKUP(Top_100_Universities[[#This Row],[University]],Table1[University],Table1[Av. Debt],"NOT FOUND",0)</f>
        <v>8696</v>
      </c>
      <c r="I100" s="31">
        <f>_xlfn.XLOOKUP(Top_100_Universities[[#This Row],[University]],Table1[University],Table1[Median 10-year Salary],"NOT FOUND",0)</f>
        <v>113600</v>
      </c>
      <c r="J100" s="41">
        <f>_xlfn.XLOOKUP(Top_100_Universities[[#This Row],[Town]],Cost_of_Living[City],Cost_of_Living[Cost of Living Index],"NA",0)</f>
        <v>92.4</v>
      </c>
      <c r="K100" s="63" cm="1">
        <f t="array" ref="K100">_xlfn.XLOOKUP(Top_100_Universities[[#This Row],[Town]], Cost_of_Living[[#All],[City]], Cost_of_Living[[#All],[Normalized Cost of Living]], "NA",0)</f>
        <v>0.78649635036496346</v>
      </c>
      <c r="L100" s="63" cm="1">
        <f t="array" ref="L100">_xlfn.XLOOKUP(Top_100_Universities[[#This Row],[State]], Crime_rate_Index[[#All],[State ]], Crime_rate_Index[[#All],[Normalized Crime Index]], "NA", 0)</f>
        <v>0.73507329281372902</v>
      </c>
      <c r="M100" s="63" cm="1">
        <f t="array" ref="M100">_xlfn.XLOOKUP(Top_100_Universities[[#This Row],[State]], Safest_States[[#All],[state]], Safest_States[[#All],[Normailzed Safety Score]], "NA", 0)</f>
        <v>0.36339165545087476</v>
      </c>
      <c r="N100" s="63">
        <f>0.4*Top_100_Universities[[#This Row],[Normalized Cost of Living Index]] + 0.3*Top_100_Universities[[#This Row],[Normalized Crime Rate Index]] + 0.3*Top_100_Universities[[#This Row],[Normalized Safety Score]]</f>
        <v>0.64413802462536651</v>
      </c>
    </row>
    <row r="101" spans="1:14">
      <c r="A101" s="2">
        <v>100</v>
      </c>
      <c r="B101" s="2" t="s">
        <v>153</v>
      </c>
      <c r="C101" s="2" t="s">
        <v>154</v>
      </c>
      <c r="D101" s="2" t="s">
        <v>783</v>
      </c>
      <c r="E101" s="10" t="s">
        <v>1164</v>
      </c>
      <c r="F101" s="2" t="str">
        <f>_xlfn.XLOOKUP(Top_100_Universities[[#This Row],[University]],Table1[University],Table1[Type],"NOT FOUND",0)</f>
        <v>Public</v>
      </c>
      <c r="G101" s="31">
        <f>_xlfn.XLOOKUP(Top_100_Universities[[#This Row],[University]],Table1[University],Table1[Av. Grant Aid],"NOT FOUND",0)</f>
        <v>10430</v>
      </c>
      <c r="H101" s="31">
        <f>_xlfn.XLOOKUP(Top_100_Universities[[#This Row],[University]],Table1[University],Table1[Av. Debt],"NOT FOUND",0)</f>
        <v>11748</v>
      </c>
      <c r="I101" s="31">
        <f>_xlfn.XLOOKUP(Top_100_Universities[[#This Row],[University]],Table1[University],Table1[Median 10-year Salary],"NOT FOUND",0)</f>
        <v>125200</v>
      </c>
      <c r="J101" s="41">
        <f>_xlfn.XLOOKUP(Top_100_Universities[[#This Row],[Town]],Cost_of_Living[City],Cost_of_Living[Cost of Living Index],"NA",0)</f>
        <v>77</v>
      </c>
      <c r="K101" s="63" cm="1">
        <f t="array" ref="K101">_xlfn.XLOOKUP(Top_100_Universities[[#This Row],[Town]], Cost_of_Living[[#All],[City]], Cost_of_Living[[#All],[Normalized Cost of Living]], "NA",0)</f>
        <v>0.92700729927007297</v>
      </c>
      <c r="L101" s="63" cm="1">
        <f t="array" ref="L101">_xlfn.XLOOKUP(Top_100_Universities[[#This Row],[State]], Crime_rate_Index[[#All],[State ]], Crime_rate_Index[[#All],[Normalized Crime Index]], "NA", 0)</f>
        <v>0.53414372542009292</v>
      </c>
      <c r="M101" s="63" cm="1">
        <f t="array" ref="M101">_xlfn.XLOOKUP(Top_100_Universities[[#This Row],[State]], Safest_States[[#All],[state]], Safest_States[[#All],[Normailzed Safety Score]], "NA", 0)</f>
        <v>0.25275908479138626</v>
      </c>
      <c r="N101" s="63">
        <f>0.4*Top_100_Universities[[#This Row],[Normalized Cost of Living Index]] + 0.3*Top_100_Universities[[#This Row],[Normalized Crime Rate Index]] + 0.3*Top_100_Universities[[#This Row],[Normalized Safety Score]]</f>
        <v>0.60687376277147298</v>
      </c>
    </row>
  </sheetData>
  <conditionalFormatting sqref="B2:B101">
    <cfRule type="duplicateValues" dxfId="92" priority="3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C6E0-48C5-2747-A301-D093DA59B59A}">
  <sheetPr codeName="Sheet6"/>
  <dimension ref="A1:J502"/>
  <sheetViews>
    <sheetView zoomScale="90" zoomScaleNormal="90" workbookViewId="0">
      <selection activeCell="B2" sqref="B2"/>
    </sheetView>
  </sheetViews>
  <sheetFormatPr defaultColWidth="10.81640625" defaultRowHeight="14.5"/>
  <cols>
    <col min="1" max="1" width="16.26953125" style="9" customWidth="1"/>
    <col min="2" max="2" width="84.1796875" style="13" customWidth="1"/>
    <col min="3" max="3" width="12" style="13" customWidth="1"/>
    <col min="4" max="4" width="23.7265625" style="13" customWidth="1"/>
    <col min="5" max="6" width="17.453125" style="29" bestFit="1" customWidth="1"/>
    <col min="7" max="7" width="25.26953125" style="29" bestFit="1" customWidth="1"/>
    <col min="8" max="8" width="25.26953125" style="16" bestFit="1" customWidth="1"/>
    <col min="9" max="9" width="18.26953125" customWidth="1"/>
  </cols>
  <sheetData>
    <row r="1" spans="1:10" ht="15.5">
      <c r="A1" s="8" t="s">
        <v>2330</v>
      </c>
      <c r="B1" s="10" t="s">
        <v>1</v>
      </c>
      <c r="C1" s="11" t="s">
        <v>2331</v>
      </c>
      <c r="D1" s="11" t="s">
        <v>811</v>
      </c>
      <c r="E1" s="27" t="s">
        <v>812</v>
      </c>
      <c r="F1" s="27" t="s">
        <v>813</v>
      </c>
      <c r="G1" s="27" t="s">
        <v>814</v>
      </c>
      <c r="H1" s="3" t="s">
        <v>815</v>
      </c>
    </row>
    <row r="2" spans="1:10" ht="15.5">
      <c r="A2" s="8">
        <v>1</v>
      </c>
      <c r="B2" s="11" t="s">
        <v>26</v>
      </c>
      <c r="C2" s="12" t="s">
        <v>816</v>
      </c>
      <c r="D2" s="12" t="s">
        <v>817</v>
      </c>
      <c r="E2" s="28">
        <v>59792</v>
      </c>
      <c r="F2" s="28">
        <v>7559</v>
      </c>
      <c r="G2" s="28">
        <v>189400</v>
      </c>
      <c r="H2" s="4" t="s">
        <v>821</v>
      </c>
    </row>
    <row r="3" spans="1:10" ht="15.5">
      <c r="A3" s="8">
        <v>2</v>
      </c>
      <c r="B3" s="12" t="s">
        <v>7</v>
      </c>
      <c r="C3" s="12" t="s">
        <v>822</v>
      </c>
      <c r="D3" s="12" t="s">
        <v>817</v>
      </c>
      <c r="E3" s="28">
        <v>60619</v>
      </c>
      <c r="F3" s="28">
        <v>12999</v>
      </c>
      <c r="G3" s="28">
        <v>177500</v>
      </c>
      <c r="H3" s="4" t="s">
        <v>826</v>
      </c>
    </row>
    <row r="4" spans="1:10" ht="15.5">
      <c r="A4" s="8">
        <v>3</v>
      </c>
      <c r="B4" s="12" t="s">
        <v>4</v>
      </c>
      <c r="C4" s="12" t="s">
        <v>827</v>
      </c>
      <c r="D4" s="12" t="s">
        <v>817</v>
      </c>
      <c r="E4" s="28">
        <v>45591</v>
      </c>
      <c r="F4" s="28">
        <v>13792</v>
      </c>
      <c r="G4" s="28">
        <v>189400</v>
      </c>
      <c r="H4" s="4" t="s">
        <v>830</v>
      </c>
      <c r="J4" s="6"/>
    </row>
    <row r="5" spans="1:10" ht="15.5">
      <c r="A5" s="8">
        <v>4</v>
      </c>
      <c r="B5" s="12" t="s">
        <v>16</v>
      </c>
      <c r="C5" s="12" t="s">
        <v>831</v>
      </c>
      <c r="D5" s="12" t="s">
        <v>817</v>
      </c>
      <c r="E5" s="28">
        <v>63523</v>
      </c>
      <c r="F5" s="28">
        <v>4926</v>
      </c>
      <c r="G5" s="28">
        <v>168300</v>
      </c>
      <c r="H5" s="4" t="s">
        <v>826</v>
      </c>
    </row>
    <row r="6" spans="1:10" ht="15.5">
      <c r="A6" s="8">
        <v>5</v>
      </c>
      <c r="B6" s="12" t="s">
        <v>10</v>
      </c>
      <c r="C6" s="12" t="s">
        <v>822</v>
      </c>
      <c r="D6" s="12" t="s">
        <v>835</v>
      </c>
      <c r="E6" s="28">
        <v>21669</v>
      </c>
      <c r="F6" s="28">
        <v>7238</v>
      </c>
      <c r="G6" s="28">
        <v>167000</v>
      </c>
      <c r="H6" s="4"/>
    </row>
    <row r="7" spans="1:10" ht="15.5">
      <c r="A7" s="8">
        <v>6</v>
      </c>
      <c r="B7" s="12" t="s">
        <v>13</v>
      </c>
      <c r="C7" s="12" t="s">
        <v>840</v>
      </c>
      <c r="D7" s="12" t="s">
        <v>817</v>
      </c>
      <c r="E7" s="28">
        <v>61061</v>
      </c>
      <c r="F7" s="28">
        <v>16849</v>
      </c>
      <c r="G7" s="28">
        <v>156000</v>
      </c>
      <c r="H7" s="4" t="s">
        <v>826</v>
      </c>
    </row>
    <row r="8" spans="1:10" ht="15.5">
      <c r="A8" s="8">
        <v>7</v>
      </c>
      <c r="B8" s="12" t="s">
        <v>18</v>
      </c>
      <c r="C8" s="12" t="s">
        <v>844</v>
      </c>
      <c r="D8" s="17" t="s">
        <v>817</v>
      </c>
      <c r="E8" s="28">
        <v>57175</v>
      </c>
      <c r="F8" s="28">
        <v>12499</v>
      </c>
      <c r="G8" s="28">
        <v>171800</v>
      </c>
      <c r="H8" s="4" t="s">
        <v>826</v>
      </c>
    </row>
    <row r="9" spans="1:10" ht="15.5">
      <c r="A9" s="8">
        <v>8</v>
      </c>
      <c r="B9" s="12" t="s">
        <v>6</v>
      </c>
      <c r="C9" s="12" t="s">
        <v>827</v>
      </c>
      <c r="D9" s="12" t="s">
        <v>817</v>
      </c>
      <c r="E9" s="28">
        <v>61801</v>
      </c>
      <c r="F9" s="28">
        <v>9004</v>
      </c>
      <c r="G9" s="28">
        <v>171400</v>
      </c>
      <c r="H9" s="4" t="s">
        <v>830</v>
      </c>
    </row>
    <row r="10" spans="1:10" ht="15.5">
      <c r="A10" s="8">
        <v>9</v>
      </c>
      <c r="B10" s="12" t="s">
        <v>128</v>
      </c>
      <c r="C10" s="12" t="s">
        <v>851</v>
      </c>
      <c r="D10" s="12" t="s">
        <v>817</v>
      </c>
      <c r="E10" s="28">
        <v>51955</v>
      </c>
      <c r="F10" s="28">
        <v>10818</v>
      </c>
      <c r="G10" s="28">
        <v>152100</v>
      </c>
      <c r="H10" s="4" t="s">
        <v>830</v>
      </c>
    </row>
    <row r="11" spans="1:10" ht="15.5">
      <c r="A11" s="8">
        <v>10</v>
      </c>
      <c r="B11" s="12" t="s">
        <v>8</v>
      </c>
      <c r="C11" s="12" t="s">
        <v>840</v>
      </c>
      <c r="D11" s="12" t="s">
        <v>817</v>
      </c>
      <c r="E11" s="28">
        <v>54219</v>
      </c>
      <c r="F11" s="28">
        <v>8309</v>
      </c>
      <c r="G11" s="28">
        <v>155400</v>
      </c>
      <c r="H11" s="4" t="s">
        <v>826</v>
      </c>
    </row>
    <row r="12" spans="1:10" ht="15.5">
      <c r="A12" s="8">
        <v>11</v>
      </c>
      <c r="B12" s="12" t="s">
        <v>60</v>
      </c>
      <c r="C12" s="12" t="s">
        <v>858</v>
      </c>
      <c r="D12" s="12" t="s">
        <v>817</v>
      </c>
      <c r="E12" s="28">
        <v>61716</v>
      </c>
      <c r="F12" s="28">
        <v>6973</v>
      </c>
      <c r="G12" s="28">
        <v>141300</v>
      </c>
      <c r="H12" s="4" t="s">
        <v>830</v>
      </c>
    </row>
    <row r="13" spans="1:10" ht="15.5">
      <c r="A13" s="8">
        <v>12</v>
      </c>
      <c r="B13" s="12" t="s">
        <v>33</v>
      </c>
      <c r="C13" s="12" t="s">
        <v>862</v>
      </c>
      <c r="D13" s="12" t="s">
        <v>817</v>
      </c>
      <c r="E13" s="28">
        <v>54405</v>
      </c>
      <c r="F13" s="28">
        <v>9843</v>
      </c>
      <c r="G13" s="28">
        <v>142300</v>
      </c>
      <c r="H13" s="4" t="s">
        <v>830</v>
      </c>
    </row>
    <row r="14" spans="1:10" ht="15.5">
      <c r="A14" s="8">
        <v>13</v>
      </c>
      <c r="B14" s="12" t="s">
        <v>15</v>
      </c>
      <c r="C14" s="12" t="s">
        <v>822</v>
      </c>
      <c r="D14" s="12" t="s">
        <v>835</v>
      </c>
      <c r="E14" s="28">
        <v>21766</v>
      </c>
      <c r="F14" s="28">
        <v>6418</v>
      </c>
      <c r="G14" s="28">
        <v>144400</v>
      </c>
      <c r="H14" s="4"/>
    </row>
    <row r="15" spans="1:10" ht="15.5">
      <c r="A15" s="8">
        <v>14</v>
      </c>
      <c r="B15" s="12" t="s">
        <v>24</v>
      </c>
      <c r="C15" s="12" t="s">
        <v>858</v>
      </c>
      <c r="D15" s="12" t="s">
        <v>817</v>
      </c>
      <c r="E15" s="28">
        <v>48422</v>
      </c>
      <c r="F15" s="28">
        <v>12150</v>
      </c>
      <c r="G15" s="28">
        <v>150600</v>
      </c>
      <c r="H15" s="4" t="s">
        <v>830</v>
      </c>
    </row>
    <row r="16" spans="1:10" ht="15.5">
      <c r="A16" s="8">
        <v>15</v>
      </c>
      <c r="B16" s="12" t="s">
        <v>109</v>
      </c>
      <c r="C16" s="12" t="s">
        <v>872</v>
      </c>
      <c r="D16" s="12" t="s">
        <v>817</v>
      </c>
      <c r="E16" s="28">
        <v>53932</v>
      </c>
      <c r="F16" s="28">
        <v>8872</v>
      </c>
      <c r="G16" s="28">
        <v>148000</v>
      </c>
      <c r="H16" s="4" t="s">
        <v>821</v>
      </c>
    </row>
    <row r="17" spans="1:8" ht="15.5">
      <c r="A17" s="8">
        <v>16</v>
      </c>
      <c r="B17" s="12" t="s">
        <v>118</v>
      </c>
      <c r="C17" s="12" t="s">
        <v>876</v>
      </c>
      <c r="D17" s="12" t="s">
        <v>817</v>
      </c>
      <c r="E17" s="28">
        <v>62293</v>
      </c>
      <c r="F17" s="28">
        <v>6404</v>
      </c>
      <c r="G17" s="28">
        <v>173300</v>
      </c>
      <c r="H17" s="4" t="s">
        <v>830</v>
      </c>
    </row>
    <row r="18" spans="1:8" ht="15.5">
      <c r="A18" s="8">
        <v>17</v>
      </c>
      <c r="B18" s="12" t="s">
        <v>257</v>
      </c>
      <c r="C18" s="12" t="s">
        <v>827</v>
      </c>
      <c r="D18" s="12" t="s">
        <v>817</v>
      </c>
      <c r="E18" s="28">
        <v>57121</v>
      </c>
      <c r="F18" s="28">
        <v>4143</v>
      </c>
      <c r="G18" s="28">
        <v>169200</v>
      </c>
      <c r="H18" s="4" t="s">
        <v>826</v>
      </c>
    </row>
    <row r="19" spans="1:8" ht="15.5">
      <c r="A19" s="8">
        <v>18</v>
      </c>
      <c r="B19" s="12" t="s">
        <v>90</v>
      </c>
      <c r="C19" s="12" t="s">
        <v>883</v>
      </c>
      <c r="D19" s="12" t="s">
        <v>817</v>
      </c>
      <c r="E19" s="28">
        <v>55847</v>
      </c>
      <c r="F19" s="28">
        <v>10059</v>
      </c>
      <c r="G19" s="28">
        <v>155000</v>
      </c>
      <c r="H19" s="4" t="s">
        <v>830</v>
      </c>
    </row>
    <row r="20" spans="1:8" ht="15.5">
      <c r="A20" s="8">
        <v>19</v>
      </c>
      <c r="B20" s="12" t="s">
        <v>484</v>
      </c>
      <c r="C20" s="12" t="s">
        <v>822</v>
      </c>
      <c r="D20" s="12" t="s">
        <v>817</v>
      </c>
      <c r="E20" s="28">
        <v>50020</v>
      </c>
      <c r="F20" s="28">
        <v>7631</v>
      </c>
      <c r="G20" s="28">
        <v>167000</v>
      </c>
      <c r="H20" s="4" t="s">
        <v>826</v>
      </c>
    </row>
    <row r="21" spans="1:8" ht="15.5">
      <c r="A21" s="8">
        <v>20</v>
      </c>
      <c r="B21" s="12" t="s">
        <v>46</v>
      </c>
      <c r="C21" s="12" t="s">
        <v>889</v>
      </c>
      <c r="D21" s="12" t="s">
        <v>817</v>
      </c>
      <c r="E21" s="28">
        <v>57444</v>
      </c>
      <c r="F21" s="28">
        <v>6351</v>
      </c>
      <c r="G21" s="28">
        <v>158700</v>
      </c>
      <c r="H21" s="4" t="s">
        <v>826</v>
      </c>
    </row>
    <row r="22" spans="1:8" ht="15.5">
      <c r="A22" s="8">
        <v>21</v>
      </c>
      <c r="B22" s="12" t="s">
        <v>32</v>
      </c>
      <c r="C22" s="12" t="s">
        <v>822</v>
      </c>
      <c r="D22" s="12" t="s">
        <v>835</v>
      </c>
      <c r="E22" s="28">
        <v>20782</v>
      </c>
      <c r="F22" s="28">
        <v>6437</v>
      </c>
      <c r="G22" s="28">
        <v>151500</v>
      </c>
      <c r="H22" s="4"/>
    </row>
    <row r="23" spans="1:8" ht="15.5">
      <c r="A23" s="8">
        <v>22</v>
      </c>
      <c r="B23" s="12" t="s">
        <v>92</v>
      </c>
      <c r="C23" s="12" t="s">
        <v>822</v>
      </c>
      <c r="D23" s="12" t="s">
        <v>817</v>
      </c>
      <c r="E23" s="28">
        <v>59192</v>
      </c>
      <c r="F23" s="28">
        <v>12553</v>
      </c>
      <c r="G23" s="28">
        <v>168600</v>
      </c>
      <c r="H23" s="4" t="s">
        <v>899</v>
      </c>
    </row>
    <row r="24" spans="1:8" ht="15.5">
      <c r="A24" s="8">
        <v>23</v>
      </c>
      <c r="B24" s="12" t="s">
        <v>315</v>
      </c>
      <c r="C24" s="12" t="s">
        <v>827</v>
      </c>
      <c r="D24" s="12" t="s">
        <v>817</v>
      </c>
      <c r="E24" s="28">
        <v>61328</v>
      </c>
      <c r="F24" s="28">
        <v>5608</v>
      </c>
      <c r="G24" s="28">
        <v>134100</v>
      </c>
      <c r="H24" s="4" t="s">
        <v>826</v>
      </c>
    </row>
    <row r="25" spans="1:8" ht="15.5">
      <c r="A25" s="8">
        <v>24</v>
      </c>
      <c r="B25" s="12" t="s">
        <v>308</v>
      </c>
      <c r="C25" s="12" t="s">
        <v>827</v>
      </c>
      <c r="D25" s="12" t="s">
        <v>817</v>
      </c>
      <c r="E25" s="28">
        <v>58693</v>
      </c>
      <c r="F25" s="28">
        <v>9293</v>
      </c>
      <c r="G25" s="28">
        <v>139700</v>
      </c>
      <c r="H25" s="4" t="s">
        <v>826</v>
      </c>
    </row>
    <row r="26" spans="1:8" ht="15.5">
      <c r="A26" s="8">
        <v>25</v>
      </c>
      <c r="B26" s="12" t="s">
        <v>343</v>
      </c>
      <c r="C26" s="12" t="s">
        <v>906</v>
      </c>
      <c r="D26" s="12" t="s">
        <v>817</v>
      </c>
      <c r="E26" s="28">
        <v>53534</v>
      </c>
      <c r="F26" s="28">
        <v>10512</v>
      </c>
      <c r="G26" s="28">
        <v>152900</v>
      </c>
      <c r="H26" s="4" t="s">
        <v>826</v>
      </c>
    </row>
    <row r="27" spans="1:8" ht="15.5">
      <c r="A27" s="8">
        <v>26</v>
      </c>
      <c r="B27" s="12" t="s">
        <v>36</v>
      </c>
      <c r="C27" s="12" t="s">
        <v>910</v>
      </c>
      <c r="D27" s="12" t="s">
        <v>835</v>
      </c>
      <c r="E27" s="28">
        <v>10555</v>
      </c>
      <c r="F27" s="28">
        <v>6122</v>
      </c>
      <c r="G27" s="28">
        <v>123700</v>
      </c>
      <c r="H27" s="4"/>
    </row>
    <row r="28" spans="1:8" ht="15.5">
      <c r="A28" s="8">
        <v>27</v>
      </c>
      <c r="B28" s="12" t="s">
        <v>233</v>
      </c>
      <c r="C28" s="12" t="s">
        <v>844</v>
      </c>
      <c r="D28" s="12" t="s">
        <v>817</v>
      </c>
      <c r="E28" s="28">
        <v>47703</v>
      </c>
      <c r="F28" s="28">
        <v>7705</v>
      </c>
      <c r="G28" s="28">
        <v>154900</v>
      </c>
      <c r="H28" s="4" t="s">
        <v>826</v>
      </c>
    </row>
    <row r="29" spans="1:8" ht="15.5">
      <c r="A29" s="8">
        <v>28</v>
      </c>
      <c r="B29" s="12" t="s">
        <v>40</v>
      </c>
      <c r="C29" s="12" t="s">
        <v>822</v>
      </c>
      <c r="D29" s="12" t="s">
        <v>817</v>
      </c>
      <c r="E29" s="28">
        <v>45262</v>
      </c>
      <c r="F29" s="28">
        <v>7526</v>
      </c>
      <c r="G29" s="28">
        <v>150100</v>
      </c>
      <c r="H29" s="4" t="s">
        <v>920</v>
      </c>
    </row>
    <row r="30" spans="1:8" ht="15.5">
      <c r="A30" s="8">
        <v>29</v>
      </c>
      <c r="B30" s="11" t="s">
        <v>11</v>
      </c>
      <c r="C30" s="12" t="s">
        <v>922</v>
      </c>
      <c r="D30" s="12" t="s">
        <v>835</v>
      </c>
      <c r="E30" s="28">
        <v>15121</v>
      </c>
      <c r="F30" s="28">
        <v>8470</v>
      </c>
      <c r="G30" s="28">
        <v>137500</v>
      </c>
      <c r="H30" s="4"/>
    </row>
    <row r="31" spans="1:8" ht="15.5">
      <c r="A31" s="8">
        <v>30</v>
      </c>
      <c r="B31" s="12" t="s">
        <v>73</v>
      </c>
      <c r="C31" s="12" t="s">
        <v>926</v>
      </c>
      <c r="D31" s="12" t="s">
        <v>817</v>
      </c>
      <c r="E31" s="28">
        <v>58188</v>
      </c>
      <c r="F31" s="28">
        <v>9495</v>
      </c>
      <c r="G31" s="28">
        <v>142800</v>
      </c>
      <c r="H31" s="4" t="s">
        <v>826</v>
      </c>
    </row>
    <row r="32" spans="1:8" ht="15.5">
      <c r="A32" s="8">
        <v>31</v>
      </c>
      <c r="B32" s="2" t="s">
        <v>42</v>
      </c>
      <c r="C32" s="12" t="s">
        <v>889</v>
      </c>
      <c r="D32" s="12" t="s">
        <v>835</v>
      </c>
      <c r="E32" s="28">
        <v>18066</v>
      </c>
      <c r="F32" s="28">
        <v>7953</v>
      </c>
      <c r="G32" s="28">
        <v>118200</v>
      </c>
      <c r="H32" s="4"/>
    </row>
    <row r="33" spans="1:8" ht="15.5">
      <c r="A33" s="8">
        <v>32</v>
      </c>
      <c r="B33" s="12" t="s">
        <v>70</v>
      </c>
      <c r="C33" s="12" t="s">
        <v>934</v>
      </c>
      <c r="D33" s="12" t="s">
        <v>817</v>
      </c>
      <c r="E33" s="28">
        <v>45949</v>
      </c>
      <c r="F33" s="28">
        <v>8982</v>
      </c>
      <c r="G33" s="28">
        <v>163400</v>
      </c>
      <c r="H33" s="4" t="s">
        <v>938</v>
      </c>
    </row>
    <row r="34" spans="1:8" ht="15.5">
      <c r="A34" s="8">
        <v>33</v>
      </c>
      <c r="B34" s="12" t="s">
        <v>114</v>
      </c>
      <c r="C34" s="12" t="s">
        <v>939</v>
      </c>
      <c r="D34" s="12" t="s">
        <v>817</v>
      </c>
      <c r="E34" s="28">
        <v>48914</v>
      </c>
      <c r="F34" s="28">
        <v>7280</v>
      </c>
      <c r="G34" s="28">
        <v>138600</v>
      </c>
      <c r="H34" s="4" t="s">
        <v>830</v>
      </c>
    </row>
    <row r="35" spans="1:8" ht="15.5">
      <c r="A35" s="8">
        <v>34</v>
      </c>
      <c r="B35" s="12" t="s">
        <v>61</v>
      </c>
      <c r="C35" s="12" t="s">
        <v>943</v>
      </c>
      <c r="D35" s="12" t="s">
        <v>835</v>
      </c>
      <c r="E35" s="28">
        <v>26818</v>
      </c>
      <c r="F35" s="28">
        <v>8639</v>
      </c>
      <c r="G35" s="28">
        <v>149100</v>
      </c>
      <c r="H35" s="4"/>
    </row>
    <row r="36" spans="1:8" ht="15.5">
      <c r="A36" s="8">
        <v>35</v>
      </c>
      <c r="B36" s="12" t="s">
        <v>69</v>
      </c>
      <c r="C36" s="12" t="s">
        <v>822</v>
      </c>
      <c r="D36" s="12" t="s">
        <v>835</v>
      </c>
      <c r="E36" s="28">
        <v>20389</v>
      </c>
      <c r="F36" s="28">
        <v>7453</v>
      </c>
      <c r="G36" s="28">
        <v>148600</v>
      </c>
      <c r="H36" s="4"/>
    </row>
    <row r="37" spans="1:8" ht="15.5">
      <c r="A37" s="8">
        <v>36</v>
      </c>
      <c r="B37" s="12" t="s">
        <v>82</v>
      </c>
      <c r="C37" s="12" t="s">
        <v>950</v>
      </c>
      <c r="D37" s="12" t="s">
        <v>817</v>
      </c>
      <c r="E37" s="28">
        <v>6325</v>
      </c>
      <c r="F37" s="28">
        <v>5457</v>
      </c>
      <c r="G37" s="28">
        <v>133900</v>
      </c>
      <c r="H37" s="4" t="s">
        <v>826</v>
      </c>
    </row>
    <row r="38" spans="1:8" ht="15.5">
      <c r="A38" s="8">
        <v>37</v>
      </c>
      <c r="B38" s="12" t="s">
        <v>367</v>
      </c>
      <c r="C38" s="12" t="s">
        <v>822</v>
      </c>
      <c r="D38" s="12" t="s">
        <v>817</v>
      </c>
      <c r="E38" s="28">
        <v>57848</v>
      </c>
      <c r="F38" s="28">
        <v>9049</v>
      </c>
      <c r="G38" s="28">
        <v>138900</v>
      </c>
      <c r="H38" s="4" t="s">
        <v>826</v>
      </c>
    </row>
    <row r="39" spans="1:8" ht="15.5">
      <c r="A39" s="8">
        <v>38</v>
      </c>
      <c r="B39" s="12" t="s">
        <v>84</v>
      </c>
      <c r="C39" s="12" t="s">
        <v>939</v>
      </c>
      <c r="D39" s="12" t="s">
        <v>835</v>
      </c>
      <c r="E39" s="28">
        <v>13992</v>
      </c>
      <c r="F39" s="28">
        <v>7027</v>
      </c>
      <c r="G39" s="28">
        <v>163500</v>
      </c>
      <c r="H39" s="4"/>
    </row>
    <row r="40" spans="1:8" ht="15.5">
      <c r="A40" s="8">
        <v>39</v>
      </c>
      <c r="B40" s="12" t="s">
        <v>59</v>
      </c>
      <c r="C40" s="12" t="s">
        <v>822</v>
      </c>
      <c r="D40" s="12" t="s">
        <v>835</v>
      </c>
      <c r="E40" s="28">
        <v>17411</v>
      </c>
      <c r="F40" s="28">
        <v>6561</v>
      </c>
      <c r="G40" s="28">
        <v>148400</v>
      </c>
      <c r="H40" s="4"/>
    </row>
    <row r="41" spans="1:8" ht="15.5">
      <c r="A41" s="8">
        <v>40</v>
      </c>
      <c r="B41" s="2" t="s">
        <v>51</v>
      </c>
      <c r="C41" s="12" t="s">
        <v>858</v>
      </c>
      <c r="D41" s="12" t="s">
        <v>835</v>
      </c>
      <c r="E41" s="28">
        <v>16552</v>
      </c>
      <c r="F41" s="28">
        <v>6697</v>
      </c>
      <c r="G41" s="28">
        <v>139900</v>
      </c>
      <c r="H41" s="4"/>
    </row>
    <row r="42" spans="1:8" ht="15.5">
      <c r="A42" s="8">
        <v>41</v>
      </c>
      <c r="B42" s="11" t="s">
        <v>48</v>
      </c>
      <c r="C42" s="12" t="s">
        <v>862</v>
      </c>
      <c r="D42" s="12" t="s">
        <v>835</v>
      </c>
      <c r="E42" s="28">
        <v>11232</v>
      </c>
      <c r="F42" s="28">
        <v>10201</v>
      </c>
      <c r="G42" s="28">
        <v>134700</v>
      </c>
      <c r="H42" s="4"/>
    </row>
    <row r="43" spans="1:8" ht="15.5">
      <c r="A43" s="8">
        <v>42</v>
      </c>
      <c r="B43" s="12" t="s">
        <v>116</v>
      </c>
      <c r="C43" s="12" t="s">
        <v>971</v>
      </c>
      <c r="D43" s="12" t="s">
        <v>817</v>
      </c>
      <c r="E43" s="28">
        <v>49859</v>
      </c>
      <c r="F43" s="28">
        <v>7390</v>
      </c>
      <c r="G43" s="28">
        <v>160200</v>
      </c>
      <c r="H43" s="4" t="s">
        <v>826</v>
      </c>
    </row>
    <row r="44" spans="1:8" ht="15.5">
      <c r="A44" s="8">
        <v>43</v>
      </c>
      <c r="B44" s="12" t="s">
        <v>31</v>
      </c>
      <c r="C44" s="12" t="s">
        <v>822</v>
      </c>
      <c r="D44" s="12" t="s">
        <v>835</v>
      </c>
      <c r="E44" s="28">
        <v>20548</v>
      </c>
      <c r="F44" s="28">
        <v>5965</v>
      </c>
      <c r="G44" s="28">
        <v>142700</v>
      </c>
      <c r="H44" s="4"/>
    </row>
    <row r="45" spans="1:8" ht="15.5">
      <c r="A45" s="8">
        <v>44</v>
      </c>
      <c r="B45" s="11" t="s">
        <v>12</v>
      </c>
      <c r="C45" s="12" t="s">
        <v>979</v>
      </c>
      <c r="D45" s="12" t="s">
        <v>835</v>
      </c>
      <c r="E45" s="28">
        <v>14731</v>
      </c>
      <c r="F45" s="28">
        <v>6169</v>
      </c>
      <c r="G45" s="28">
        <v>136800</v>
      </c>
      <c r="H45" s="4"/>
    </row>
    <row r="46" spans="1:8" ht="15.5">
      <c r="A46" s="8">
        <v>45</v>
      </c>
      <c r="B46" s="12" t="s">
        <v>389</v>
      </c>
      <c r="C46" s="12" t="s">
        <v>840</v>
      </c>
      <c r="D46" s="12" t="s">
        <v>817</v>
      </c>
      <c r="E46" s="28">
        <v>54647</v>
      </c>
      <c r="F46" s="28">
        <v>9018</v>
      </c>
      <c r="G46" s="28">
        <v>173800</v>
      </c>
      <c r="H46" s="4" t="s">
        <v>821</v>
      </c>
    </row>
    <row r="47" spans="1:8" ht="15.5">
      <c r="A47" s="8">
        <v>46</v>
      </c>
      <c r="B47" s="2" t="s">
        <v>22</v>
      </c>
      <c r="C47" s="12" t="s">
        <v>851</v>
      </c>
      <c r="D47" s="12" t="s">
        <v>835</v>
      </c>
      <c r="E47" s="28">
        <v>8321</v>
      </c>
      <c r="F47" s="28">
        <v>5851</v>
      </c>
      <c r="G47" s="28">
        <v>137000</v>
      </c>
      <c r="H47" s="4"/>
    </row>
    <row r="48" spans="1:8" ht="15.5">
      <c r="A48" s="8">
        <v>47</v>
      </c>
      <c r="B48" s="12" t="s">
        <v>349</v>
      </c>
      <c r="C48" s="12" t="s">
        <v>943</v>
      </c>
      <c r="D48" s="12" t="s">
        <v>817</v>
      </c>
      <c r="E48" s="28">
        <v>55567</v>
      </c>
      <c r="F48" s="28">
        <v>7714</v>
      </c>
      <c r="G48" s="28">
        <v>162500</v>
      </c>
      <c r="H48" s="4" t="s">
        <v>899</v>
      </c>
    </row>
    <row r="49" spans="1:8" ht="15.5">
      <c r="A49" s="8">
        <v>48</v>
      </c>
      <c r="B49" s="12" t="s">
        <v>365</v>
      </c>
      <c r="C49" s="12" t="s">
        <v>889</v>
      </c>
      <c r="D49" s="12" t="s">
        <v>817</v>
      </c>
      <c r="E49" s="28">
        <v>46496</v>
      </c>
      <c r="F49" s="28">
        <v>8422</v>
      </c>
      <c r="G49" s="28">
        <v>140300</v>
      </c>
      <c r="H49" s="4" t="s">
        <v>830</v>
      </c>
    </row>
    <row r="50" spans="1:8" ht="15.5">
      <c r="A50" s="8">
        <v>49</v>
      </c>
      <c r="B50" s="12" t="s">
        <v>34</v>
      </c>
      <c r="C50" s="12" t="s">
        <v>840</v>
      </c>
      <c r="D50" s="12" t="s">
        <v>817</v>
      </c>
      <c r="E50" s="28">
        <v>47096</v>
      </c>
      <c r="F50" s="28">
        <v>8550</v>
      </c>
      <c r="G50" s="28">
        <v>147100</v>
      </c>
      <c r="H50" s="4" t="s">
        <v>938</v>
      </c>
    </row>
    <row r="51" spans="1:8" ht="15.5">
      <c r="A51" s="8">
        <v>50</v>
      </c>
      <c r="B51" s="2" t="s">
        <v>20</v>
      </c>
      <c r="C51" s="12" t="s">
        <v>1000</v>
      </c>
      <c r="D51" s="12" t="s">
        <v>835</v>
      </c>
      <c r="E51" s="28">
        <v>11171</v>
      </c>
      <c r="F51" s="28">
        <v>9299</v>
      </c>
      <c r="G51" s="28">
        <v>125900</v>
      </c>
      <c r="H51"/>
    </row>
    <row r="52" spans="1:8" ht="15.5">
      <c r="A52" s="8">
        <v>51</v>
      </c>
      <c r="B52" s="12" t="s">
        <v>252</v>
      </c>
      <c r="C52" s="12" t="s">
        <v>1004</v>
      </c>
      <c r="D52" s="12" t="s">
        <v>817</v>
      </c>
      <c r="E52" s="28">
        <v>56639</v>
      </c>
      <c r="F52" s="28">
        <v>8541</v>
      </c>
      <c r="G52" s="28">
        <v>139500</v>
      </c>
      <c r="H52" s="4" t="s">
        <v>821</v>
      </c>
    </row>
    <row r="53" spans="1:8" ht="15.5">
      <c r="A53" s="8">
        <v>52</v>
      </c>
      <c r="B53" s="12" t="s">
        <v>75</v>
      </c>
      <c r="C53" s="12" t="s">
        <v>827</v>
      </c>
      <c r="D53" s="12" t="s">
        <v>817</v>
      </c>
      <c r="E53" s="28">
        <v>51613</v>
      </c>
      <c r="F53" s="28">
        <v>7034</v>
      </c>
      <c r="G53" s="28">
        <v>144400</v>
      </c>
      <c r="H53" s="4" t="s">
        <v>899</v>
      </c>
    </row>
    <row r="54" spans="1:8" ht="15.5">
      <c r="A54" s="8">
        <v>53</v>
      </c>
      <c r="B54" s="12" t="s">
        <v>62</v>
      </c>
      <c r="C54" s="12" t="s">
        <v>827</v>
      </c>
      <c r="D54" s="12" t="s">
        <v>817</v>
      </c>
      <c r="E54" s="28">
        <v>51565</v>
      </c>
      <c r="F54" s="28">
        <v>10425</v>
      </c>
      <c r="G54" s="28">
        <v>144400</v>
      </c>
      <c r="H54" s="4" t="s">
        <v>938</v>
      </c>
    </row>
    <row r="55" spans="1:8" ht="15.5">
      <c r="A55" s="8">
        <v>54</v>
      </c>
      <c r="B55" s="12" t="s">
        <v>279</v>
      </c>
      <c r="C55" s="12" t="s">
        <v>831</v>
      </c>
      <c r="D55" s="12" t="s">
        <v>817</v>
      </c>
      <c r="E55" s="28">
        <v>59825</v>
      </c>
      <c r="F55" s="28">
        <v>9716</v>
      </c>
      <c r="G55" s="28">
        <v>149200</v>
      </c>
      <c r="H55" s="4" t="s">
        <v>899</v>
      </c>
    </row>
    <row r="56" spans="1:8" ht="15.5">
      <c r="A56" s="8">
        <v>55</v>
      </c>
      <c r="B56" s="12" t="s">
        <v>1016</v>
      </c>
      <c r="C56" s="12" t="s">
        <v>943</v>
      </c>
      <c r="D56" s="12" t="s">
        <v>835</v>
      </c>
      <c r="E56" s="28">
        <v>15134</v>
      </c>
      <c r="F56" s="28">
        <v>8882</v>
      </c>
      <c r="G56" s="28">
        <v>134200</v>
      </c>
      <c r="H56" s="4"/>
    </row>
    <row r="57" spans="1:8" ht="15.5">
      <c r="A57" s="8">
        <v>56</v>
      </c>
      <c r="B57" s="12" t="s">
        <v>380</v>
      </c>
      <c r="C57" s="12" t="s">
        <v>840</v>
      </c>
      <c r="D57" s="12" t="s">
        <v>817</v>
      </c>
      <c r="E57" s="28">
        <v>53817</v>
      </c>
      <c r="F57" s="28">
        <v>7339</v>
      </c>
      <c r="G57" s="28">
        <v>149300</v>
      </c>
      <c r="H57" s="4" t="s">
        <v>821</v>
      </c>
    </row>
    <row r="58" spans="1:8" ht="15.5">
      <c r="A58" s="8">
        <v>57</v>
      </c>
      <c r="B58" s="11" t="s">
        <v>2350</v>
      </c>
      <c r="C58" s="12" t="s">
        <v>822</v>
      </c>
      <c r="D58" s="12" t="s">
        <v>835</v>
      </c>
      <c r="E58" s="28">
        <v>10065</v>
      </c>
      <c r="F58" s="28">
        <v>6132</v>
      </c>
      <c r="G58" s="28">
        <v>148600</v>
      </c>
      <c r="H58" s="4"/>
    </row>
    <row r="59" spans="1:8" ht="15.5">
      <c r="A59" s="8">
        <v>58</v>
      </c>
      <c r="B59" s="12" t="s">
        <v>44</v>
      </c>
      <c r="C59" s="12" t="s">
        <v>844</v>
      </c>
      <c r="D59" s="12" t="s">
        <v>817</v>
      </c>
      <c r="E59" s="28">
        <v>43966</v>
      </c>
      <c r="F59" s="28">
        <v>6525</v>
      </c>
      <c r="G59" s="28">
        <v>162100</v>
      </c>
      <c r="H59" s="4" t="s">
        <v>826</v>
      </c>
    </row>
    <row r="60" spans="1:8" ht="15.5">
      <c r="A60" s="8">
        <v>59</v>
      </c>
      <c r="B60" s="12" t="s">
        <v>142</v>
      </c>
      <c r="C60" s="12" t="s">
        <v>827</v>
      </c>
      <c r="D60" s="12" t="s">
        <v>817</v>
      </c>
      <c r="E60" s="28">
        <v>49992</v>
      </c>
      <c r="F60" s="28">
        <v>3588</v>
      </c>
      <c r="G60" s="28">
        <v>142200</v>
      </c>
      <c r="H60" s="4" t="s">
        <v>899</v>
      </c>
    </row>
    <row r="61" spans="1:8" ht="15.5">
      <c r="A61" s="8">
        <v>60</v>
      </c>
      <c r="B61" s="12" t="s">
        <v>471</v>
      </c>
      <c r="C61" s="12" t="s">
        <v>844</v>
      </c>
      <c r="D61" s="12" t="s">
        <v>817</v>
      </c>
      <c r="E61" s="28">
        <v>24981</v>
      </c>
      <c r="F61" s="28">
        <v>8349</v>
      </c>
      <c r="G61" s="28">
        <v>158700</v>
      </c>
      <c r="H61" s="4" t="s">
        <v>920</v>
      </c>
    </row>
    <row r="62" spans="1:8" ht="15.5">
      <c r="A62" s="8">
        <v>61</v>
      </c>
      <c r="B62" s="12" t="s">
        <v>225</v>
      </c>
      <c r="C62" s="12" t="s">
        <v>822</v>
      </c>
      <c r="D62" s="12" t="s">
        <v>817</v>
      </c>
      <c r="E62" s="28">
        <v>25295</v>
      </c>
      <c r="F62" s="28">
        <v>7778</v>
      </c>
      <c r="G62" s="28">
        <v>173100</v>
      </c>
      <c r="H62" s="4" t="s">
        <v>938</v>
      </c>
    </row>
    <row r="63" spans="1:8" ht="15.5">
      <c r="A63" s="8">
        <v>62</v>
      </c>
      <c r="B63" s="12" t="s">
        <v>86</v>
      </c>
      <c r="C63" s="12" t="s">
        <v>939</v>
      </c>
      <c r="D63" s="12" t="s">
        <v>835</v>
      </c>
      <c r="E63" s="28">
        <v>11559</v>
      </c>
      <c r="F63" s="28">
        <v>6778</v>
      </c>
      <c r="G63" s="28">
        <v>124800</v>
      </c>
      <c r="H63" s="4"/>
    </row>
    <row r="64" spans="1:8" ht="15.5">
      <c r="A64" s="8">
        <v>63</v>
      </c>
      <c r="B64" s="12" t="s">
        <v>29</v>
      </c>
      <c r="C64" s="12" t="s">
        <v>971</v>
      </c>
      <c r="D64" s="12" t="s">
        <v>835</v>
      </c>
      <c r="E64" s="28">
        <v>8950</v>
      </c>
      <c r="F64" s="28">
        <v>9125</v>
      </c>
      <c r="G64" s="28">
        <v>126300</v>
      </c>
      <c r="H64" s="4"/>
    </row>
    <row r="65" spans="1:8" ht="15.5">
      <c r="A65" s="8">
        <v>64</v>
      </c>
      <c r="B65" s="12" t="s">
        <v>245</v>
      </c>
      <c r="C65" s="12" t="s">
        <v>844</v>
      </c>
      <c r="D65" s="12" t="s">
        <v>817</v>
      </c>
      <c r="E65" s="28">
        <v>44116</v>
      </c>
      <c r="F65" s="28">
        <v>9603</v>
      </c>
      <c r="G65" s="28">
        <v>168200</v>
      </c>
      <c r="H65" s="4" t="s">
        <v>899</v>
      </c>
    </row>
    <row r="66" spans="1:8" ht="15.5">
      <c r="A66" s="8">
        <v>65</v>
      </c>
      <c r="B66" s="12" t="s">
        <v>108</v>
      </c>
      <c r="C66" s="12" t="s">
        <v>910</v>
      </c>
      <c r="D66" s="12" t="s">
        <v>835</v>
      </c>
      <c r="E66" s="28">
        <v>10169</v>
      </c>
      <c r="F66" s="28">
        <v>6953</v>
      </c>
      <c r="G66" s="28">
        <v>111900</v>
      </c>
      <c r="H66" s="4"/>
    </row>
    <row r="67" spans="1:8" ht="15.5">
      <c r="A67" s="8">
        <v>66</v>
      </c>
      <c r="B67" s="12" t="s">
        <v>386</v>
      </c>
      <c r="C67" s="12" t="s">
        <v>840</v>
      </c>
      <c r="D67" s="12" t="s">
        <v>817</v>
      </c>
      <c r="E67" s="28">
        <v>52497</v>
      </c>
      <c r="F67" s="28">
        <v>4749</v>
      </c>
      <c r="G67" s="28">
        <v>125400</v>
      </c>
      <c r="H67" s="4" t="s">
        <v>826</v>
      </c>
    </row>
    <row r="68" spans="1:8" ht="15.5">
      <c r="A68" s="8">
        <v>67</v>
      </c>
      <c r="B68" s="12" t="s">
        <v>100</v>
      </c>
      <c r="C68" s="12" t="s">
        <v>934</v>
      </c>
      <c r="D68" s="12" t="s">
        <v>817</v>
      </c>
      <c r="E68" s="28">
        <v>35257</v>
      </c>
      <c r="F68" s="28">
        <v>10893</v>
      </c>
      <c r="G68" s="28">
        <v>148300</v>
      </c>
      <c r="H68" s="4" t="s">
        <v>920</v>
      </c>
    </row>
    <row r="69" spans="1:8" ht="15.5">
      <c r="A69" s="8">
        <v>68</v>
      </c>
      <c r="B69" s="11" t="s">
        <v>63</v>
      </c>
      <c r="C69" s="12" t="s">
        <v>889</v>
      </c>
      <c r="D69" s="12" t="s">
        <v>835</v>
      </c>
      <c r="E69" s="28">
        <v>9181</v>
      </c>
      <c r="F69" s="28">
        <v>7194</v>
      </c>
      <c r="G69" s="28">
        <v>128600</v>
      </c>
      <c r="H69" s="4"/>
    </row>
    <row r="70" spans="1:8" ht="15.5">
      <c r="A70" s="8">
        <v>69</v>
      </c>
      <c r="B70" s="12" t="s">
        <v>1060</v>
      </c>
      <c r="C70" s="12" t="s">
        <v>827</v>
      </c>
      <c r="D70" s="12" t="s">
        <v>817</v>
      </c>
      <c r="E70" s="28">
        <v>40522</v>
      </c>
      <c r="F70" s="28">
        <v>9042</v>
      </c>
      <c r="G70" s="28"/>
      <c r="H70" s="4"/>
    </row>
    <row r="71" spans="1:8" ht="15.5">
      <c r="A71" s="8">
        <v>70</v>
      </c>
      <c r="B71" s="11" t="s">
        <v>55</v>
      </c>
      <c r="C71" s="12" t="s">
        <v>851</v>
      </c>
      <c r="D71" s="12" t="s">
        <v>835</v>
      </c>
      <c r="E71" s="28">
        <v>12278</v>
      </c>
      <c r="F71" s="28">
        <v>8518</v>
      </c>
      <c r="G71" s="28">
        <v>139700</v>
      </c>
      <c r="H71" s="4"/>
    </row>
    <row r="72" spans="1:8" ht="15.5">
      <c r="A72" s="8">
        <v>71</v>
      </c>
      <c r="B72" s="12" t="s">
        <v>1067</v>
      </c>
      <c r="C72" s="12" t="s">
        <v>831</v>
      </c>
      <c r="D72" s="12" t="s">
        <v>817</v>
      </c>
      <c r="E72" s="28">
        <v>46929</v>
      </c>
      <c r="F72" s="28">
        <v>7819</v>
      </c>
      <c r="G72" s="28">
        <v>141600</v>
      </c>
      <c r="H72" s="4" t="s">
        <v>821</v>
      </c>
    </row>
    <row r="73" spans="1:8" ht="15.5">
      <c r="A73" s="8">
        <v>72</v>
      </c>
      <c r="B73" s="12" t="s">
        <v>411</v>
      </c>
      <c r="C73" s="12" t="s">
        <v>844</v>
      </c>
      <c r="D73" s="12" t="s">
        <v>817</v>
      </c>
      <c r="E73" s="28">
        <v>57999</v>
      </c>
      <c r="F73" s="28">
        <v>10152</v>
      </c>
      <c r="G73" s="28">
        <v>146900</v>
      </c>
      <c r="H73" s="4" t="s">
        <v>899</v>
      </c>
    </row>
    <row r="74" spans="1:8" ht="15.5">
      <c r="A74" s="8">
        <v>73</v>
      </c>
      <c r="B74" s="12" t="s">
        <v>133</v>
      </c>
      <c r="C74" s="12" t="s">
        <v>827</v>
      </c>
      <c r="D74" s="12" t="s">
        <v>817</v>
      </c>
      <c r="E74" s="28">
        <v>42331</v>
      </c>
      <c r="F74" s="28">
        <v>8278</v>
      </c>
      <c r="G74" s="28">
        <v>130300</v>
      </c>
      <c r="H74" s="4" t="s">
        <v>821</v>
      </c>
    </row>
    <row r="75" spans="1:8" ht="15.5">
      <c r="A75" s="8">
        <v>74</v>
      </c>
      <c r="B75" s="12" t="s">
        <v>1077</v>
      </c>
      <c r="C75" s="12" t="s">
        <v>840</v>
      </c>
      <c r="D75" s="12" t="s">
        <v>835</v>
      </c>
      <c r="E75" s="28">
        <v>9423</v>
      </c>
      <c r="F75" s="28">
        <v>5495</v>
      </c>
      <c r="G75" s="28">
        <v>132100</v>
      </c>
      <c r="H75" s="4"/>
    </row>
    <row r="76" spans="1:8" ht="15.5">
      <c r="A76" s="8">
        <v>75</v>
      </c>
      <c r="B76" s="2" t="s">
        <v>28</v>
      </c>
      <c r="C76" s="12" t="s">
        <v>1082</v>
      </c>
      <c r="D76" s="12" t="s">
        <v>835</v>
      </c>
      <c r="E76" s="28">
        <v>11388</v>
      </c>
      <c r="F76" s="28">
        <v>9722</v>
      </c>
      <c r="G76" s="28">
        <v>125700</v>
      </c>
      <c r="H76" s="4"/>
    </row>
    <row r="77" spans="1:8" ht="15.5">
      <c r="A77" s="8">
        <v>76</v>
      </c>
      <c r="B77" s="11" t="s">
        <v>234</v>
      </c>
      <c r="C77" s="12" t="s">
        <v>840</v>
      </c>
      <c r="D77" s="12" t="s">
        <v>835</v>
      </c>
      <c r="E77" s="28">
        <v>11305</v>
      </c>
      <c r="F77" s="28">
        <v>7783</v>
      </c>
      <c r="G77" s="28">
        <v>136600</v>
      </c>
      <c r="H77" s="4"/>
    </row>
    <row r="78" spans="1:8" ht="15.5">
      <c r="A78" s="8">
        <v>77</v>
      </c>
      <c r="B78" s="12" t="s">
        <v>148</v>
      </c>
      <c r="C78" s="12" t="s">
        <v>822</v>
      </c>
      <c r="D78" s="12" t="s">
        <v>835</v>
      </c>
      <c r="E78" s="28">
        <v>9934</v>
      </c>
      <c r="F78" s="28">
        <v>8240</v>
      </c>
      <c r="G78" s="28">
        <v>124100</v>
      </c>
      <c r="H78" s="4"/>
    </row>
    <row r="79" spans="1:8" ht="15.5">
      <c r="A79" s="8">
        <v>78</v>
      </c>
      <c r="B79" s="12" t="s">
        <v>1093</v>
      </c>
      <c r="C79" s="12" t="s">
        <v>840</v>
      </c>
      <c r="D79" s="12" t="s">
        <v>817</v>
      </c>
      <c r="E79" s="28">
        <v>39305</v>
      </c>
      <c r="F79" s="28">
        <v>8310</v>
      </c>
      <c r="G79" s="28">
        <v>156500</v>
      </c>
      <c r="H79" s="4" t="s">
        <v>826</v>
      </c>
    </row>
    <row r="80" spans="1:8" ht="15.5">
      <c r="A80" s="8">
        <v>79</v>
      </c>
      <c r="B80" s="2" t="s">
        <v>50</v>
      </c>
      <c r="C80" s="12" t="s">
        <v>816</v>
      </c>
      <c r="D80" s="12" t="s">
        <v>835</v>
      </c>
      <c r="E80" s="28">
        <v>12785</v>
      </c>
      <c r="F80" s="28">
        <v>8040</v>
      </c>
      <c r="G80" s="28">
        <v>137000</v>
      </c>
      <c r="H80" s="4"/>
    </row>
    <row r="81" spans="1:8" ht="15.5">
      <c r="A81" s="8">
        <v>80</v>
      </c>
      <c r="B81" s="12" t="s">
        <v>399</v>
      </c>
      <c r="C81" s="12" t="s">
        <v>906</v>
      </c>
      <c r="D81" s="12" t="s">
        <v>817</v>
      </c>
      <c r="E81" s="28">
        <v>51414</v>
      </c>
      <c r="F81" s="28">
        <v>8728</v>
      </c>
      <c r="G81" s="28">
        <v>150500</v>
      </c>
      <c r="H81" s="4" t="s">
        <v>899</v>
      </c>
    </row>
    <row r="82" spans="1:8" ht="15.5">
      <c r="A82" s="8">
        <v>81</v>
      </c>
      <c r="B82" s="12" t="s">
        <v>396</v>
      </c>
      <c r="C82" s="12" t="s">
        <v>1104</v>
      </c>
      <c r="D82" s="12" t="s">
        <v>817</v>
      </c>
      <c r="E82" s="28">
        <v>42231</v>
      </c>
      <c r="F82" s="28">
        <v>7707</v>
      </c>
      <c r="G82" s="28">
        <v>121900</v>
      </c>
      <c r="H82" s="4" t="s">
        <v>830</v>
      </c>
    </row>
    <row r="83" spans="1:8" ht="15.5">
      <c r="A83" s="8">
        <v>82</v>
      </c>
      <c r="B83" s="2" t="s">
        <v>139</v>
      </c>
      <c r="C83" s="12" t="s">
        <v>910</v>
      </c>
      <c r="D83" s="12" t="s">
        <v>817</v>
      </c>
      <c r="E83" s="28">
        <v>37322</v>
      </c>
      <c r="F83" s="28">
        <v>8432</v>
      </c>
      <c r="G83" s="28">
        <v>120000</v>
      </c>
      <c r="H83" s="4" t="s">
        <v>899</v>
      </c>
    </row>
    <row r="84" spans="1:8" ht="15.5">
      <c r="A84" s="8">
        <v>83</v>
      </c>
      <c r="B84" s="2" t="s">
        <v>79</v>
      </c>
      <c r="C84" s="12" t="s">
        <v>943</v>
      </c>
      <c r="D84" s="12" t="s">
        <v>835</v>
      </c>
      <c r="E84" s="28">
        <v>7649</v>
      </c>
      <c r="F84" s="28">
        <v>10100</v>
      </c>
      <c r="G84" s="28">
        <v>136000</v>
      </c>
      <c r="H84" s="4"/>
    </row>
    <row r="85" spans="1:8" ht="15.5">
      <c r="A85" s="8">
        <v>84</v>
      </c>
      <c r="B85" s="11" t="s">
        <v>2351</v>
      </c>
      <c r="C85" s="12" t="s">
        <v>840</v>
      </c>
      <c r="D85" s="12" t="s">
        <v>835</v>
      </c>
      <c r="E85" s="28">
        <v>11584</v>
      </c>
      <c r="F85" s="28">
        <v>7068</v>
      </c>
      <c r="G85" s="28">
        <v>129700</v>
      </c>
      <c r="H85" s="4"/>
    </row>
    <row r="86" spans="1:8" ht="15.5">
      <c r="A86" s="8">
        <v>85</v>
      </c>
      <c r="B86" s="12" t="s">
        <v>120</v>
      </c>
      <c r="C86" s="12" t="s">
        <v>831</v>
      </c>
      <c r="D86" s="12" t="s">
        <v>835</v>
      </c>
      <c r="E86" s="28">
        <v>14678</v>
      </c>
      <c r="F86" s="28">
        <v>8108</v>
      </c>
      <c r="G86" s="28">
        <v>126000</v>
      </c>
      <c r="H86" s="4"/>
    </row>
    <row r="87" spans="1:8" ht="15.5">
      <c r="A87" s="8">
        <v>86</v>
      </c>
      <c r="B87" s="11" t="s">
        <v>52</v>
      </c>
      <c r="C87" s="12" t="s">
        <v>1124</v>
      </c>
      <c r="D87" s="12" t="s">
        <v>835</v>
      </c>
      <c r="E87" s="28">
        <v>10993</v>
      </c>
      <c r="F87" s="28">
        <v>7842</v>
      </c>
      <c r="G87" s="28">
        <v>116900</v>
      </c>
      <c r="H87" s="4"/>
    </row>
    <row r="88" spans="1:8" ht="15.5">
      <c r="A88" s="8">
        <v>87</v>
      </c>
      <c r="B88" s="12" t="s">
        <v>271</v>
      </c>
      <c r="C88" s="12" t="s">
        <v>844</v>
      </c>
      <c r="D88" s="12" t="s">
        <v>817</v>
      </c>
      <c r="E88" s="28">
        <v>42834</v>
      </c>
      <c r="F88" s="28">
        <v>10781</v>
      </c>
      <c r="G88" s="28">
        <v>140400</v>
      </c>
      <c r="H88" s="4" t="s">
        <v>830</v>
      </c>
    </row>
    <row r="89" spans="1:8" ht="15.5">
      <c r="A89" s="8">
        <v>88</v>
      </c>
      <c r="B89" s="12" t="s">
        <v>236</v>
      </c>
      <c r="C89" s="12" t="s">
        <v>889</v>
      </c>
      <c r="D89" s="12" t="s">
        <v>817</v>
      </c>
      <c r="E89" s="28">
        <v>54233</v>
      </c>
      <c r="F89" s="28">
        <v>10075</v>
      </c>
      <c r="G89" s="28">
        <v>145200</v>
      </c>
      <c r="H89" s="4" t="s">
        <v>830</v>
      </c>
    </row>
    <row r="90" spans="1:8" ht="15.5">
      <c r="A90" s="8">
        <v>89</v>
      </c>
      <c r="B90" s="12" t="s">
        <v>248</v>
      </c>
      <c r="C90" s="12" t="s">
        <v>822</v>
      </c>
      <c r="D90" s="12" t="s">
        <v>835</v>
      </c>
      <c r="E90" s="28">
        <v>9478</v>
      </c>
      <c r="F90" s="28">
        <v>5404</v>
      </c>
      <c r="G90" s="28">
        <v>121700</v>
      </c>
      <c r="H90" s="4"/>
    </row>
    <row r="91" spans="1:8" ht="15.5">
      <c r="A91" s="8">
        <v>90</v>
      </c>
      <c r="B91" s="12" t="s">
        <v>38</v>
      </c>
      <c r="C91" s="12" t="s">
        <v>922</v>
      </c>
      <c r="D91" s="12" t="s">
        <v>835</v>
      </c>
      <c r="E91" s="28">
        <v>8684</v>
      </c>
      <c r="F91" s="28">
        <v>8138</v>
      </c>
      <c r="G91" s="28">
        <v>118800</v>
      </c>
      <c r="H91" s="4"/>
    </row>
    <row r="92" spans="1:8" ht="15.5">
      <c r="A92" s="8">
        <v>91</v>
      </c>
      <c r="B92" s="12" t="s">
        <v>88</v>
      </c>
      <c r="C92" s="12" t="s">
        <v>840</v>
      </c>
      <c r="D92" s="12" t="s">
        <v>817</v>
      </c>
      <c r="E92" s="28">
        <v>39715</v>
      </c>
      <c r="F92" s="28">
        <v>7198</v>
      </c>
      <c r="G92" s="28">
        <v>140900</v>
      </c>
      <c r="H92" s="4" t="s">
        <v>920</v>
      </c>
    </row>
    <row r="93" spans="1:8" ht="15.5">
      <c r="A93" s="8">
        <v>92</v>
      </c>
      <c r="B93" s="11" t="s">
        <v>67</v>
      </c>
      <c r="C93" s="12" t="s">
        <v>971</v>
      </c>
      <c r="D93" s="12" t="s">
        <v>835</v>
      </c>
      <c r="E93" s="28">
        <v>10336</v>
      </c>
      <c r="F93" s="28">
        <v>9757</v>
      </c>
      <c r="G93" s="28">
        <v>117300</v>
      </c>
      <c r="H93" s="4"/>
    </row>
    <row r="94" spans="1:8" ht="15.5">
      <c r="A94" s="8">
        <v>93</v>
      </c>
      <c r="B94" s="12" t="s">
        <v>307</v>
      </c>
      <c r="C94" s="12" t="s">
        <v>844</v>
      </c>
      <c r="D94" s="12" t="s">
        <v>817</v>
      </c>
      <c r="E94" s="28">
        <v>37775</v>
      </c>
      <c r="F94" s="28">
        <v>11397</v>
      </c>
      <c r="G94" s="28">
        <v>155500</v>
      </c>
      <c r="H94" s="4" t="s">
        <v>899</v>
      </c>
    </row>
    <row r="95" spans="1:8" ht="15.5">
      <c r="A95" s="8">
        <v>94</v>
      </c>
      <c r="B95" s="11" t="s">
        <v>65</v>
      </c>
      <c r="C95" s="12" t="s">
        <v>950</v>
      </c>
      <c r="D95" s="12" t="s">
        <v>835</v>
      </c>
      <c r="E95" s="28">
        <v>9696</v>
      </c>
      <c r="F95" s="28">
        <v>8287</v>
      </c>
      <c r="G95" s="28">
        <v>125900</v>
      </c>
      <c r="H95" s="4"/>
    </row>
    <row r="96" spans="1:8" ht="15.5">
      <c r="A96" s="8">
        <v>95</v>
      </c>
      <c r="B96" s="12" t="s">
        <v>1154</v>
      </c>
      <c r="C96" s="12" t="s">
        <v>851</v>
      </c>
      <c r="D96" s="12" t="s">
        <v>817</v>
      </c>
      <c r="E96" s="28">
        <v>33614</v>
      </c>
      <c r="F96" s="28">
        <v>9574</v>
      </c>
      <c r="G96" s="28">
        <v>130600</v>
      </c>
      <c r="H96" s="4" t="s">
        <v>830</v>
      </c>
    </row>
    <row r="97" spans="1:8" ht="15.5">
      <c r="A97" s="8">
        <v>96</v>
      </c>
      <c r="B97" s="12" t="s">
        <v>370</v>
      </c>
      <c r="C97" s="12" t="s">
        <v>827</v>
      </c>
      <c r="D97" s="12" t="s">
        <v>817</v>
      </c>
      <c r="E97" s="28">
        <v>30513</v>
      </c>
      <c r="F97" s="28">
        <v>9137</v>
      </c>
      <c r="G97" s="28">
        <v>175200</v>
      </c>
      <c r="H97" s="4" t="s">
        <v>899</v>
      </c>
    </row>
    <row r="98" spans="1:8" ht="15.5">
      <c r="A98" s="8">
        <v>97</v>
      </c>
      <c r="B98" s="12" t="s">
        <v>127</v>
      </c>
      <c r="C98" s="12" t="s">
        <v>822</v>
      </c>
      <c r="D98" s="12" t="s">
        <v>835</v>
      </c>
      <c r="E98" s="28">
        <v>22042</v>
      </c>
      <c r="F98" s="28">
        <v>5140</v>
      </c>
      <c r="G98" s="28">
        <v>128800</v>
      </c>
      <c r="H98" s="4"/>
    </row>
    <row r="99" spans="1:8" ht="15.5">
      <c r="A99" s="8">
        <v>98</v>
      </c>
      <c r="B99" s="12" t="s">
        <v>153</v>
      </c>
      <c r="C99" s="12" t="s">
        <v>1164</v>
      </c>
      <c r="D99" s="12" t="s">
        <v>835</v>
      </c>
      <c r="E99" s="28">
        <v>10430</v>
      </c>
      <c r="F99" s="28">
        <v>11748</v>
      </c>
      <c r="G99" s="28">
        <v>125200</v>
      </c>
      <c r="H99" s="4"/>
    </row>
    <row r="100" spans="1:8" ht="15.5">
      <c r="A100" s="8">
        <v>99</v>
      </c>
      <c r="B100" s="12" t="s">
        <v>201</v>
      </c>
      <c r="C100" s="12" t="s">
        <v>851</v>
      </c>
      <c r="D100" s="12" t="s">
        <v>817</v>
      </c>
      <c r="E100" s="28">
        <v>35344</v>
      </c>
      <c r="F100" s="28">
        <v>12369</v>
      </c>
      <c r="G100" s="28">
        <v>139000</v>
      </c>
      <c r="H100" s="4" t="s">
        <v>821</v>
      </c>
    </row>
    <row r="101" spans="1:8" ht="15.5">
      <c r="A101" s="8">
        <v>100</v>
      </c>
      <c r="B101" s="12" t="s">
        <v>247</v>
      </c>
      <c r="C101" s="12" t="s">
        <v>822</v>
      </c>
      <c r="D101" s="12" t="s">
        <v>835</v>
      </c>
      <c r="E101" s="28">
        <v>9194</v>
      </c>
      <c r="F101" s="28">
        <v>5834</v>
      </c>
      <c r="G101" s="28">
        <v>118200</v>
      </c>
      <c r="H101"/>
    </row>
    <row r="102" spans="1:8" ht="15.5">
      <c r="A102" s="8">
        <v>101</v>
      </c>
      <c r="B102" s="12" t="s">
        <v>244</v>
      </c>
      <c r="C102" s="12" t="s">
        <v>943</v>
      </c>
      <c r="D102" s="12" t="s">
        <v>817</v>
      </c>
      <c r="E102" s="28">
        <v>46385</v>
      </c>
      <c r="F102" s="28">
        <v>8250</v>
      </c>
      <c r="G102" s="28">
        <v>129800</v>
      </c>
      <c r="H102" s="4" t="s">
        <v>938</v>
      </c>
    </row>
    <row r="103" spans="1:8" ht="15.5">
      <c r="A103" s="8">
        <v>102</v>
      </c>
      <c r="B103" s="12" t="s">
        <v>301</v>
      </c>
      <c r="C103" s="12" t="s">
        <v>840</v>
      </c>
      <c r="D103" s="12" t="s">
        <v>817</v>
      </c>
      <c r="E103" s="28">
        <v>50193</v>
      </c>
      <c r="F103" s="28">
        <v>6177</v>
      </c>
      <c r="G103" s="28">
        <v>124100</v>
      </c>
      <c r="H103" s="4" t="s">
        <v>899</v>
      </c>
    </row>
    <row r="104" spans="1:8" ht="15.5">
      <c r="A104" s="8">
        <v>103</v>
      </c>
      <c r="B104" s="12" t="s">
        <v>417</v>
      </c>
      <c r="C104" s="12" t="s">
        <v>827</v>
      </c>
      <c r="D104" s="12" t="s">
        <v>817</v>
      </c>
      <c r="E104" s="28">
        <v>39615</v>
      </c>
      <c r="F104" s="28">
        <v>5896</v>
      </c>
      <c r="G104" s="28">
        <v>138100</v>
      </c>
      <c r="H104" s="4" t="s">
        <v>899</v>
      </c>
    </row>
    <row r="105" spans="1:8" ht="15.5">
      <c r="A105" s="8">
        <v>104</v>
      </c>
      <c r="B105" s="11" t="s">
        <v>53</v>
      </c>
      <c r="C105" s="12" t="s">
        <v>1183</v>
      </c>
      <c r="D105" s="12" t="s">
        <v>835</v>
      </c>
      <c r="E105" s="28">
        <v>10477</v>
      </c>
      <c r="F105" s="28">
        <v>10614</v>
      </c>
      <c r="G105" s="28">
        <v>136500</v>
      </c>
      <c r="H105" s="4"/>
    </row>
    <row r="106" spans="1:8" ht="15.5">
      <c r="A106" s="8">
        <v>105</v>
      </c>
      <c r="B106" s="12" t="s">
        <v>199</v>
      </c>
      <c r="C106" s="12" t="s">
        <v>827</v>
      </c>
      <c r="D106" s="12" t="s">
        <v>817</v>
      </c>
      <c r="E106" s="28">
        <v>33733</v>
      </c>
      <c r="F106" s="28">
        <v>7017</v>
      </c>
      <c r="G106" s="28">
        <v>153600</v>
      </c>
      <c r="H106" s="4" t="s">
        <v>938</v>
      </c>
    </row>
    <row r="107" spans="1:8" ht="15.5">
      <c r="A107" s="8">
        <v>106</v>
      </c>
      <c r="B107" s="12" t="s">
        <v>283</v>
      </c>
      <c r="C107" s="12" t="s">
        <v>822</v>
      </c>
      <c r="D107" s="12" t="s">
        <v>817</v>
      </c>
      <c r="E107" s="28">
        <v>36408</v>
      </c>
      <c r="F107" s="28">
        <v>7044</v>
      </c>
      <c r="G107" s="28">
        <v>139000</v>
      </c>
      <c r="H107" s="4" t="s">
        <v>920</v>
      </c>
    </row>
    <row r="108" spans="1:8" ht="15.5">
      <c r="A108" s="8">
        <v>107</v>
      </c>
      <c r="B108" s="12" t="s">
        <v>105</v>
      </c>
      <c r="C108" s="12" t="s">
        <v>910</v>
      </c>
      <c r="D108" s="12" t="s">
        <v>835</v>
      </c>
      <c r="E108" s="28">
        <v>11066</v>
      </c>
      <c r="F108" s="28">
        <v>8261</v>
      </c>
      <c r="G108" s="28">
        <v>110100</v>
      </c>
      <c r="H108" s="4"/>
    </row>
    <row r="109" spans="1:8" ht="15.5">
      <c r="A109" s="8">
        <v>108</v>
      </c>
      <c r="B109" s="12" t="s">
        <v>111</v>
      </c>
      <c r="C109" s="12" t="s">
        <v>840</v>
      </c>
      <c r="D109" s="12" t="s">
        <v>817</v>
      </c>
      <c r="E109" s="28">
        <v>34737</v>
      </c>
      <c r="F109" s="28">
        <v>10986</v>
      </c>
      <c r="G109" s="28">
        <v>130100</v>
      </c>
      <c r="H109" s="4" t="s">
        <v>920</v>
      </c>
    </row>
    <row r="110" spans="1:8" ht="15.5">
      <c r="A110" s="8">
        <v>109</v>
      </c>
      <c r="B110" s="11" t="s">
        <v>45</v>
      </c>
      <c r="C110" s="12" t="s">
        <v>1199</v>
      </c>
      <c r="D110" s="12" t="s">
        <v>835</v>
      </c>
      <c r="E110" s="28">
        <v>12381</v>
      </c>
      <c r="F110" s="28">
        <v>8002</v>
      </c>
      <c r="G110" s="28">
        <v>118000</v>
      </c>
      <c r="H110" s="4"/>
    </row>
    <row r="111" spans="1:8" ht="15.5">
      <c r="A111" s="8">
        <v>110</v>
      </c>
      <c r="B111" s="12" t="s">
        <v>129</v>
      </c>
      <c r="C111" s="12" t="s">
        <v>910</v>
      </c>
      <c r="D111" s="12" t="s">
        <v>835</v>
      </c>
      <c r="E111" s="28">
        <v>9986</v>
      </c>
      <c r="F111" s="28">
        <v>6526</v>
      </c>
      <c r="G111" s="28">
        <v>105500</v>
      </c>
      <c r="H111" s="4"/>
    </row>
    <row r="112" spans="1:8" ht="15.5">
      <c r="A112" s="8">
        <v>111</v>
      </c>
      <c r="B112" s="12" t="s">
        <v>419</v>
      </c>
      <c r="C112" s="12" t="s">
        <v>1183</v>
      </c>
      <c r="D112" s="12" t="s">
        <v>817</v>
      </c>
      <c r="E112" s="28">
        <v>46160</v>
      </c>
      <c r="F112" s="28">
        <v>6626</v>
      </c>
      <c r="G112" s="28">
        <v>121800</v>
      </c>
      <c r="H112" s="4" t="s">
        <v>899</v>
      </c>
    </row>
    <row r="113" spans="1:8" ht="15.5">
      <c r="A113" s="8">
        <v>112</v>
      </c>
      <c r="B113" s="11" t="s">
        <v>57</v>
      </c>
      <c r="C113" s="12" t="s">
        <v>1199</v>
      </c>
      <c r="D113" s="12" t="s">
        <v>835</v>
      </c>
      <c r="E113" s="28">
        <v>15279</v>
      </c>
      <c r="F113" s="28">
        <v>6934</v>
      </c>
      <c r="G113" s="28">
        <v>119300</v>
      </c>
      <c r="H113" s="4"/>
    </row>
    <row r="114" spans="1:8" ht="15.5">
      <c r="A114" s="8">
        <v>113</v>
      </c>
      <c r="B114" s="2" t="s">
        <v>166</v>
      </c>
      <c r="C114" s="12" t="s">
        <v>1214</v>
      </c>
      <c r="D114" s="12" t="s">
        <v>835</v>
      </c>
      <c r="E114" s="28">
        <v>10561</v>
      </c>
      <c r="F114" s="28">
        <v>9429</v>
      </c>
      <c r="G114" s="28">
        <v>116700</v>
      </c>
      <c r="H114" s="4"/>
    </row>
    <row r="115" spans="1:8" ht="15.5">
      <c r="A115" s="8">
        <v>114</v>
      </c>
      <c r="B115" s="12" t="s">
        <v>203</v>
      </c>
      <c r="C115" s="12" t="s">
        <v>1000</v>
      </c>
      <c r="D115" s="12" t="s">
        <v>817</v>
      </c>
      <c r="E115" s="28">
        <v>29102</v>
      </c>
      <c r="F115" s="28">
        <v>9058</v>
      </c>
      <c r="G115" s="28">
        <v>128000</v>
      </c>
      <c r="H115" s="4" t="s">
        <v>1221</v>
      </c>
    </row>
    <row r="116" spans="1:8" ht="15.5">
      <c r="A116" s="8">
        <v>115</v>
      </c>
      <c r="B116" s="12" t="s">
        <v>121</v>
      </c>
      <c r="C116" s="12" t="s">
        <v>851</v>
      </c>
      <c r="D116" s="12" t="s">
        <v>835</v>
      </c>
      <c r="E116" s="28">
        <v>11457</v>
      </c>
      <c r="F116" s="28">
        <v>6375</v>
      </c>
      <c r="G116" s="28">
        <v>123300</v>
      </c>
      <c r="H116" s="4"/>
    </row>
    <row r="117" spans="1:8" ht="15.5">
      <c r="A117" s="8">
        <v>116</v>
      </c>
      <c r="B117" s="11" t="s">
        <v>130</v>
      </c>
      <c r="C117" s="12" t="s">
        <v>926</v>
      </c>
      <c r="D117" s="12" t="s">
        <v>835</v>
      </c>
      <c r="E117" s="28">
        <v>11545</v>
      </c>
      <c r="F117" s="28">
        <v>9167</v>
      </c>
      <c r="G117" s="28">
        <v>119500</v>
      </c>
      <c r="H117" s="4"/>
    </row>
    <row r="118" spans="1:8" ht="15.5">
      <c r="A118" s="8">
        <v>117</v>
      </c>
      <c r="B118" s="12" t="s">
        <v>173</v>
      </c>
      <c r="C118" s="12" t="s">
        <v>1229</v>
      </c>
      <c r="D118" s="12" t="s">
        <v>835</v>
      </c>
      <c r="E118" s="28">
        <v>9791</v>
      </c>
      <c r="F118" s="28">
        <v>9579</v>
      </c>
      <c r="G118" s="28">
        <v>123300</v>
      </c>
      <c r="H118" s="4"/>
    </row>
    <row r="119" spans="1:8" ht="15.5">
      <c r="A119" s="8">
        <v>118</v>
      </c>
      <c r="B119" s="12" t="s">
        <v>163</v>
      </c>
      <c r="C119" s="12" t="s">
        <v>840</v>
      </c>
      <c r="D119" s="12" t="s">
        <v>817</v>
      </c>
      <c r="E119" s="28">
        <v>33129</v>
      </c>
      <c r="F119" s="28">
        <v>9406</v>
      </c>
      <c r="G119" s="28">
        <v>138500</v>
      </c>
      <c r="H119" s="4" t="s">
        <v>1235</v>
      </c>
    </row>
    <row r="120" spans="1:8" ht="15.5">
      <c r="A120" s="8">
        <v>119</v>
      </c>
      <c r="B120" s="12" t="s">
        <v>81</v>
      </c>
      <c r="C120" s="12" t="s">
        <v>1236</v>
      </c>
      <c r="D120" s="12" t="s">
        <v>835</v>
      </c>
      <c r="E120" s="28">
        <v>9260</v>
      </c>
      <c r="F120" s="28">
        <v>7622</v>
      </c>
      <c r="G120" s="28">
        <v>124000</v>
      </c>
      <c r="H120" s="4"/>
    </row>
    <row r="121" spans="1:8" ht="15.5">
      <c r="A121" s="8">
        <v>120</v>
      </c>
      <c r="B121" s="12" t="s">
        <v>1240</v>
      </c>
      <c r="C121" s="12" t="s">
        <v>840</v>
      </c>
      <c r="D121" s="12" t="s">
        <v>835</v>
      </c>
      <c r="E121" s="28">
        <v>9822</v>
      </c>
      <c r="F121" s="28">
        <v>8089</v>
      </c>
      <c r="G121" s="28">
        <v>110500</v>
      </c>
      <c r="H121" s="4"/>
    </row>
    <row r="122" spans="1:8" ht="15.5">
      <c r="A122" s="8">
        <v>121</v>
      </c>
      <c r="B122" s="12" t="s">
        <v>517</v>
      </c>
      <c r="C122" s="12" t="s">
        <v>872</v>
      </c>
      <c r="D122" s="12" t="s">
        <v>817</v>
      </c>
      <c r="E122" s="28">
        <v>35712</v>
      </c>
      <c r="F122" s="28">
        <v>7444</v>
      </c>
      <c r="G122" s="28">
        <v>128200</v>
      </c>
      <c r="H122" s="4" t="s">
        <v>920</v>
      </c>
    </row>
    <row r="123" spans="1:8" ht="15.5">
      <c r="A123" s="8">
        <v>122</v>
      </c>
      <c r="B123" s="12" t="s">
        <v>422</v>
      </c>
      <c r="C123" s="12" t="s">
        <v>840</v>
      </c>
      <c r="D123" s="12" t="s">
        <v>817</v>
      </c>
      <c r="E123" s="28">
        <v>45748</v>
      </c>
      <c r="F123" s="28">
        <v>7660</v>
      </c>
      <c r="G123" s="28">
        <v>124000</v>
      </c>
      <c r="H123" s="4" t="s">
        <v>938</v>
      </c>
    </row>
    <row r="124" spans="1:8" ht="15.5">
      <c r="A124" s="8">
        <v>123</v>
      </c>
      <c r="B124" s="12" t="s">
        <v>1249</v>
      </c>
      <c r="C124" s="12" t="s">
        <v>816</v>
      </c>
      <c r="D124" s="12" t="s">
        <v>835</v>
      </c>
      <c r="E124" s="28">
        <v>11826</v>
      </c>
      <c r="F124" s="28">
        <v>10030</v>
      </c>
      <c r="G124" s="28">
        <v>122400</v>
      </c>
      <c r="H124" s="4"/>
    </row>
    <row r="125" spans="1:8" ht="15.5">
      <c r="A125" s="8">
        <v>124</v>
      </c>
      <c r="B125" s="12" t="s">
        <v>175</v>
      </c>
      <c r="C125" s="12" t="s">
        <v>840</v>
      </c>
      <c r="D125" s="12" t="s">
        <v>817</v>
      </c>
      <c r="E125" s="28">
        <v>38636</v>
      </c>
      <c r="F125" s="28">
        <v>10092</v>
      </c>
      <c r="G125" s="28">
        <v>159100</v>
      </c>
      <c r="H125" s="4" t="s">
        <v>1235</v>
      </c>
    </row>
    <row r="126" spans="1:8" ht="15.5">
      <c r="A126" s="8">
        <v>125</v>
      </c>
      <c r="B126" s="12" t="s">
        <v>290</v>
      </c>
      <c r="C126" s="12" t="s">
        <v>822</v>
      </c>
      <c r="D126" s="12" t="s">
        <v>817</v>
      </c>
      <c r="E126" s="28">
        <v>32348</v>
      </c>
      <c r="F126" s="28">
        <v>8440</v>
      </c>
      <c r="G126" s="28">
        <v>123400</v>
      </c>
      <c r="H126" s="4" t="s">
        <v>920</v>
      </c>
    </row>
    <row r="127" spans="1:8" ht="15.5">
      <c r="A127" s="8">
        <v>126</v>
      </c>
      <c r="B127" s="12" t="s">
        <v>1259</v>
      </c>
      <c r="C127" s="12" t="s">
        <v>851</v>
      </c>
      <c r="D127" s="12" t="s">
        <v>835</v>
      </c>
      <c r="E127" s="28">
        <v>14858</v>
      </c>
      <c r="F127" s="28">
        <v>6970</v>
      </c>
      <c r="G127" s="28">
        <v>117400</v>
      </c>
      <c r="H127" s="4"/>
    </row>
    <row r="128" spans="1:8" ht="15.5">
      <c r="A128" s="8">
        <v>127</v>
      </c>
      <c r="B128" s="12" t="s">
        <v>135</v>
      </c>
      <c r="C128" s="12" t="s">
        <v>1263</v>
      </c>
      <c r="D128" s="12" t="s">
        <v>835</v>
      </c>
      <c r="E128" s="28">
        <v>12375</v>
      </c>
      <c r="F128" s="28">
        <v>10580</v>
      </c>
      <c r="G128" s="28">
        <v>127600</v>
      </c>
      <c r="H128" s="4"/>
    </row>
    <row r="129" spans="1:8" ht="15.5">
      <c r="A129" s="8">
        <v>128</v>
      </c>
      <c r="B129" s="11" t="s">
        <v>101</v>
      </c>
      <c r="C129" s="12" t="s">
        <v>827</v>
      </c>
      <c r="D129" s="12" t="s">
        <v>835</v>
      </c>
      <c r="E129" s="28">
        <v>12350</v>
      </c>
      <c r="F129" s="28">
        <v>8481</v>
      </c>
      <c r="G129" s="28">
        <v>122300</v>
      </c>
      <c r="H129" s="4"/>
    </row>
    <row r="130" spans="1:8" ht="15.5">
      <c r="A130" s="8">
        <v>129</v>
      </c>
      <c r="B130" s="12" t="s">
        <v>347</v>
      </c>
      <c r="C130" s="12" t="s">
        <v>844</v>
      </c>
      <c r="D130" s="12" t="s">
        <v>817</v>
      </c>
      <c r="E130" s="28">
        <v>39554</v>
      </c>
      <c r="F130" s="28">
        <v>7388</v>
      </c>
      <c r="G130" s="28">
        <v>115700</v>
      </c>
      <c r="H130" s="4" t="s">
        <v>938</v>
      </c>
    </row>
    <row r="131" spans="1:8" ht="15.5">
      <c r="A131" s="8">
        <v>130</v>
      </c>
      <c r="B131" s="12" t="s">
        <v>1274</v>
      </c>
      <c r="C131" s="12" t="s">
        <v>840</v>
      </c>
      <c r="D131" s="12" t="s">
        <v>835</v>
      </c>
      <c r="E131" s="28">
        <v>9325</v>
      </c>
      <c r="F131" s="28">
        <v>7182</v>
      </c>
      <c r="G131" s="28">
        <v>113100</v>
      </c>
      <c r="H131" s="4"/>
    </row>
    <row r="132" spans="1:8" ht="15.5">
      <c r="A132" s="8">
        <v>131</v>
      </c>
      <c r="B132" s="11" t="s">
        <v>126</v>
      </c>
      <c r="C132" s="12" t="s">
        <v>858</v>
      </c>
      <c r="D132" s="12" t="s">
        <v>835</v>
      </c>
      <c r="E132" s="28">
        <v>13813</v>
      </c>
      <c r="F132" s="28">
        <v>7514</v>
      </c>
      <c r="G132" s="28">
        <v>121600</v>
      </c>
      <c r="H132" s="4"/>
    </row>
    <row r="133" spans="1:8" ht="15.5">
      <c r="A133" s="8">
        <v>132</v>
      </c>
      <c r="B133" s="12" t="s">
        <v>316</v>
      </c>
      <c r="C133" s="12" t="s">
        <v>822</v>
      </c>
      <c r="D133" s="12" t="s">
        <v>817</v>
      </c>
      <c r="E133" s="28">
        <v>20901</v>
      </c>
      <c r="F133" s="28">
        <v>8634</v>
      </c>
      <c r="G133" s="28">
        <v>144000</v>
      </c>
      <c r="H133" s="4" t="s">
        <v>920</v>
      </c>
    </row>
    <row r="134" spans="1:8" ht="15.5">
      <c r="A134" s="8">
        <v>133</v>
      </c>
      <c r="B134" s="12" t="s">
        <v>526</v>
      </c>
      <c r="C134" s="12" t="s">
        <v>1236</v>
      </c>
      <c r="D134" s="12" t="s">
        <v>817</v>
      </c>
      <c r="E134" s="28">
        <v>33657</v>
      </c>
      <c r="F134" s="28">
        <v>7658</v>
      </c>
      <c r="G134" s="28">
        <v>128400</v>
      </c>
      <c r="H134" s="4" t="s">
        <v>1221</v>
      </c>
    </row>
    <row r="135" spans="1:8" ht="15.5">
      <c r="A135" s="8">
        <v>134</v>
      </c>
      <c r="B135" s="12" t="s">
        <v>123</v>
      </c>
      <c r="C135" s="12" t="s">
        <v>840</v>
      </c>
      <c r="D135" s="12" t="s">
        <v>835</v>
      </c>
      <c r="E135" s="28">
        <v>8521</v>
      </c>
      <c r="F135" s="28">
        <v>7839</v>
      </c>
      <c r="G135" s="28">
        <v>114500</v>
      </c>
      <c r="H135" s="4"/>
    </row>
    <row r="136" spans="1:8" ht="15.5">
      <c r="A136" s="8">
        <v>135</v>
      </c>
      <c r="B136" s="12" t="s">
        <v>269</v>
      </c>
      <c r="C136" s="12" t="s">
        <v>827</v>
      </c>
      <c r="D136" s="12" t="s">
        <v>817</v>
      </c>
      <c r="E136" s="28">
        <v>49109</v>
      </c>
      <c r="F136" s="28">
        <v>4482</v>
      </c>
      <c r="G136" s="28">
        <v>119900</v>
      </c>
      <c r="H136" s="4" t="s">
        <v>821</v>
      </c>
    </row>
    <row r="137" spans="1:8" ht="15.5">
      <c r="A137" s="8">
        <v>136</v>
      </c>
      <c r="B137" s="12" t="s">
        <v>253</v>
      </c>
      <c r="C137" s="12" t="s">
        <v>943</v>
      </c>
      <c r="D137" s="12" t="s">
        <v>835</v>
      </c>
      <c r="E137" s="28">
        <v>10081</v>
      </c>
      <c r="F137" s="28">
        <v>9063</v>
      </c>
      <c r="G137" s="28">
        <v>125700</v>
      </c>
      <c r="H137" s="4"/>
    </row>
    <row r="138" spans="1:8" ht="15.5">
      <c r="A138" s="8">
        <v>137</v>
      </c>
      <c r="B138" s="12" t="s">
        <v>197</v>
      </c>
      <c r="C138" s="12" t="s">
        <v>822</v>
      </c>
      <c r="D138" s="12" t="s">
        <v>835</v>
      </c>
      <c r="E138" s="28">
        <v>9830</v>
      </c>
      <c r="F138" s="28">
        <v>5550</v>
      </c>
      <c r="G138" s="28">
        <v>118700</v>
      </c>
      <c r="H138" s="4"/>
    </row>
    <row r="139" spans="1:8" ht="15.5">
      <c r="A139" s="8">
        <v>138</v>
      </c>
      <c r="B139" s="12" t="s">
        <v>146</v>
      </c>
      <c r="C139" s="12" t="s">
        <v>910</v>
      </c>
      <c r="D139" s="12" t="s">
        <v>835</v>
      </c>
      <c r="E139" s="28">
        <v>11087</v>
      </c>
      <c r="F139" s="28">
        <v>5614</v>
      </c>
      <c r="G139" s="28">
        <v>106900</v>
      </c>
      <c r="H139" s="4"/>
    </row>
    <row r="140" spans="1:8" ht="15.5">
      <c r="A140" s="8">
        <v>139</v>
      </c>
      <c r="B140" s="12" t="s">
        <v>144</v>
      </c>
      <c r="C140" s="12" t="s">
        <v>1303</v>
      </c>
      <c r="D140" s="12" t="s">
        <v>835</v>
      </c>
      <c r="E140" s="28">
        <v>12374</v>
      </c>
      <c r="F140" s="28">
        <v>8404</v>
      </c>
      <c r="G140" s="28">
        <v>119500</v>
      </c>
      <c r="H140" s="4"/>
    </row>
    <row r="141" spans="1:8" ht="15.5">
      <c r="A141" s="8">
        <v>140</v>
      </c>
      <c r="B141" s="12" t="s">
        <v>366</v>
      </c>
      <c r="C141" s="12" t="s">
        <v>1124</v>
      </c>
      <c r="D141" s="12" t="s">
        <v>817</v>
      </c>
      <c r="E141" s="28">
        <v>37226</v>
      </c>
      <c r="F141" s="28">
        <v>7029</v>
      </c>
      <c r="G141" s="28">
        <v>132500</v>
      </c>
      <c r="H141" s="4" t="s">
        <v>899</v>
      </c>
    </row>
    <row r="142" spans="1:8" ht="15.5">
      <c r="A142" s="8">
        <v>141</v>
      </c>
      <c r="B142" s="12" t="s">
        <v>160</v>
      </c>
      <c r="C142" s="12" t="s">
        <v>934</v>
      </c>
      <c r="D142" s="12" t="s">
        <v>817</v>
      </c>
      <c r="E142" s="28">
        <v>27138</v>
      </c>
      <c r="F142" s="28">
        <v>9129</v>
      </c>
      <c r="G142" s="28">
        <v>129900</v>
      </c>
      <c r="H142" s="4" t="s">
        <v>920</v>
      </c>
    </row>
    <row r="143" spans="1:8" ht="15.5">
      <c r="A143" s="8">
        <v>142</v>
      </c>
      <c r="B143" s="11" t="s">
        <v>137</v>
      </c>
      <c r="C143" s="12" t="s">
        <v>872</v>
      </c>
      <c r="D143" s="12" t="s">
        <v>835</v>
      </c>
      <c r="E143" s="28">
        <v>10593</v>
      </c>
      <c r="F143" s="28">
        <v>10094</v>
      </c>
      <c r="G143" s="28">
        <v>110500</v>
      </c>
      <c r="H143" s="4"/>
    </row>
    <row r="144" spans="1:8" ht="15.5">
      <c r="A144" s="8">
        <v>143</v>
      </c>
      <c r="B144" s="12" t="s">
        <v>72</v>
      </c>
      <c r="C144" s="12" t="s">
        <v>844</v>
      </c>
      <c r="D144" s="12" t="s">
        <v>835</v>
      </c>
      <c r="E144" s="28">
        <v>10919</v>
      </c>
      <c r="F144" s="28">
        <v>10081</v>
      </c>
      <c r="G144" s="28">
        <v>121200</v>
      </c>
      <c r="H144" s="4"/>
    </row>
    <row r="145" spans="1:8" ht="15.5">
      <c r="A145" s="8">
        <v>144</v>
      </c>
      <c r="B145" s="12" t="s">
        <v>106</v>
      </c>
      <c r="C145" s="12" t="s">
        <v>979</v>
      </c>
      <c r="D145" s="12" t="s">
        <v>835</v>
      </c>
      <c r="E145" s="28">
        <v>10689</v>
      </c>
      <c r="F145" s="28">
        <v>6714</v>
      </c>
      <c r="G145" s="28">
        <v>124000</v>
      </c>
      <c r="H145" s="4"/>
    </row>
    <row r="146" spans="1:8" ht="15.5">
      <c r="A146" s="8">
        <v>145</v>
      </c>
      <c r="B146" s="12" t="s">
        <v>322</v>
      </c>
      <c r="C146" s="12" t="s">
        <v>906</v>
      </c>
      <c r="D146" s="12" t="s">
        <v>817</v>
      </c>
      <c r="E146" s="28">
        <v>61714</v>
      </c>
      <c r="F146" s="28">
        <v>8426</v>
      </c>
      <c r="G146" s="28">
        <v>128500</v>
      </c>
      <c r="H146" s="4" t="s">
        <v>899</v>
      </c>
    </row>
    <row r="147" spans="1:8" ht="15.5">
      <c r="A147" s="8">
        <v>146</v>
      </c>
      <c r="B147" s="12" t="s">
        <v>150</v>
      </c>
      <c r="C147" s="12" t="s">
        <v>844</v>
      </c>
      <c r="D147" s="12" t="s">
        <v>817</v>
      </c>
      <c r="E147" s="28">
        <v>33861</v>
      </c>
      <c r="F147" s="28">
        <v>10865</v>
      </c>
      <c r="G147" s="28">
        <v>132600</v>
      </c>
      <c r="H147" s="4" t="s">
        <v>1235</v>
      </c>
    </row>
    <row r="148" spans="1:8" ht="15.5">
      <c r="A148" s="8">
        <v>147</v>
      </c>
      <c r="B148" s="12" t="s">
        <v>176</v>
      </c>
      <c r="C148" s="12" t="s">
        <v>1303</v>
      </c>
      <c r="D148" s="12" t="s">
        <v>817</v>
      </c>
      <c r="E148" s="28">
        <v>30747</v>
      </c>
      <c r="F148" s="28">
        <v>8283</v>
      </c>
      <c r="G148" s="28">
        <v>133200</v>
      </c>
      <c r="H148" s="4" t="s">
        <v>830</v>
      </c>
    </row>
    <row r="149" spans="1:8" ht="15.5">
      <c r="A149" s="8">
        <v>148</v>
      </c>
      <c r="B149" s="12" t="s">
        <v>113</v>
      </c>
      <c r="C149" s="12" t="s">
        <v>1236</v>
      </c>
      <c r="D149" s="12" t="s">
        <v>835</v>
      </c>
      <c r="E149" s="28">
        <v>9767</v>
      </c>
      <c r="F149" s="28">
        <v>7821</v>
      </c>
      <c r="G149" s="28">
        <v>119500</v>
      </c>
      <c r="H149" s="4"/>
    </row>
    <row r="150" spans="1:8" ht="15.5">
      <c r="A150" s="8">
        <v>149</v>
      </c>
      <c r="B150" s="12" t="s">
        <v>374</v>
      </c>
      <c r="C150" s="12" t="s">
        <v>1164</v>
      </c>
      <c r="D150" s="12" t="s">
        <v>817</v>
      </c>
      <c r="E150" s="28">
        <v>36384</v>
      </c>
      <c r="F150" s="28">
        <v>7962</v>
      </c>
      <c r="G150" s="28">
        <v>121000</v>
      </c>
      <c r="H150" s="4" t="s">
        <v>938</v>
      </c>
    </row>
    <row r="151" spans="1:8" ht="15.5">
      <c r="A151" s="8">
        <v>150</v>
      </c>
      <c r="B151" s="12" t="s">
        <v>379</v>
      </c>
      <c r="C151" s="12" t="s">
        <v>816</v>
      </c>
      <c r="D151" s="12" t="s">
        <v>817</v>
      </c>
      <c r="E151" s="28">
        <v>31949</v>
      </c>
      <c r="F151" s="28">
        <v>10599</v>
      </c>
      <c r="G151" s="28">
        <v>168700</v>
      </c>
      <c r="H151" s="4" t="s">
        <v>1336</v>
      </c>
    </row>
    <row r="152" spans="1:8" ht="15.5">
      <c r="A152" s="8">
        <v>151</v>
      </c>
      <c r="B152" s="12" t="s">
        <v>134</v>
      </c>
      <c r="C152" s="12" t="s">
        <v>1428</v>
      </c>
      <c r="D152" s="12" t="s">
        <v>835</v>
      </c>
      <c r="E152" s="28">
        <v>11140</v>
      </c>
      <c r="F152" s="28">
        <v>6880</v>
      </c>
      <c r="G152" s="28">
        <v>118100</v>
      </c>
      <c r="H152"/>
    </row>
    <row r="153" spans="1:8" ht="15.5">
      <c r="A153" s="8">
        <v>152</v>
      </c>
      <c r="B153" s="12" t="s">
        <v>186</v>
      </c>
      <c r="C153" s="12" t="s">
        <v>851</v>
      </c>
      <c r="D153" s="12" t="s">
        <v>817</v>
      </c>
      <c r="E153" s="28">
        <v>22553</v>
      </c>
      <c r="F153" s="28">
        <v>14404</v>
      </c>
      <c r="G153" s="28">
        <v>123300</v>
      </c>
      <c r="H153" s="4" t="s">
        <v>821</v>
      </c>
    </row>
    <row r="154" spans="1:8" ht="15.5">
      <c r="A154" s="8">
        <v>153</v>
      </c>
      <c r="B154" s="12" t="s">
        <v>402</v>
      </c>
      <c r="C154" s="12" t="s">
        <v>979</v>
      </c>
      <c r="D154" s="12" t="s">
        <v>817</v>
      </c>
      <c r="E154" s="28">
        <v>27601</v>
      </c>
      <c r="F154" s="28">
        <v>8172</v>
      </c>
      <c r="G154" s="28">
        <v>133500</v>
      </c>
      <c r="H154" s="4" t="s">
        <v>920</v>
      </c>
    </row>
    <row r="155" spans="1:8" ht="15.5">
      <c r="A155" s="8">
        <v>154</v>
      </c>
      <c r="B155" s="12" t="s">
        <v>95</v>
      </c>
      <c r="C155" s="12" t="s">
        <v>1104</v>
      </c>
      <c r="D155" s="12" t="s">
        <v>835</v>
      </c>
      <c r="E155" s="28">
        <v>11043</v>
      </c>
      <c r="F155" s="28">
        <v>7620</v>
      </c>
      <c r="G155" s="28">
        <v>118800</v>
      </c>
      <c r="H155" s="4"/>
    </row>
    <row r="156" spans="1:8" ht="15.5">
      <c r="A156" s="8">
        <v>155</v>
      </c>
      <c r="B156" s="12" t="s">
        <v>94</v>
      </c>
      <c r="C156" s="12" t="s">
        <v>1104</v>
      </c>
      <c r="D156" s="12" t="s">
        <v>835</v>
      </c>
      <c r="E156" s="28">
        <v>9959</v>
      </c>
      <c r="F156" s="28">
        <v>8853</v>
      </c>
      <c r="G156" s="28">
        <v>119800</v>
      </c>
      <c r="H156" s="4"/>
    </row>
    <row r="157" spans="1:8" ht="15.5">
      <c r="A157" s="8">
        <v>156</v>
      </c>
      <c r="B157" s="12" t="s">
        <v>1347</v>
      </c>
      <c r="C157" s="12" t="s">
        <v>840</v>
      </c>
      <c r="D157" s="12" t="s">
        <v>835</v>
      </c>
      <c r="E157" s="28">
        <v>8089</v>
      </c>
      <c r="F157" s="28">
        <v>7088</v>
      </c>
      <c r="G157" s="28">
        <v>116500</v>
      </c>
      <c r="H157" s="4"/>
    </row>
    <row r="158" spans="1:8" ht="15.5">
      <c r="A158" s="8">
        <v>157</v>
      </c>
      <c r="B158" s="12" t="s">
        <v>209</v>
      </c>
      <c r="C158" s="12" t="s">
        <v>1183</v>
      </c>
      <c r="D158" s="12" t="s">
        <v>817</v>
      </c>
      <c r="E158" s="28">
        <v>30954</v>
      </c>
      <c r="F158" s="28">
        <v>7961</v>
      </c>
      <c r="G158" s="28">
        <v>129700</v>
      </c>
      <c r="H158" s="4" t="s">
        <v>920</v>
      </c>
    </row>
    <row r="159" spans="1:8" ht="15.5">
      <c r="A159" s="8">
        <v>158</v>
      </c>
      <c r="B159" s="12" t="s">
        <v>188</v>
      </c>
      <c r="C159" s="12" t="s">
        <v>1352</v>
      </c>
      <c r="D159" s="12" t="s">
        <v>835</v>
      </c>
      <c r="E159" s="28">
        <v>8474</v>
      </c>
      <c r="F159" s="28">
        <v>8350</v>
      </c>
      <c r="G159" s="28">
        <v>114800</v>
      </c>
      <c r="H159" s="4"/>
    </row>
    <row r="160" spans="1:8" ht="15.5">
      <c r="A160" s="8">
        <v>159</v>
      </c>
      <c r="B160" s="12" t="s">
        <v>364</v>
      </c>
      <c r="C160" s="12" t="s">
        <v>889</v>
      </c>
      <c r="D160" s="12" t="s">
        <v>817</v>
      </c>
      <c r="E160" s="28">
        <v>13880</v>
      </c>
      <c r="F160" s="28">
        <v>9977</v>
      </c>
      <c r="G160" s="28">
        <v>110100</v>
      </c>
      <c r="H160" s="4" t="s">
        <v>920</v>
      </c>
    </row>
    <row r="161" spans="1:8" ht="15.5">
      <c r="A161" s="8">
        <v>160</v>
      </c>
      <c r="B161" s="12" t="s">
        <v>124</v>
      </c>
      <c r="C161" s="12" t="s">
        <v>1358</v>
      </c>
      <c r="D161" s="12" t="s">
        <v>835</v>
      </c>
      <c r="E161" s="28">
        <v>14114</v>
      </c>
      <c r="F161" s="28">
        <v>8420</v>
      </c>
      <c r="G161" s="28">
        <v>111700</v>
      </c>
      <c r="H161" s="4"/>
    </row>
    <row r="162" spans="1:8" ht="15.5">
      <c r="A162" s="8">
        <v>161</v>
      </c>
      <c r="B162" s="12" t="s">
        <v>431</v>
      </c>
      <c r="C162" s="12" t="s">
        <v>831</v>
      </c>
      <c r="D162" s="12" t="s">
        <v>817</v>
      </c>
      <c r="E162" s="28">
        <v>36355</v>
      </c>
      <c r="F162" s="28">
        <v>9595</v>
      </c>
      <c r="G162" s="28">
        <v>125200</v>
      </c>
      <c r="H162" s="4" t="s">
        <v>920</v>
      </c>
    </row>
    <row r="163" spans="1:8" ht="15.5">
      <c r="A163" s="8">
        <v>162</v>
      </c>
      <c r="B163" s="12" t="s">
        <v>240</v>
      </c>
      <c r="C163" s="12" t="s">
        <v>926</v>
      </c>
      <c r="D163" s="12" t="s">
        <v>817</v>
      </c>
      <c r="E163" s="28">
        <v>37006</v>
      </c>
      <c r="F163" s="28">
        <v>7390</v>
      </c>
      <c r="G163" s="28">
        <v>110500</v>
      </c>
      <c r="H163" s="4" t="s">
        <v>920</v>
      </c>
    </row>
    <row r="164" spans="1:8" ht="15.5">
      <c r="A164" s="8">
        <v>163</v>
      </c>
      <c r="B164" s="12" t="s">
        <v>141</v>
      </c>
      <c r="C164" s="12" t="s">
        <v>1164</v>
      </c>
      <c r="D164" s="12" t="s">
        <v>835</v>
      </c>
      <c r="E164" s="28">
        <v>6880</v>
      </c>
      <c r="F164" s="28">
        <v>9631</v>
      </c>
      <c r="G164" s="28">
        <v>104900</v>
      </c>
      <c r="H164" s="4"/>
    </row>
    <row r="165" spans="1:8" ht="15.5">
      <c r="A165" s="8">
        <v>164</v>
      </c>
      <c r="B165" s="12" t="s">
        <v>1368</v>
      </c>
      <c r="C165" s="12" t="s">
        <v>840</v>
      </c>
      <c r="D165" s="12" t="s">
        <v>835</v>
      </c>
      <c r="E165" s="28">
        <v>9411</v>
      </c>
      <c r="F165" s="28">
        <v>5422</v>
      </c>
      <c r="G165" s="28">
        <v>118600</v>
      </c>
      <c r="H165" s="4"/>
    </row>
    <row r="166" spans="1:8" ht="15.5">
      <c r="A166" s="8">
        <v>165</v>
      </c>
      <c r="B166" s="2" t="s">
        <v>99</v>
      </c>
      <c r="C166" s="12" t="s">
        <v>822</v>
      </c>
      <c r="D166" s="12" t="s">
        <v>817</v>
      </c>
      <c r="E166" s="28">
        <v>30916</v>
      </c>
      <c r="F166" s="28">
        <v>9671</v>
      </c>
      <c r="G166" s="28">
        <v>133600</v>
      </c>
      <c r="H166" s="4" t="s">
        <v>1235</v>
      </c>
    </row>
    <row r="167" spans="1:8" ht="15.5">
      <c r="A167" s="8">
        <v>166</v>
      </c>
      <c r="B167" s="12" t="s">
        <v>260</v>
      </c>
      <c r="C167" s="12" t="s">
        <v>827</v>
      </c>
      <c r="D167" s="12" t="s">
        <v>817</v>
      </c>
      <c r="E167" s="28">
        <v>27059</v>
      </c>
      <c r="F167" s="28">
        <v>14168</v>
      </c>
      <c r="G167" s="28">
        <v>161000</v>
      </c>
      <c r="H167" s="4" t="s">
        <v>1221</v>
      </c>
    </row>
    <row r="168" spans="1:8" ht="15.5">
      <c r="A168" s="8">
        <v>167</v>
      </c>
      <c r="B168" s="11" t="s">
        <v>205</v>
      </c>
      <c r="C168" s="12" t="s">
        <v>1379</v>
      </c>
      <c r="D168" s="12" t="s">
        <v>835</v>
      </c>
      <c r="E168" s="28">
        <v>7829</v>
      </c>
      <c r="F168" s="28">
        <v>6624</v>
      </c>
      <c r="G168" s="28">
        <v>111200</v>
      </c>
      <c r="H168" s="4"/>
    </row>
    <row r="169" spans="1:8" ht="15.5">
      <c r="A169" s="8">
        <v>168</v>
      </c>
      <c r="B169" s="12" t="s">
        <v>333</v>
      </c>
      <c r="C169" s="12" t="s">
        <v>822</v>
      </c>
      <c r="D169" s="12" t="s">
        <v>835</v>
      </c>
      <c r="E169" s="28">
        <v>7287</v>
      </c>
      <c r="F169" s="28">
        <v>6350</v>
      </c>
      <c r="G169" s="28">
        <v>119500</v>
      </c>
      <c r="H169" s="4"/>
    </row>
    <row r="170" spans="1:8" ht="15.5">
      <c r="A170" s="8">
        <v>169</v>
      </c>
      <c r="B170" s="12" t="s">
        <v>272</v>
      </c>
      <c r="C170" s="12" t="s">
        <v>1124</v>
      </c>
      <c r="D170" s="12" t="s">
        <v>817</v>
      </c>
      <c r="E170" s="28">
        <v>31920</v>
      </c>
      <c r="F170" s="28">
        <v>10921</v>
      </c>
      <c r="G170" s="28">
        <v>127300</v>
      </c>
      <c r="H170" s="4" t="s">
        <v>938</v>
      </c>
    </row>
    <row r="171" spans="1:8" ht="15.5">
      <c r="A171" s="8">
        <v>170</v>
      </c>
      <c r="B171" s="12" t="s">
        <v>443</v>
      </c>
      <c r="C171" s="12" t="s">
        <v>971</v>
      </c>
      <c r="D171" s="12" t="s">
        <v>817</v>
      </c>
      <c r="E171" s="28">
        <v>41067</v>
      </c>
      <c r="F171" s="28">
        <v>5055</v>
      </c>
      <c r="G171" s="28">
        <v>120200</v>
      </c>
      <c r="H171" s="4" t="s">
        <v>920</v>
      </c>
    </row>
    <row r="172" spans="1:8" ht="15.5">
      <c r="A172" s="8">
        <v>171</v>
      </c>
      <c r="B172" s="12" t="s">
        <v>167</v>
      </c>
      <c r="C172" s="12" t="s">
        <v>1214</v>
      </c>
      <c r="D172" s="12" t="s">
        <v>835</v>
      </c>
      <c r="E172" s="28">
        <v>10621</v>
      </c>
      <c r="F172" s="28">
        <v>7170</v>
      </c>
      <c r="G172" s="28">
        <v>117200</v>
      </c>
      <c r="H172" s="4"/>
    </row>
    <row r="173" spans="1:8" ht="15.5">
      <c r="A173" s="8">
        <v>172</v>
      </c>
      <c r="B173" s="12" t="s">
        <v>1394</v>
      </c>
      <c r="C173" s="12" t="s">
        <v>1395</v>
      </c>
      <c r="D173" s="12" t="s">
        <v>835</v>
      </c>
      <c r="E173" s="28">
        <v>7954</v>
      </c>
      <c r="F173" s="28">
        <v>6943</v>
      </c>
      <c r="G173" s="28">
        <v>110800</v>
      </c>
      <c r="H173" s="4"/>
    </row>
    <row r="174" spans="1:8" ht="15.5">
      <c r="A174" s="8">
        <v>173</v>
      </c>
      <c r="B174" s="12" t="s">
        <v>1399</v>
      </c>
      <c r="C174" s="12" t="s">
        <v>840</v>
      </c>
      <c r="D174" s="12" t="s">
        <v>817</v>
      </c>
      <c r="E174" s="28">
        <v>31882</v>
      </c>
      <c r="F174" s="28">
        <v>7319</v>
      </c>
      <c r="G174" s="28">
        <v>152400</v>
      </c>
      <c r="H174" s="4" t="s">
        <v>1235</v>
      </c>
    </row>
    <row r="175" spans="1:8" ht="15.5">
      <c r="A175" s="8">
        <v>174</v>
      </c>
      <c r="B175" s="12" t="s">
        <v>332</v>
      </c>
      <c r="C175" s="12" t="s">
        <v>862</v>
      </c>
      <c r="D175" s="12" t="s">
        <v>835</v>
      </c>
      <c r="E175" s="28">
        <v>11415</v>
      </c>
      <c r="F175" s="28">
        <v>6906</v>
      </c>
      <c r="G175" s="28">
        <v>111700</v>
      </c>
      <c r="H175" s="4"/>
    </row>
    <row r="176" spans="1:8" ht="15.5">
      <c r="A176" s="8">
        <v>175</v>
      </c>
      <c r="B176" s="12" t="s">
        <v>547</v>
      </c>
      <c r="C176" s="12" t="s">
        <v>822</v>
      </c>
      <c r="D176" s="12" t="s">
        <v>817</v>
      </c>
      <c r="E176" s="28">
        <v>39139</v>
      </c>
      <c r="F176" s="28">
        <v>6934</v>
      </c>
      <c r="G176" s="28">
        <v>144600</v>
      </c>
      <c r="H176" s="4" t="s">
        <v>1235</v>
      </c>
    </row>
    <row r="177" spans="1:8" ht="15.5">
      <c r="A177" s="8">
        <v>176</v>
      </c>
      <c r="B177" s="12" t="s">
        <v>523</v>
      </c>
      <c r="C177" s="12" t="s">
        <v>840</v>
      </c>
      <c r="D177" s="12" t="s">
        <v>817</v>
      </c>
      <c r="E177" s="28">
        <v>44093</v>
      </c>
      <c r="F177" s="28">
        <v>7932</v>
      </c>
      <c r="G177" s="28">
        <v>130900</v>
      </c>
      <c r="H177" s="4" t="s">
        <v>920</v>
      </c>
    </row>
    <row r="178" spans="1:8" ht="15.5">
      <c r="A178" s="8">
        <v>177</v>
      </c>
      <c r="B178" s="12" t="s">
        <v>354</v>
      </c>
      <c r="C178" s="12" t="s">
        <v>1236</v>
      </c>
      <c r="D178" s="12" t="s">
        <v>817</v>
      </c>
      <c r="E178" s="28">
        <v>47864</v>
      </c>
      <c r="F178" s="28">
        <v>6315</v>
      </c>
      <c r="G178" s="28">
        <v>138400</v>
      </c>
      <c r="H178" s="4" t="s">
        <v>938</v>
      </c>
    </row>
    <row r="179" spans="1:8" ht="15.5">
      <c r="A179" s="8">
        <v>178</v>
      </c>
      <c r="B179" s="12" t="s">
        <v>554</v>
      </c>
      <c r="C179" s="12" t="s">
        <v>922</v>
      </c>
      <c r="D179" s="12" t="s">
        <v>817</v>
      </c>
      <c r="E179" s="28">
        <v>41855</v>
      </c>
      <c r="F179" s="28">
        <v>7426</v>
      </c>
      <c r="G179" s="28">
        <v>129500</v>
      </c>
      <c r="H179" s="4" t="s">
        <v>920</v>
      </c>
    </row>
    <row r="180" spans="1:8" ht="15.5">
      <c r="A180" s="8">
        <v>179</v>
      </c>
      <c r="B180" s="12" t="s">
        <v>311</v>
      </c>
      <c r="C180" s="12" t="s">
        <v>1416</v>
      </c>
      <c r="D180" s="12" t="s">
        <v>817</v>
      </c>
      <c r="E180" s="28">
        <v>26918</v>
      </c>
      <c r="F180" s="28">
        <v>8720</v>
      </c>
      <c r="G180" s="28">
        <v>112500</v>
      </c>
      <c r="H180" s="4" t="s">
        <v>920</v>
      </c>
    </row>
    <row r="181" spans="1:8" ht="15.5">
      <c r="A181" s="8">
        <v>180</v>
      </c>
      <c r="B181" s="12" t="s">
        <v>285</v>
      </c>
      <c r="C181" s="12" t="s">
        <v>844</v>
      </c>
      <c r="D181" s="12" t="s">
        <v>817</v>
      </c>
      <c r="E181" s="28">
        <v>36618</v>
      </c>
      <c r="F181" s="28">
        <v>6470</v>
      </c>
      <c r="G181" s="28">
        <v>118000</v>
      </c>
      <c r="H181" s="4" t="s">
        <v>826</v>
      </c>
    </row>
    <row r="182" spans="1:8" ht="15.5">
      <c r="A182" s="8">
        <v>181</v>
      </c>
      <c r="B182" s="12" t="s">
        <v>157</v>
      </c>
      <c r="C182" s="12" t="s">
        <v>1004</v>
      </c>
      <c r="D182" s="12" t="s">
        <v>835</v>
      </c>
      <c r="E182" s="28">
        <v>19189</v>
      </c>
      <c r="F182" s="28">
        <v>9995</v>
      </c>
      <c r="G182" s="28">
        <v>120400</v>
      </c>
      <c r="H182" s="4"/>
    </row>
    <row r="183" spans="1:8" ht="15.5">
      <c r="A183" s="8">
        <v>182</v>
      </c>
      <c r="B183" s="11" t="s">
        <v>168</v>
      </c>
      <c r="C183" s="12" t="s">
        <v>1229</v>
      </c>
      <c r="D183" s="12" t="s">
        <v>835</v>
      </c>
      <c r="E183" s="28">
        <v>15683</v>
      </c>
      <c r="F183" s="28">
        <v>10694</v>
      </c>
      <c r="G183" s="28">
        <v>113100</v>
      </c>
      <c r="H183" s="4"/>
    </row>
    <row r="184" spans="1:8" ht="15.5">
      <c r="A184" s="8">
        <v>183</v>
      </c>
      <c r="B184" s="12" t="s">
        <v>204</v>
      </c>
      <c r="C184" s="12" t="s">
        <v>1428</v>
      </c>
      <c r="D184" s="12" t="s">
        <v>835</v>
      </c>
      <c r="E184" s="28">
        <v>8537</v>
      </c>
      <c r="F184" s="28">
        <v>6911</v>
      </c>
      <c r="G184" s="28">
        <v>114800</v>
      </c>
      <c r="H184" s="4"/>
    </row>
    <row r="185" spans="1:8" ht="15.5">
      <c r="A185" s="8">
        <v>184</v>
      </c>
      <c r="B185" s="12" t="s">
        <v>362</v>
      </c>
      <c r="C185" s="12" t="s">
        <v>822</v>
      </c>
      <c r="D185" s="12" t="s">
        <v>817</v>
      </c>
      <c r="E185" s="28">
        <v>42386</v>
      </c>
      <c r="F185" s="28">
        <v>7481</v>
      </c>
      <c r="G185" s="28">
        <v>179600</v>
      </c>
      <c r="H185" s="4" t="s">
        <v>899</v>
      </c>
    </row>
    <row r="186" spans="1:8" ht="15.5">
      <c r="A186" s="8">
        <v>185</v>
      </c>
      <c r="B186" s="12" t="s">
        <v>335</v>
      </c>
      <c r="C186" s="12" t="s">
        <v>822</v>
      </c>
      <c r="D186" s="12" t="s">
        <v>835</v>
      </c>
      <c r="E186" s="28">
        <v>9968</v>
      </c>
      <c r="F186" s="28">
        <v>5178</v>
      </c>
      <c r="G186" s="28">
        <v>118600</v>
      </c>
      <c r="H186" s="4"/>
    </row>
    <row r="187" spans="1:8" ht="15.5">
      <c r="A187" s="8">
        <v>186</v>
      </c>
      <c r="B187" s="12" t="s">
        <v>418</v>
      </c>
      <c r="C187" s="12" t="s">
        <v>827</v>
      </c>
      <c r="D187" s="12" t="s">
        <v>817</v>
      </c>
      <c r="E187" s="28">
        <v>30733</v>
      </c>
      <c r="F187" s="28">
        <v>11610</v>
      </c>
      <c r="G187" s="28">
        <v>144800</v>
      </c>
      <c r="H187" s="4" t="s">
        <v>1221</v>
      </c>
    </row>
    <row r="188" spans="1:8" ht="15.5">
      <c r="A188" s="8">
        <v>187</v>
      </c>
      <c r="B188" s="12" t="s">
        <v>115</v>
      </c>
      <c r="C188" s="12" t="s">
        <v>822</v>
      </c>
      <c r="D188" s="12" t="s">
        <v>835</v>
      </c>
      <c r="E188" s="28">
        <v>21202</v>
      </c>
      <c r="F188" s="28">
        <v>6519</v>
      </c>
      <c r="G188" s="28">
        <v>132000</v>
      </c>
      <c r="H188" s="4"/>
    </row>
    <row r="189" spans="1:8" ht="15.5">
      <c r="A189" s="8">
        <v>188</v>
      </c>
      <c r="B189" s="12" t="s">
        <v>215</v>
      </c>
      <c r="C189" s="12" t="s">
        <v>910</v>
      </c>
      <c r="D189" s="12" t="s">
        <v>835</v>
      </c>
      <c r="E189" s="28">
        <v>10334</v>
      </c>
      <c r="F189" s="28">
        <v>6926</v>
      </c>
      <c r="G189" s="28">
        <v>106300</v>
      </c>
      <c r="H189" s="4"/>
    </row>
    <row r="190" spans="1:8" ht="15.5">
      <c r="A190" s="8">
        <v>189</v>
      </c>
      <c r="B190" s="12" t="s">
        <v>229</v>
      </c>
      <c r="C190" s="12" t="s">
        <v>1445</v>
      </c>
      <c r="D190" s="12" t="s">
        <v>835</v>
      </c>
      <c r="E190" s="28">
        <v>8942</v>
      </c>
      <c r="F190" s="28">
        <v>8184</v>
      </c>
      <c r="G190" s="28">
        <v>109800</v>
      </c>
      <c r="H190" s="4"/>
    </row>
    <row r="191" spans="1:8" ht="15.5">
      <c r="A191" s="8">
        <v>190</v>
      </c>
      <c r="B191" s="12" t="s">
        <v>561</v>
      </c>
      <c r="C191" s="12" t="s">
        <v>1164</v>
      </c>
      <c r="D191" s="12" t="s">
        <v>817</v>
      </c>
      <c r="E191" s="28">
        <v>36005</v>
      </c>
      <c r="F191" s="28">
        <v>8264</v>
      </c>
      <c r="G191" s="28">
        <v>129400</v>
      </c>
      <c r="H191" s="4" t="s">
        <v>920</v>
      </c>
    </row>
    <row r="192" spans="1:8" ht="15.5">
      <c r="A192" s="8">
        <v>191</v>
      </c>
      <c r="B192" s="11" t="s">
        <v>77</v>
      </c>
      <c r="C192" s="12" t="s">
        <v>1416</v>
      </c>
      <c r="D192" s="12" t="s">
        <v>835</v>
      </c>
      <c r="E192" s="28">
        <v>10941</v>
      </c>
      <c r="F192" s="28">
        <v>6553</v>
      </c>
      <c r="G192" s="28">
        <v>117000</v>
      </c>
      <c r="H192" s="4"/>
    </row>
    <row r="193" spans="1:8" ht="15.5">
      <c r="A193" s="8">
        <v>192</v>
      </c>
      <c r="B193" s="12" t="s">
        <v>149</v>
      </c>
      <c r="C193" s="12" t="s">
        <v>844</v>
      </c>
      <c r="D193" s="12" t="s">
        <v>835</v>
      </c>
      <c r="E193" s="28">
        <v>11575</v>
      </c>
      <c r="F193" s="28">
        <v>10571</v>
      </c>
      <c r="G193" s="28">
        <v>113900</v>
      </c>
      <c r="H193" s="4"/>
    </row>
    <row r="194" spans="1:8" ht="15.5">
      <c r="A194" s="8">
        <v>193</v>
      </c>
      <c r="B194" s="12" t="s">
        <v>276</v>
      </c>
      <c r="C194" s="12" t="s">
        <v>816</v>
      </c>
      <c r="D194" s="12" t="s">
        <v>835</v>
      </c>
      <c r="E194" s="28">
        <v>15959</v>
      </c>
      <c r="F194" s="28">
        <v>7478</v>
      </c>
      <c r="G194" s="28">
        <v>146500</v>
      </c>
      <c r="H194" s="4"/>
    </row>
    <row r="195" spans="1:8" ht="15.5">
      <c r="A195" s="8">
        <v>194</v>
      </c>
      <c r="B195" s="12" t="s">
        <v>534</v>
      </c>
      <c r="C195" s="12" t="s">
        <v>943</v>
      </c>
      <c r="D195" s="12" t="s">
        <v>835</v>
      </c>
      <c r="E195" s="28">
        <v>19111</v>
      </c>
      <c r="F195" s="28">
        <v>6390</v>
      </c>
      <c r="G195" s="28">
        <v>145300</v>
      </c>
      <c r="H195" s="4"/>
    </row>
    <row r="196" spans="1:8" ht="15.5">
      <c r="A196" s="8">
        <v>195</v>
      </c>
      <c r="B196" s="11" t="s">
        <v>462</v>
      </c>
      <c r="C196" s="12" t="s">
        <v>840</v>
      </c>
      <c r="D196" s="12" t="s">
        <v>817</v>
      </c>
      <c r="E196" s="28">
        <v>44331</v>
      </c>
      <c r="F196" s="28">
        <v>8228</v>
      </c>
      <c r="G196" s="28">
        <v>132900</v>
      </c>
      <c r="H196" s="4" t="s">
        <v>1221</v>
      </c>
    </row>
    <row r="197" spans="1:8" ht="15.5">
      <c r="A197" s="8">
        <v>196</v>
      </c>
      <c r="B197" s="2" t="s">
        <v>35</v>
      </c>
      <c r="C197" s="12" t="s">
        <v>844</v>
      </c>
      <c r="D197" s="12" t="s">
        <v>835</v>
      </c>
      <c r="E197" s="28">
        <v>10066</v>
      </c>
      <c r="F197" s="28">
        <v>13414</v>
      </c>
      <c r="G197" s="28"/>
      <c r="H197" s="4"/>
    </row>
    <row r="198" spans="1:8" ht="15.5">
      <c r="A198" s="8">
        <v>197</v>
      </c>
      <c r="B198" s="12" t="s">
        <v>320</v>
      </c>
      <c r="C198" s="12" t="s">
        <v>1124</v>
      </c>
      <c r="D198" s="12" t="s">
        <v>817</v>
      </c>
      <c r="E198" s="28">
        <v>35040</v>
      </c>
      <c r="F198" s="28">
        <v>5013</v>
      </c>
      <c r="G198" s="28">
        <v>116100</v>
      </c>
      <c r="H198" s="4" t="s">
        <v>938</v>
      </c>
    </row>
    <row r="199" spans="1:8" ht="15.5">
      <c r="A199" s="8">
        <v>198</v>
      </c>
      <c r="B199" s="12" t="s">
        <v>1474</v>
      </c>
      <c r="C199" s="12" t="s">
        <v>1124</v>
      </c>
      <c r="D199" s="12" t="s">
        <v>835</v>
      </c>
      <c r="E199" s="28">
        <v>14752</v>
      </c>
      <c r="F199" s="28">
        <v>8909</v>
      </c>
      <c r="G199" s="28">
        <v>132800</v>
      </c>
      <c r="H199" s="4"/>
    </row>
    <row r="200" spans="1:8" ht="15.5">
      <c r="A200" s="8">
        <v>199</v>
      </c>
      <c r="B200" s="12" t="s">
        <v>1478</v>
      </c>
      <c r="C200" s="12" t="s">
        <v>840</v>
      </c>
      <c r="D200" s="12" t="s">
        <v>835</v>
      </c>
      <c r="E200" s="28">
        <v>7927</v>
      </c>
      <c r="F200" s="28">
        <v>5089</v>
      </c>
      <c r="G200" s="28">
        <v>114300</v>
      </c>
      <c r="H200" s="4"/>
    </row>
    <row r="201" spans="1:8" ht="15.5">
      <c r="A201" s="8">
        <v>200</v>
      </c>
      <c r="B201" s="12" t="s">
        <v>304</v>
      </c>
      <c r="C201" s="12" t="s">
        <v>822</v>
      </c>
      <c r="D201" s="12" t="s">
        <v>817</v>
      </c>
      <c r="E201" s="28">
        <v>33510</v>
      </c>
      <c r="F201" s="28">
        <v>7312</v>
      </c>
      <c r="G201" s="28">
        <v>116400</v>
      </c>
      <c r="H201" s="4" t="s">
        <v>938</v>
      </c>
    </row>
    <row r="202" spans="1:8" ht="15.5">
      <c r="A202" s="8">
        <v>201</v>
      </c>
      <c r="B202" s="12" t="s">
        <v>1487</v>
      </c>
      <c r="C202" s="12" t="s">
        <v>1164</v>
      </c>
      <c r="D202" s="12" t="s">
        <v>835</v>
      </c>
      <c r="E202" s="28">
        <v>11428</v>
      </c>
      <c r="F202" s="28">
        <v>13093</v>
      </c>
      <c r="G202" s="28">
        <v>132300</v>
      </c>
      <c r="H202" s="4"/>
    </row>
    <row r="203" spans="1:8" ht="15.5">
      <c r="A203" s="8">
        <v>202</v>
      </c>
      <c r="B203" s="12" t="s">
        <v>1491</v>
      </c>
      <c r="C203" s="12" t="s">
        <v>840</v>
      </c>
      <c r="D203" s="12" t="s">
        <v>817</v>
      </c>
      <c r="E203" s="28">
        <v>32626</v>
      </c>
      <c r="F203" s="28">
        <v>7990</v>
      </c>
      <c r="G203" s="28">
        <v>127100</v>
      </c>
      <c r="H203" s="4" t="s">
        <v>1336</v>
      </c>
    </row>
    <row r="204" spans="1:8" ht="15.5">
      <c r="A204" s="8">
        <v>203</v>
      </c>
      <c r="B204" s="12" t="s">
        <v>508</v>
      </c>
      <c r="C204" s="12" t="s">
        <v>922</v>
      </c>
      <c r="D204" s="12" t="s">
        <v>817</v>
      </c>
      <c r="E204" s="28">
        <v>21483</v>
      </c>
      <c r="F204" s="28">
        <v>6320</v>
      </c>
      <c r="G204" s="28">
        <v>107000</v>
      </c>
      <c r="H204" s="4" t="s">
        <v>1498</v>
      </c>
    </row>
    <row r="205" spans="1:8" ht="15.5">
      <c r="A205" s="8">
        <v>204</v>
      </c>
      <c r="B205" s="12" t="s">
        <v>264</v>
      </c>
      <c r="C205" s="12" t="s">
        <v>822</v>
      </c>
      <c r="D205" s="12" t="s">
        <v>835</v>
      </c>
      <c r="E205" s="28">
        <v>9162</v>
      </c>
      <c r="F205" s="28">
        <v>5538</v>
      </c>
      <c r="G205" s="28">
        <v>132000</v>
      </c>
      <c r="H205" s="4"/>
    </row>
    <row r="206" spans="1:8" ht="15.5">
      <c r="A206" s="8">
        <v>205</v>
      </c>
      <c r="B206" s="12" t="s">
        <v>192</v>
      </c>
      <c r="C206" s="12" t="s">
        <v>851</v>
      </c>
      <c r="D206" s="12" t="s">
        <v>835</v>
      </c>
      <c r="E206" s="28">
        <v>9359</v>
      </c>
      <c r="F206" s="28">
        <v>8346</v>
      </c>
      <c r="G206" s="28">
        <v>125200</v>
      </c>
      <c r="H206" s="4"/>
    </row>
    <row r="207" spans="1:8" ht="15.5">
      <c r="A207" s="8">
        <v>206</v>
      </c>
      <c r="B207" s="12" t="s">
        <v>519</v>
      </c>
      <c r="C207" s="12" t="s">
        <v>922</v>
      </c>
      <c r="D207" s="12" t="s">
        <v>817</v>
      </c>
      <c r="E207" s="28">
        <v>24697</v>
      </c>
      <c r="F207" s="28">
        <v>12071</v>
      </c>
      <c r="G207" s="28">
        <v>144000</v>
      </c>
      <c r="H207" s="4" t="s">
        <v>1336</v>
      </c>
    </row>
    <row r="208" spans="1:8" ht="15.5">
      <c r="A208" s="8">
        <v>207</v>
      </c>
      <c r="B208" s="12" t="s">
        <v>208</v>
      </c>
      <c r="C208" s="12" t="s">
        <v>822</v>
      </c>
      <c r="D208" s="12" t="s">
        <v>835</v>
      </c>
      <c r="E208" s="28">
        <v>10511</v>
      </c>
      <c r="F208" s="28">
        <v>5462</v>
      </c>
      <c r="G208" s="28">
        <v>117300</v>
      </c>
      <c r="H208" s="4"/>
    </row>
    <row r="209" spans="1:8" ht="15.5">
      <c r="A209" s="8">
        <v>208</v>
      </c>
      <c r="B209" s="12" t="s">
        <v>410</v>
      </c>
      <c r="C209" s="12" t="s">
        <v>883</v>
      </c>
      <c r="D209" s="12" t="s">
        <v>817</v>
      </c>
      <c r="E209" s="28">
        <v>37480</v>
      </c>
      <c r="F209" s="28">
        <v>7148</v>
      </c>
      <c r="G209" s="28">
        <v>122100</v>
      </c>
      <c r="H209" s="4" t="s">
        <v>938</v>
      </c>
    </row>
    <row r="210" spans="1:8" ht="15.5">
      <c r="A210" s="8">
        <v>209</v>
      </c>
      <c r="B210" s="12" t="s">
        <v>140</v>
      </c>
      <c r="C210" s="12" t="s">
        <v>851</v>
      </c>
      <c r="D210" s="12" t="s">
        <v>835</v>
      </c>
      <c r="E210" s="28">
        <v>9159</v>
      </c>
      <c r="F210" s="28">
        <v>6289</v>
      </c>
      <c r="G210" s="28">
        <v>110000</v>
      </c>
      <c r="H210" s="4"/>
    </row>
    <row r="211" spans="1:8" ht="15.5">
      <c r="A211" s="8">
        <v>210</v>
      </c>
      <c r="B211" s="11" t="s">
        <v>241</v>
      </c>
      <c r="C211" s="12" t="s">
        <v>862</v>
      </c>
      <c r="D211" s="12" t="s">
        <v>835</v>
      </c>
      <c r="E211" s="28">
        <v>8889</v>
      </c>
      <c r="F211" s="28">
        <v>6654</v>
      </c>
      <c r="G211" s="28">
        <v>121200</v>
      </c>
      <c r="H211" s="4"/>
    </row>
    <row r="212" spans="1:8" ht="15.5">
      <c r="A212" s="8">
        <v>211</v>
      </c>
      <c r="B212" s="12" t="s">
        <v>223</v>
      </c>
      <c r="C212" s="12" t="s">
        <v>858</v>
      </c>
      <c r="D212" s="12" t="s">
        <v>817</v>
      </c>
      <c r="E212" s="28">
        <v>26796</v>
      </c>
      <c r="F212" s="28">
        <v>9442</v>
      </c>
      <c r="G212" s="28">
        <v>121900</v>
      </c>
      <c r="H212" s="4" t="s">
        <v>1221</v>
      </c>
    </row>
    <row r="213" spans="1:8" ht="15.5">
      <c r="A213" s="8">
        <v>212</v>
      </c>
      <c r="B213" s="12" t="s">
        <v>1517</v>
      </c>
      <c r="C213" s="12" t="s">
        <v>979</v>
      </c>
      <c r="D213" s="12" t="s">
        <v>835</v>
      </c>
      <c r="E213" s="28">
        <v>15474</v>
      </c>
      <c r="F213" s="28">
        <v>4651</v>
      </c>
      <c r="G213" s="28">
        <v>132900</v>
      </c>
      <c r="H213" s="4"/>
    </row>
    <row r="214" spans="1:8" ht="15.5">
      <c r="A214" s="8">
        <v>213</v>
      </c>
      <c r="B214" s="12" t="s">
        <v>309</v>
      </c>
      <c r="C214" s="12" t="s">
        <v>922</v>
      </c>
      <c r="D214" s="12" t="s">
        <v>817</v>
      </c>
      <c r="E214" s="28">
        <v>26448</v>
      </c>
      <c r="F214" s="28">
        <v>7486</v>
      </c>
      <c r="G214" s="28">
        <v>110300</v>
      </c>
      <c r="H214" s="4" t="s">
        <v>920</v>
      </c>
    </row>
    <row r="215" spans="1:8" ht="15.5">
      <c r="A215" s="8">
        <v>214</v>
      </c>
      <c r="B215" s="12" t="s">
        <v>491</v>
      </c>
      <c r="C215" s="12" t="s">
        <v>971</v>
      </c>
      <c r="D215" s="12" t="s">
        <v>817</v>
      </c>
      <c r="E215" s="28">
        <v>37119</v>
      </c>
      <c r="F215" s="28">
        <v>7844</v>
      </c>
      <c r="G215" s="28">
        <v>140900</v>
      </c>
      <c r="H215" s="4" t="s">
        <v>899</v>
      </c>
    </row>
    <row r="216" spans="1:8" ht="15.5">
      <c r="A216" s="8">
        <v>215</v>
      </c>
      <c r="B216" s="12" t="s">
        <v>262</v>
      </c>
      <c r="C216" s="12" t="s">
        <v>979</v>
      </c>
      <c r="D216" s="12" t="s">
        <v>835</v>
      </c>
      <c r="E216" s="28">
        <v>6522</v>
      </c>
      <c r="F216" s="28">
        <v>6936</v>
      </c>
      <c r="G216" s="28">
        <v>123600</v>
      </c>
      <c r="H216" s="4"/>
    </row>
    <row r="217" spans="1:8" ht="15.5">
      <c r="A217" s="8">
        <v>216</v>
      </c>
      <c r="B217" s="12" t="s">
        <v>476</v>
      </c>
      <c r="C217" s="12" t="s">
        <v>1229</v>
      </c>
      <c r="D217" s="12" t="s">
        <v>817</v>
      </c>
      <c r="E217" s="28">
        <v>20711</v>
      </c>
      <c r="F217" s="28">
        <v>7815</v>
      </c>
      <c r="G217" s="28">
        <v>104600</v>
      </c>
      <c r="H217" s="4" t="s">
        <v>899</v>
      </c>
    </row>
    <row r="218" spans="1:8" ht="15.5">
      <c r="A218" s="8">
        <v>217</v>
      </c>
      <c r="B218" s="12" t="s">
        <v>238</v>
      </c>
      <c r="C218" s="12" t="s">
        <v>1531</v>
      </c>
      <c r="D218" s="12" t="s">
        <v>835</v>
      </c>
      <c r="E218" s="28">
        <v>13720</v>
      </c>
      <c r="F218" s="28">
        <v>10144</v>
      </c>
      <c r="G218" s="28">
        <v>102800</v>
      </c>
      <c r="H218" s="4"/>
    </row>
    <row r="219" spans="1:8" ht="15.5">
      <c r="A219" s="8">
        <v>218</v>
      </c>
      <c r="B219" s="12" t="s">
        <v>637</v>
      </c>
      <c r="C219" s="12" t="s">
        <v>822</v>
      </c>
      <c r="D219" s="12" t="s">
        <v>817</v>
      </c>
      <c r="E219" s="28">
        <v>21143</v>
      </c>
      <c r="F219" s="28">
        <v>5351</v>
      </c>
      <c r="G219" s="28">
        <v>111300</v>
      </c>
      <c r="H219" s="4" t="s">
        <v>830</v>
      </c>
    </row>
    <row r="220" spans="1:8" ht="15.5">
      <c r="A220" s="8">
        <v>219</v>
      </c>
      <c r="B220" s="12" t="s">
        <v>207</v>
      </c>
      <c r="C220" s="12" t="s">
        <v>858</v>
      </c>
      <c r="D220" s="12" t="s">
        <v>817</v>
      </c>
      <c r="E220" s="28">
        <v>26004</v>
      </c>
      <c r="F220" s="28">
        <v>7204</v>
      </c>
      <c r="G220" s="28">
        <v>126700</v>
      </c>
      <c r="H220" s="4" t="s">
        <v>1336</v>
      </c>
    </row>
    <row r="221" spans="1:8" ht="15.5">
      <c r="A221" s="8">
        <v>220</v>
      </c>
      <c r="B221" s="12" t="s">
        <v>328</v>
      </c>
      <c r="C221" s="12" t="s">
        <v>851</v>
      </c>
      <c r="D221" s="12" t="s">
        <v>817</v>
      </c>
      <c r="E221" s="28">
        <v>28048</v>
      </c>
      <c r="F221" s="28">
        <v>14299</v>
      </c>
      <c r="G221" s="28">
        <v>119600</v>
      </c>
      <c r="H221" s="4" t="s">
        <v>826</v>
      </c>
    </row>
    <row r="222" spans="1:8" ht="15.5">
      <c r="A222" s="8">
        <v>221</v>
      </c>
      <c r="B222" s="12" t="s">
        <v>313</v>
      </c>
      <c r="C222" s="12" t="s">
        <v>816</v>
      </c>
      <c r="D222" s="12" t="s">
        <v>817</v>
      </c>
      <c r="E222" s="28">
        <v>29443</v>
      </c>
      <c r="F222" s="28">
        <v>11822</v>
      </c>
      <c r="G222" s="28">
        <v>122900</v>
      </c>
      <c r="H222" s="4" t="s">
        <v>1235</v>
      </c>
    </row>
    <row r="223" spans="1:8" ht="15.5">
      <c r="A223" s="8">
        <v>222</v>
      </c>
      <c r="B223" s="12" t="s">
        <v>280</v>
      </c>
      <c r="C223" s="12" t="s">
        <v>1082</v>
      </c>
      <c r="D223" s="12" t="s">
        <v>817</v>
      </c>
      <c r="E223" s="28">
        <v>46821</v>
      </c>
      <c r="F223" s="28">
        <v>4492</v>
      </c>
      <c r="G223" s="28">
        <v>141500</v>
      </c>
      <c r="H223" s="4" t="s">
        <v>821</v>
      </c>
    </row>
    <row r="224" spans="1:8" ht="15.5">
      <c r="A224" s="8">
        <v>223</v>
      </c>
      <c r="B224" s="12" t="s">
        <v>439</v>
      </c>
      <c r="C224" s="12" t="s">
        <v>1104</v>
      </c>
      <c r="D224" s="12" t="s">
        <v>817</v>
      </c>
      <c r="E224" s="28">
        <v>31274</v>
      </c>
      <c r="F224" s="28">
        <v>8953</v>
      </c>
      <c r="G224" s="28">
        <v>122300</v>
      </c>
      <c r="H224" s="4" t="s">
        <v>1235</v>
      </c>
    </row>
    <row r="225" spans="1:8" ht="15.5">
      <c r="A225" s="8">
        <v>224</v>
      </c>
      <c r="B225" s="12" t="s">
        <v>1552</v>
      </c>
      <c r="C225" s="12" t="s">
        <v>858</v>
      </c>
      <c r="D225" s="12" t="s">
        <v>817</v>
      </c>
      <c r="E225" s="28">
        <v>24272</v>
      </c>
      <c r="F225" s="28">
        <v>6429</v>
      </c>
      <c r="G225" s="28">
        <v>127200</v>
      </c>
      <c r="H225" s="4" t="s">
        <v>821</v>
      </c>
    </row>
    <row r="226" spans="1:8" ht="15.5">
      <c r="A226" s="8">
        <v>225</v>
      </c>
      <c r="B226" s="12" t="s">
        <v>1556</v>
      </c>
      <c r="C226" s="12" t="s">
        <v>889</v>
      </c>
      <c r="D226" s="12" t="s">
        <v>835</v>
      </c>
      <c r="E226" s="28">
        <v>7907</v>
      </c>
      <c r="F226" s="28">
        <v>7127</v>
      </c>
      <c r="G226" s="28">
        <v>111700</v>
      </c>
      <c r="H226" s="4"/>
    </row>
    <row r="227" spans="1:8" ht="15.5">
      <c r="A227" s="8">
        <v>226</v>
      </c>
      <c r="B227" s="12" t="s">
        <v>1559</v>
      </c>
      <c r="C227" s="12" t="s">
        <v>910</v>
      </c>
      <c r="D227" s="12" t="s">
        <v>817</v>
      </c>
      <c r="E227" s="28">
        <v>20372</v>
      </c>
      <c r="F227" s="28">
        <v>15475</v>
      </c>
      <c r="G227" s="28">
        <v>129100</v>
      </c>
      <c r="H227" s="4" t="s">
        <v>938</v>
      </c>
    </row>
    <row r="228" spans="1:8" ht="15.5">
      <c r="A228" s="8">
        <v>227</v>
      </c>
      <c r="B228" s="12" t="s">
        <v>360</v>
      </c>
      <c r="C228" s="12" t="s">
        <v>822</v>
      </c>
      <c r="D228" s="12" t="s">
        <v>835</v>
      </c>
      <c r="E228" s="28">
        <v>10907</v>
      </c>
      <c r="F228" s="28">
        <v>5227</v>
      </c>
      <c r="G228" s="28">
        <v>111600</v>
      </c>
      <c r="H228" s="4"/>
    </row>
    <row r="229" spans="1:8" ht="15.5">
      <c r="A229" s="8">
        <v>228</v>
      </c>
      <c r="B229" s="12" t="s">
        <v>103</v>
      </c>
      <c r="C229" s="12" t="s">
        <v>943</v>
      </c>
      <c r="D229" s="12" t="s">
        <v>835</v>
      </c>
      <c r="E229" s="28">
        <v>10760</v>
      </c>
      <c r="F229" s="28">
        <v>8079</v>
      </c>
      <c r="G229" s="28">
        <v>128200</v>
      </c>
      <c r="H229" s="4"/>
    </row>
    <row r="230" spans="1:8" ht="15.5">
      <c r="A230" s="8">
        <v>229</v>
      </c>
      <c r="B230" s="12" t="s">
        <v>461</v>
      </c>
      <c r="C230" s="12" t="s">
        <v>971</v>
      </c>
      <c r="D230" s="12" t="s">
        <v>817</v>
      </c>
      <c r="E230" s="28">
        <v>30973</v>
      </c>
      <c r="F230" s="28">
        <v>12038</v>
      </c>
      <c r="G230" s="28">
        <v>161500</v>
      </c>
      <c r="H230" s="4" t="s">
        <v>1221</v>
      </c>
    </row>
    <row r="231" spans="1:8" ht="15.5">
      <c r="A231" s="8">
        <v>230</v>
      </c>
      <c r="B231" s="12" t="s">
        <v>405</v>
      </c>
      <c r="C231" s="12" t="s">
        <v>858</v>
      </c>
      <c r="D231" s="12" t="s">
        <v>817</v>
      </c>
      <c r="E231" s="28">
        <v>26693</v>
      </c>
      <c r="F231" s="28">
        <v>7299</v>
      </c>
      <c r="G231" s="28">
        <v>123500</v>
      </c>
      <c r="H231" s="4" t="s">
        <v>1336</v>
      </c>
    </row>
    <row r="232" spans="1:8" ht="15.5">
      <c r="A232" s="8">
        <v>231</v>
      </c>
      <c r="B232" s="12" t="s">
        <v>339</v>
      </c>
      <c r="C232" s="12" t="s">
        <v>1183</v>
      </c>
      <c r="D232" s="12" t="s">
        <v>835</v>
      </c>
      <c r="E232" s="28">
        <v>10614</v>
      </c>
      <c r="F232" s="28">
        <v>8866</v>
      </c>
      <c r="G232" s="28">
        <v>165700</v>
      </c>
      <c r="H232" s="4"/>
    </row>
    <row r="233" spans="1:8" ht="15.5">
      <c r="A233" s="8">
        <v>232</v>
      </c>
      <c r="B233" s="12" t="s">
        <v>529</v>
      </c>
      <c r="C233" s="12" t="s">
        <v>1082</v>
      </c>
      <c r="D233" s="12" t="s">
        <v>817</v>
      </c>
      <c r="E233" s="28">
        <v>32808</v>
      </c>
      <c r="F233" s="28">
        <v>9438</v>
      </c>
      <c r="G233" s="28">
        <v>118900</v>
      </c>
      <c r="H233" s="4" t="s">
        <v>899</v>
      </c>
    </row>
    <row r="234" spans="1:8" ht="15.5">
      <c r="A234" s="8">
        <v>233</v>
      </c>
      <c r="B234" s="12" t="s">
        <v>496</v>
      </c>
      <c r="C234" s="12" t="s">
        <v>979</v>
      </c>
      <c r="D234" s="12" t="s">
        <v>817</v>
      </c>
      <c r="E234" s="28">
        <v>36435</v>
      </c>
      <c r="F234" s="28">
        <v>7547</v>
      </c>
      <c r="G234" s="28">
        <v>120600</v>
      </c>
      <c r="H234" s="4" t="s">
        <v>1498</v>
      </c>
    </row>
    <row r="235" spans="1:8" ht="15.5">
      <c r="A235" s="8">
        <v>234</v>
      </c>
      <c r="B235" s="12" t="s">
        <v>277</v>
      </c>
      <c r="C235" s="12" t="s">
        <v>1582</v>
      </c>
      <c r="D235" s="12" t="s">
        <v>835</v>
      </c>
      <c r="E235" s="28">
        <v>6387</v>
      </c>
      <c r="F235" s="28">
        <v>11927</v>
      </c>
      <c r="G235" s="28">
        <v>114700</v>
      </c>
      <c r="H235" s="4"/>
    </row>
    <row r="236" spans="1:8" ht="15.5">
      <c r="A236" s="8">
        <v>235</v>
      </c>
      <c r="B236" s="12" t="s">
        <v>1586</v>
      </c>
      <c r="C236" s="12" t="s">
        <v>822</v>
      </c>
      <c r="D236" s="12" t="s">
        <v>835</v>
      </c>
      <c r="E236" s="28">
        <v>9210</v>
      </c>
      <c r="F236" s="28">
        <v>5592</v>
      </c>
      <c r="G236" s="28">
        <v>137200</v>
      </c>
      <c r="H236" s="4"/>
    </row>
    <row r="237" spans="1:8" ht="15.5">
      <c r="A237" s="8">
        <v>236</v>
      </c>
      <c r="B237" s="12" t="s">
        <v>170</v>
      </c>
      <c r="C237" s="12" t="s">
        <v>1590</v>
      </c>
      <c r="D237" s="12" t="s">
        <v>835</v>
      </c>
      <c r="E237" s="28">
        <v>11685</v>
      </c>
      <c r="F237" s="28">
        <v>9613</v>
      </c>
      <c r="G237" s="28">
        <v>118200</v>
      </c>
      <c r="H237" s="4"/>
    </row>
    <row r="238" spans="1:8" ht="15.5">
      <c r="A238" s="8">
        <v>237</v>
      </c>
      <c r="B238" s="12" t="s">
        <v>159</v>
      </c>
      <c r="C238" s="12" t="s">
        <v>950</v>
      </c>
      <c r="D238" s="12" t="s">
        <v>835</v>
      </c>
      <c r="E238" s="28">
        <v>9808</v>
      </c>
      <c r="F238" s="28">
        <v>6445</v>
      </c>
      <c r="G238" s="28">
        <v>112300</v>
      </c>
      <c r="H238" s="4"/>
    </row>
    <row r="239" spans="1:8" ht="15.5">
      <c r="A239" s="8">
        <v>238</v>
      </c>
      <c r="B239" s="12" t="s">
        <v>161</v>
      </c>
      <c r="C239" s="12" t="s">
        <v>1124</v>
      </c>
      <c r="D239" s="12" t="s">
        <v>817</v>
      </c>
      <c r="E239" s="28">
        <v>35452</v>
      </c>
      <c r="F239" s="28">
        <v>6836</v>
      </c>
      <c r="G239" s="28">
        <v>142300</v>
      </c>
      <c r="H239" s="4" t="s">
        <v>899</v>
      </c>
    </row>
    <row r="240" spans="1:8" ht="15.5">
      <c r="A240" s="8">
        <v>239</v>
      </c>
      <c r="B240" s="12" t="s">
        <v>1599</v>
      </c>
      <c r="C240" s="12" t="s">
        <v>840</v>
      </c>
      <c r="D240" s="12" t="s">
        <v>817</v>
      </c>
      <c r="E240" s="28">
        <v>37530</v>
      </c>
      <c r="F240" s="28">
        <v>8270</v>
      </c>
      <c r="G240" s="28">
        <v>153300</v>
      </c>
      <c r="H240" s="4" t="s">
        <v>920</v>
      </c>
    </row>
    <row r="241" spans="1:8" ht="15.5">
      <c r="A241" s="8">
        <v>240</v>
      </c>
      <c r="B241" s="12" t="s">
        <v>459</v>
      </c>
      <c r="C241" s="12" t="s">
        <v>844</v>
      </c>
      <c r="D241" s="12" t="s">
        <v>817</v>
      </c>
      <c r="E241" s="28">
        <v>49177</v>
      </c>
      <c r="F241" s="28">
        <v>8059</v>
      </c>
      <c r="G241" s="28">
        <v>144300</v>
      </c>
      <c r="H241" s="4" t="s">
        <v>920</v>
      </c>
    </row>
    <row r="242" spans="1:8" ht="15.5">
      <c r="A242" s="8">
        <v>241</v>
      </c>
      <c r="B242" s="12" t="s">
        <v>164</v>
      </c>
      <c r="C242" s="12" t="s">
        <v>943</v>
      </c>
      <c r="D242" s="12" t="s">
        <v>835</v>
      </c>
      <c r="E242" s="28">
        <v>12583</v>
      </c>
      <c r="F242" s="28">
        <v>7807</v>
      </c>
      <c r="G242" s="28">
        <v>104800</v>
      </c>
      <c r="H242" s="4"/>
    </row>
    <row r="243" spans="1:8" ht="15.5">
      <c r="A243" s="8">
        <v>242</v>
      </c>
      <c r="B243" s="12" t="s">
        <v>246</v>
      </c>
      <c r="C243" s="12" t="s">
        <v>858</v>
      </c>
      <c r="D243" s="12" t="s">
        <v>817</v>
      </c>
      <c r="E243" s="28">
        <v>40243</v>
      </c>
      <c r="F243" s="28">
        <v>7227</v>
      </c>
      <c r="G243" s="28">
        <v>142900</v>
      </c>
      <c r="H243" s="4" t="s">
        <v>1235</v>
      </c>
    </row>
    <row r="244" spans="1:8" ht="15.5">
      <c r="A244" s="8">
        <v>243</v>
      </c>
      <c r="B244" s="12" t="s">
        <v>425</v>
      </c>
      <c r="C244" s="12" t="s">
        <v>840</v>
      </c>
      <c r="D244" s="12" t="s">
        <v>817</v>
      </c>
      <c r="E244" s="28">
        <v>41285</v>
      </c>
      <c r="F244" s="28">
        <v>9150</v>
      </c>
      <c r="G244" s="28">
        <v>157700</v>
      </c>
      <c r="H244" s="4" t="s">
        <v>1235</v>
      </c>
    </row>
    <row r="245" spans="1:8" ht="15.5">
      <c r="A245" s="8">
        <v>244</v>
      </c>
      <c r="B245" s="12" t="s">
        <v>317</v>
      </c>
      <c r="C245" s="12" t="s">
        <v>827</v>
      </c>
      <c r="D245" s="12" t="s">
        <v>817</v>
      </c>
      <c r="E245" s="28">
        <v>39304</v>
      </c>
      <c r="F245" s="28">
        <v>6098</v>
      </c>
      <c r="G245" s="28">
        <v>113600</v>
      </c>
      <c r="H245" s="4" t="s">
        <v>938</v>
      </c>
    </row>
    <row r="246" spans="1:8" ht="15.5">
      <c r="A246" s="8">
        <v>245</v>
      </c>
      <c r="B246" s="12" t="s">
        <v>151</v>
      </c>
      <c r="C246" s="12" t="s">
        <v>1124</v>
      </c>
      <c r="D246" s="12" t="s">
        <v>835</v>
      </c>
      <c r="E246" s="28">
        <v>8733</v>
      </c>
      <c r="F246" s="28">
        <v>8696</v>
      </c>
      <c r="G246" s="28">
        <v>113600</v>
      </c>
      <c r="H246" s="4"/>
    </row>
    <row r="247" spans="1:8" ht="15.5">
      <c r="A247" s="8">
        <v>246</v>
      </c>
      <c r="B247" s="12" t="s">
        <v>294</v>
      </c>
      <c r="C247" s="12" t="s">
        <v>827</v>
      </c>
      <c r="D247" s="12" t="s">
        <v>835</v>
      </c>
      <c r="E247" s="28">
        <v>11983</v>
      </c>
      <c r="F247" s="28">
        <v>7166</v>
      </c>
      <c r="G247" s="28">
        <v>129400</v>
      </c>
      <c r="H247" s="4"/>
    </row>
    <row r="248" spans="1:8" ht="15.5">
      <c r="A248" s="8">
        <v>247</v>
      </c>
      <c r="B248" s="12" t="s">
        <v>408</v>
      </c>
      <c r="C248" s="12" t="s">
        <v>910</v>
      </c>
      <c r="D248" s="12" t="s">
        <v>835</v>
      </c>
      <c r="E248" s="28">
        <v>7268</v>
      </c>
      <c r="F248" s="28">
        <v>9405</v>
      </c>
      <c r="G248" s="28">
        <v>102600</v>
      </c>
      <c r="H248" s="4"/>
    </row>
    <row r="249" spans="1:8" ht="15.5">
      <c r="A249" s="8">
        <v>248</v>
      </c>
      <c r="B249" s="12" t="s">
        <v>345</v>
      </c>
      <c r="C249" s="12" t="s">
        <v>979</v>
      </c>
      <c r="D249" s="12" t="s">
        <v>817</v>
      </c>
      <c r="E249" s="28">
        <v>30917</v>
      </c>
      <c r="F249" s="28">
        <v>7347</v>
      </c>
      <c r="G249" s="28">
        <v>139600</v>
      </c>
      <c r="H249" s="4" t="s">
        <v>1235</v>
      </c>
    </row>
    <row r="250" spans="1:8" ht="15.5">
      <c r="A250" s="8">
        <v>249</v>
      </c>
      <c r="B250" s="12" t="s">
        <v>438</v>
      </c>
      <c r="C250" s="12" t="s">
        <v>822</v>
      </c>
      <c r="D250" s="12" t="s">
        <v>817</v>
      </c>
      <c r="E250" s="28">
        <v>33025</v>
      </c>
      <c r="F250" s="28">
        <v>8272</v>
      </c>
      <c r="G250" s="28">
        <v>141100</v>
      </c>
      <c r="H250" s="4" t="s">
        <v>899</v>
      </c>
    </row>
    <row r="251" spans="1:8" ht="15.5">
      <c r="A251" s="8">
        <v>250</v>
      </c>
      <c r="B251" s="12" t="s">
        <v>196</v>
      </c>
      <c r="C251" s="12" t="s">
        <v>1531</v>
      </c>
      <c r="D251" s="12" t="s">
        <v>835</v>
      </c>
      <c r="E251" s="28">
        <v>14252</v>
      </c>
      <c r="F251" s="28">
        <v>7253</v>
      </c>
      <c r="G251" s="28">
        <v>111000</v>
      </c>
      <c r="H251"/>
    </row>
    <row r="252" spans="1:8" ht="15.5">
      <c r="A252" s="8">
        <v>251</v>
      </c>
      <c r="B252" s="12" t="s">
        <v>483</v>
      </c>
      <c r="C252" s="12" t="s">
        <v>926</v>
      </c>
      <c r="D252" s="12" t="s">
        <v>835</v>
      </c>
      <c r="E252" s="28">
        <v>9961</v>
      </c>
      <c r="F252" s="28">
        <v>6246</v>
      </c>
      <c r="G252" s="28">
        <v>106800</v>
      </c>
      <c r="H252" s="4"/>
    </row>
    <row r="253" spans="1:8" ht="15.5">
      <c r="A253" s="8">
        <v>252</v>
      </c>
      <c r="B253" s="12" t="s">
        <v>230</v>
      </c>
      <c r="C253" s="12" t="s">
        <v>1358</v>
      </c>
      <c r="D253" s="12" t="s">
        <v>835</v>
      </c>
      <c r="E253" s="28">
        <v>12216</v>
      </c>
      <c r="F253" s="28">
        <v>7490</v>
      </c>
      <c r="G253" s="28">
        <v>100700</v>
      </c>
      <c r="H253" s="4"/>
    </row>
    <row r="254" spans="1:8" ht="15.5">
      <c r="A254" s="8">
        <v>253</v>
      </c>
      <c r="B254" s="12" t="s">
        <v>1640</v>
      </c>
      <c r="C254" s="12" t="s">
        <v>851</v>
      </c>
      <c r="D254" s="12" t="s">
        <v>835</v>
      </c>
      <c r="E254" s="28">
        <v>11370</v>
      </c>
      <c r="F254" s="28">
        <v>5959</v>
      </c>
      <c r="G254" s="28">
        <v>117700</v>
      </c>
      <c r="H254" s="4"/>
    </row>
    <row r="255" spans="1:8" ht="15.5">
      <c r="A255" s="8">
        <v>254</v>
      </c>
      <c r="B255" s="12" t="s">
        <v>314</v>
      </c>
      <c r="C255" s="12" t="s">
        <v>858</v>
      </c>
      <c r="D255" s="12" t="s">
        <v>835</v>
      </c>
      <c r="E255" s="28">
        <v>11619</v>
      </c>
      <c r="F255" s="28">
        <v>7247</v>
      </c>
      <c r="G255" s="28">
        <v>112700</v>
      </c>
      <c r="H255" s="4"/>
    </row>
    <row r="256" spans="1:8" ht="15.5">
      <c r="A256" s="8">
        <v>255</v>
      </c>
      <c r="B256" s="12" t="s">
        <v>303</v>
      </c>
      <c r="C256" s="12" t="s">
        <v>822</v>
      </c>
      <c r="D256" s="12" t="s">
        <v>835</v>
      </c>
      <c r="E256" s="28">
        <v>9040</v>
      </c>
      <c r="F256" s="28">
        <v>6028</v>
      </c>
      <c r="G256" s="28">
        <v>133900</v>
      </c>
      <c r="H256" s="4"/>
    </row>
    <row r="257" spans="1:8" ht="15.5">
      <c r="A257" s="8">
        <v>256</v>
      </c>
      <c r="B257" s="12" t="s">
        <v>259</v>
      </c>
      <c r="C257" s="12" t="s">
        <v>889</v>
      </c>
      <c r="D257" s="12" t="s">
        <v>835</v>
      </c>
      <c r="E257" s="28">
        <v>7443</v>
      </c>
      <c r="F257" s="28">
        <v>7207</v>
      </c>
      <c r="G257" s="28">
        <v>99800</v>
      </c>
      <c r="H257" s="4"/>
    </row>
    <row r="258" spans="1:8" ht="15.5">
      <c r="A258" s="8">
        <v>257</v>
      </c>
      <c r="B258" s="12" t="s">
        <v>1653</v>
      </c>
      <c r="C258" s="12" t="s">
        <v>827</v>
      </c>
      <c r="D258" s="12" t="s">
        <v>817</v>
      </c>
      <c r="E258" s="28">
        <v>29716</v>
      </c>
      <c r="F258" s="28">
        <v>8346</v>
      </c>
      <c r="G258" s="28">
        <v>132600</v>
      </c>
      <c r="H258" s="4" t="s">
        <v>920</v>
      </c>
    </row>
    <row r="259" spans="1:8" ht="15.5">
      <c r="A259" s="8">
        <v>258</v>
      </c>
      <c r="B259" s="12" t="s">
        <v>489</v>
      </c>
      <c r="C259" s="12" t="s">
        <v>862</v>
      </c>
      <c r="D259" s="12" t="s">
        <v>835</v>
      </c>
      <c r="E259" s="28">
        <v>6917</v>
      </c>
      <c r="F259" s="28">
        <v>7707</v>
      </c>
      <c r="G259" s="28">
        <v>103000</v>
      </c>
      <c r="H259" s="4"/>
    </row>
    <row r="260" spans="1:8" ht="15.5">
      <c r="A260" s="8">
        <v>259</v>
      </c>
      <c r="B260" s="12" t="s">
        <v>1657</v>
      </c>
      <c r="C260" s="12" t="s">
        <v>1000</v>
      </c>
      <c r="D260" s="12" t="s">
        <v>835</v>
      </c>
      <c r="E260" s="28">
        <v>4251</v>
      </c>
      <c r="F260" s="28">
        <v>7354</v>
      </c>
      <c r="G260" s="28">
        <v>108900</v>
      </c>
      <c r="H260" s="4"/>
    </row>
    <row r="261" spans="1:8" ht="15.5">
      <c r="A261" s="8">
        <v>260</v>
      </c>
      <c r="B261" s="12" t="s">
        <v>466</v>
      </c>
      <c r="C261" s="12" t="s">
        <v>922</v>
      </c>
      <c r="D261" s="12" t="s">
        <v>817</v>
      </c>
      <c r="E261" s="28">
        <v>24880</v>
      </c>
      <c r="F261" s="28">
        <v>7428</v>
      </c>
      <c r="G261" s="28">
        <v>108000</v>
      </c>
      <c r="H261" s="4" t="s">
        <v>1221</v>
      </c>
    </row>
    <row r="262" spans="1:8" ht="15.5">
      <c r="A262" s="8">
        <v>261</v>
      </c>
      <c r="B262" s="12" t="s">
        <v>537</v>
      </c>
      <c r="C262" s="12" t="s">
        <v>883</v>
      </c>
      <c r="D262" s="12" t="s">
        <v>817</v>
      </c>
      <c r="E262" s="28">
        <v>25615</v>
      </c>
      <c r="F262" s="28">
        <v>13242</v>
      </c>
      <c r="G262" s="28">
        <v>128000</v>
      </c>
      <c r="H262" s="4" t="s">
        <v>1221</v>
      </c>
    </row>
    <row r="263" spans="1:8" ht="15.5">
      <c r="A263" s="8">
        <v>262</v>
      </c>
      <c r="B263" s="12" t="s">
        <v>1666</v>
      </c>
      <c r="C263" s="12" t="s">
        <v>872</v>
      </c>
      <c r="D263" s="12" t="s">
        <v>817</v>
      </c>
      <c r="E263" s="28">
        <v>34241</v>
      </c>
      <c r="F263" s="28">
        <v>5059</v>
      </c>
      <c r="G263" s="28">
        <v>122900</v>
      </c>
      <c r="H263" s="4" t="s">
        <v>899</v>
      </c>
    </row>
    <row r="264" spans="1:8" ht="15.5">
      <c r="A264" s="8">
        <v>263</v>
      </c>
      <c r="B264" s="12" t="s">
        <v>369</v>
      </c>
      <c r="C264" s="12" t="s">
        <v>1236</v>
      </c>
      <c r="D264" s="12" t="s">
        <v>817</v>
      </c>
      <c r="E264" s="28">
        <v>38167</v>
      </c>
      <c r="F264" s="28">
        <v>6265</v>
      </c>
      <c r="G264" s="28">
        <v>115600</v>
      </c>
      <c r="H264" s="4" t="s">
        <v>899</v>
      </c>
    </row>
    <row r="265" spans="1:8" ht="15.5">
      <c r="A265" s="8">
        <v>264</v>
      </c>
      <c r="B265" s="12" t="s">
        <v>464</v>
      </c>
      <c r="C265" s="12" t="s">
        <v>822</v>
      </c>
      <c r="D265" s="12" t="s">
        <v>817</v>
      </c>
      <c r="E265" s="28">
        <v>39594</v>
      </c>
      <c r="F265" s="28">
        <v>4829</v>
      </c>
      <c r="G265" s="28">
        <v>121400</v>
      </c>
      <c r="H265" s="4" t="s">
        <v>899</v>
      </c>
    </row>
    <row r="266" spans="1:8" ht="15.5">
      <c r="A266" s="8">
        <v>265</v>
      </c>
      <c r="B266" s="12" t="s">
        <v>231</v>
      </c>
      <c r="C266" s="12" t="s">
        <v>926</v>
      </c>
      <c r="D266" s="12" t="s">
        <v>835</v>
      </c>
      <c r="E266" s="28">
        <v>8376</v>
      </c>
      <c r="F266" s="28">
        <v>6521</v>
      </c>
      <c r="G266" s="28">
        <v>105700</v>
      </c>
      <c r="H266" s="4"/>
    </row>
    <row r="267" spans="1:8" ht="15.5">
      <c r="A267" s="8">
        <v>266</v>
      </c>
      <c r="B267" s="12" t="s">
        <v>371</v>
      </c>
      <c r="C267" s="12" t="s">
        <v>1678</v>
      </c>
      <c r="D267" s="12" t="s">
        <v>835</v>
      </c>
      <c r="E267" s="28">
        <v>10293</v>
      </c>
      <c r="F267" s="28">
        <v>4925</v>
      </c>
      <c r="G267" s="28">
        <v>144300</v>
      </c>
      <c r="H267" s="4"/>
    </row>
    <row r="268" spans="1:8" ht="15.5">
      <c r="A268" s="8">
        <v>267</v>
      </c>
      <c r="B268" s="12" t="s">
        <v>181</v>
      </c>
      <c r="C268" s="12" t="s">
        <v>922</v>
      </c>
      <c r="D268" s="12" t="s">
        <v>835</v>
      </c>
      <c r="E268" s="28">
        <v>10605</v>
      </c>
      <c r="F268" s="28">
        <v>6437</v>
      </c>
      <c r="G268" s="28">
        <v>103100</v>
      </c>
      <c r="H268" s="4"/>
    </row>
    <row r="269" spans="1:8" ht="15.5">
      <c r="A269" s="8">
        <v>268</v>
      </c>
      <c r="B269" s="12" t="s">
        <v>1683</v>
      </c>
      <c r="C269" s="12" t="s">
        <v>816</v>
      </c>
      <c r="D269" s="12" t="s">
        <v>835</v>
      </c>
      <c r="E269" s="28">
        <v>13168</v>
      </c>
      <c r="F269" s="28">
        <v>6475</v>
      </c>
      <c r="G269" s="28">
        <v>123100</v>
      </c>
      <c r="H269" s="4"/>
    </row>
    <row r="270" spans="1:8" ht="15.5">
      <c r="A270" s="8">
        <v>269</v>
      </c>
      <c r="B270" s="12" t="s">
        <v>390</v>
      </c>
      <c r="C270" s="12" t="s">
        <v>1082</v>
      </c>
      <c r="D270" s="12" t="s">
        <v>817</v>
      </c>
      <c r="E270" s="28">
        <v>40399</v>
      </c>
      <c r="F270" s="28">
        <v>6527</v>
      </c>
      <c r="G270" s="28">
        <v>128600</v>
      </c>
      <c r="H270" s="4" t="s">
        <v>899</v>
      </c>
    </row>
    <row r="271" spans="1:8" ht="15.5">
      <c r="A271" s="8">
        <v>270</v>
      </c>
      <c r="B271" s="12" t="s">
        <v>548</v>
      </c>
      <c r="C271" s="12" t="s">
        <v>1124</v>
      </c>
      <c r="D271" s="12" t="s">
        <v>817</v>
      </c>
      <c r="E271" s="28">
        <v>24235</v>
      </c>
      <c r="F271" s="28">
        <v>13929</v>
      </c>
      <c r="G271" s="28">
        <v>124100</v>
      </c>
      <c r="H271" s="4" t="s">
        <v>938</v>
      </c>
    </row>
    <row r="272" spans="1:8" ht="15.5">
      <c r="A272" s="8">
        <v>271</v>
      </c>
      <c r="B272" s="12" t="s">
        <v>455</v>
      </c>
      <c r="C272" s="12" t="s">
        <v>840</v>
      </c>
      <c r="D272" s="12" t="s">
        <v>817</v>
      </c>
      <c r="E272" s="28">
        <v>28826</v>
      </c>
      <c r="F272" s="28">
        <v>8635</v>
      </c>
      <c r="G272" s="28">
        <v>108000</v>
      </c>
      <c r="H272" s="4" t="s">
        <v>1235</v>
      </c>
    </row>
    <row r="273" spans="1:8" ht="15.5">
      <c r="A273" s="8">
        <v>272</v>
      </c>
      <c r="B273" s="12" t="s">
        <v>1693</v>
      </c>
      <c r="C273" s="12" t="s">
        <v>851</v>
      </c>
      <c r="D273" s="12" t="s">
        <v>835</v>
      </c>
      <c r="E273" s="28">
        <v>8934</v>
      </c>
      <c r="F273" s="28">
        <v>5390</v>
      </c>
      <c r="G273" s="28">
        <v>105800</v>
      </c>
      <c r="H273" s="4"/>
    </row>
    <row r="274" spans="1:8" ht="15.5">
      <c r="A274" s="8">
        <v>273</v>
      </c>
      <c r="B274" s="12" t="s">
        <v>270</v>
      </c>
      <c r="C274" s="12" t="s">
        <v>934</v>
      </c>
      <c r="D274" s="12" t="s">
        <v>817</v>
      </c>
      <c r="E274" s="28">
        <v>20063</v>
      </c>
      <c r="F274" s="28">
        <v>7415</v>
      </c>
      <c r="G274" s="28">
        <v>120000</v>
      </c>
      <c r="H274" s="4" t="s">
        <v>830</v>
      </c>
    </row>
    <row r="275" spans="1:8" ht="15.5">
      <c r="A275" s="8">
        <v>274</v>
      </c>
      <c r="B275" s="12" t="s">
        <v>179</v>
      </c>
      <c r="C275" s="12" t="s">
        <v>1229</v>
      </c>
      <c r="D275" s="12" t="s">
        <v>835</v>
      </c>
      <c r="E275" s="28">
        <v>11142</v>
      </c>
      <c r="F275" s="28">
        <v>6382</v>
      </c>
      <c r="G275" s="28">
        <v>101100</v>
      </c>
      <c r="H275" s="4"/>
    </row>
    <row r="276" spans="1:8" ht="15.5">
      <c r="A276" s="8">
        <v>275</v>
      </c>
      <c r="B276" s="12" t="s">
        <v>287</v>
      </c>
      <c r="C276" s="12" t="s">
        <v>1582</v>
      </c>
      <c r="D276" s="12" t="s">
        <v>835</v>
      </c>
      <c r="E276" s="28">
        <v>5732</v>
      </c>
      <c r="F276" s="28">
        <v>9555</v>
      </c>
      <c r="G276" s="28">
        <v>117100</v>
      </c>
      <c r="H276" s="4"/>
    </row>
    <row r="277" spans="1:8" ht="15.5">
      <c r="A277" s="8">
        <v>276</v>
      </c>
      <c r="B277" s="12" t="s">
        <v>449</v>
      </c>
      <c r="C277" s="12" t="s">
        <v>822</v>
      </c>
      <c r="D277" s="12" t="s">
        <v>817</v>
      </c>
      <c r="E277" s="28">
        <v>27474</v>
      </c>
      <c r="F277" s="28">
        <v>6713</v>
      </c>
      <c r="G277" s="28">
        <v>105700</v>
      </c>
      <c r="H277" s="4" t="s">
        <v>1498</v>
      </c>
    </row>
    <row r="278" spans="1:8" ht="15.5">
      <c r="A278" s="8">
        <v>277</v>
      </c>
      <c r="B278" s="12" t="s">
        <v>221</v>
      </c>
      <c r="C278" s="12" t="s">
        <v>1707</v>
      </c>
      <c r="D278" s="12" t="s">
        <v>835</v>
      </c>
      <c r="E278" s="28">
        <v>5749</v>
      </c>
      <c r="F278" s="28">
        <v>7375</v>
      </c>
      <c r="G278" s="28">
        <v>113600</v>
      </c>
      <c r="H278" s="4"/>
    </row>
    <row r="279" spans="1:8" ht="15.5">
      <c r="A279" s="8">
        <v>278</v>
      </c>
      <c r="B279" s="12" t="s">
        <v>255</v>
      </c>
      <c r="C279" s="12" t="s">
        <v>827</v>
      </c>
      <c r="D279" s="12" t="s">
        <v>835</v>
      </c>
      <c r="E279" s="28">
        <v>11104</v>
      </c>
      <c r="F279" s="28">
        <v>6746</v>
      </c>
      <c r="G279" s="28">
        <v>107900</v>
      </c>
      <c r="H279" s="4"/>
    </row>
    <row r="280" spans="1:8" ht="15.5">
      <c r="A280" s="8">
        <v>279</v>
      </c>
      <c r="B280" s="12" t="s">
        <v>535</v>
      </c>
      <c r="C280" s="12" t="s">
        <v>822</v>
      </c>
      <c r="D280" s="12" t="s">
        <v>817</v>
      </c>
      <c r="E280" s="28">
        <v>42251</v>
      </c>
      <c r="F280" s="28">
        <v>9108</v>
      </c>
      <c r="G280" s="28">
        <v>124500</v>
      </c>
      <c r="H280" s="4" t="s">
        <v>1235</v>
      </c>
    </row>
    <row r="281" spans="1:8" ht="15.5">
      <c r="A281" s="8">
        <v>280</v>
      </c>
      <c r="B281" s="12" t="s">
        <v>1716</v>
      </c>
      <c r="C281" s="12" t="s">
        <v>851</v>
      </c>
      <c r="D281" s="12" t="s">
        <v>835</v>
      </c>
      <c r="E281" s="28">
        <v>10564</v>
      </c>
      <c r="F281" s="28">
        <v>4735</v>
      </c>
      <c r="G281" s="28">
        <v>106500</v>
      </c>
      <c r="H281" s="4"/>
    </row>
    <row r="282" spans="1:8" ht="15.5">
      <c r="A282" s="8">
        <v>281</v>
      </c>
      <c r="B282" s="12" t="s">
        <v>226</v>
      </c>
      <c r="C282" s="12" t="s">
        <v>1720</v>
      </c>
      <c r="D282" s="12" t="s">
        <v>835</v>
      </c>
      <c r="E282" s="28">
        <v>11105</v>
      </c>
      <c r="F282" s="28">
        <v>5572</v>
      </c>
      <c r="G282" s="28">
        <v>118800</v>
      </c>
      <c r="H282" s="4"/>
    </row>
    <row r="283" spans="1:8" ht="15.5">
      <c r="A283" s="8">
        <v>282</v>
      </c>
      <c r="B283" s="12" t="s">
        <v>652</v>
      </c>
      <c r="C283" s="12" t="s">
        <v>816</v>
      </c>
      <c r="D283" s="12" t="s">
        <v>817</v>
      </c>
      <c r="E283" s="28">
        <v>35256</v>
      </c>
      <c r="F283" s="28">
        <v>6551</v>
      </c>
      <c r="G283" s="28">
        <v>114400</v>
      </c>
      <c r="H283" s="4" t="s">
        <v>1498</v>
      </c>
    </row>
    <row r="284" spans="1:8" ht="15.5">
      <c r="A284" s="8">
        <v>283</v>
      </c>
      <c r="B284" s="12" t="s">
        <v>533</v>
      </c>
      <c r="C284" s="12" t="s">
        <v>1183</v>
      </c>
      <c r="D284" s="12" t="s">
        <v>817</v>
      </c>
      <c r="E284" s="28">
        <v>26291</v>
      </c>
      <c r="F284" s="28">
        <v>6902</v>
      </c>
      <c r="G284" s="28">
        <v>112700</v>
      </c>
      <c r="H284" s="4" t="s">
        <v>1498</v>
      </c>
    </row>
    <row r="285" spans="1:8" ht="15.5">
      <c r="A285" s="8">
        <v>284</v>
      </c>
      <c r="B285" s="12" t="s">
        <v>551</v>
      </c>
      <c r="C285" s="12" t="s">
        <v>851</v>
      </c>
      <c r="D285" s="12" t="s">
        <v>817</v>
      </c>
      <c r="E285" s="28">
        <v>30609</v>
      </c>
      <c r="F285" s="28">
        <v>7269</v>
      </c>
      <c r="G285" s="28">
        <v>111600</v>
      </c>
      <c r="H285" s="4" t="s">
        <v>821</v>
      </c>
    </row>
    <row r="286" spans="1:8" ht="15.5">
      <c r="A286" s="8">
        <v>285</v>
      </c>
      <c r="B286" s="12" t="s">
        <v>451</v>
      </c>
      <c r="C286" s="12" t="s">
        <v>939</v>
      </c>
      <c r="D286" s="12" t="s">
        <v>817</v>
      </c>
      <c r="E286" s="28">
        <v>33740</v>
      </c>
      <c r="F286" s="28">
        <v>8484</v>
      </c>
      <c r="G286" s="28">
        <v>98400</v>
      </c>
      <c r="H286" s="4" t="s">
        <v>1235</v>
      </c>
    </row>
    <row r="287" spans="1:8" ht="15.5">
      <c r="A287" s="8">
        <v>286</v>
      </c>
      <c r="B287" s="12" t="s">
        <v>212</v>
      </c>
      <c r="C287" s="12" t="s">
        <v>1379</v>
      </c>
      <c r="D287" s="12" t="s">
        <v>835</v>
      </c>
      <c r="E287" s="28">
        <v>6346</v>
      </c>
      <c r="F287" s="28">
        <v>5722</v>
      </c>
      <c r="G287" s="28">
        <v>107300</v>
      </c>
      <c r="H287" s="4"/>
    </row>
    <row r="288" spans="1:8" ht="15.5">
      <c r="A288" s="8">
        <v>287</v>
      </c>
      <c r="B288" s="12" t="s">
        <v>452</v>
      </c>
      <c r="C288" s="12" t="s">
        <v>979</v>
      </c>
      <c r="D288" s="12" t="s">
        <v>817</v>
      </c>
      <c r="E288" s="28">
        <v>32047</v>
      </c>
      <c r="F288" s="28">
        <v>6438</v>
      </c>
      <c r="G288" s="28">
        <v>135400</v>
      </c>
      <c r="H288" s="4" t="s">
        <v>899</v>
      </c>
    </row>
    <row r="289" spans="1:8" ht="15.5">
      <c r="A289" s="8">
        <v>288</v>
      </c>
      <c r="B289" s="12" t="s">
        <v>538</v>
      </c>
      <c r="C289" s="12" t="s">
        <v>844</v>
      </c>
      <c r="D289" s="12" t="s">
        <v>817</v>
      </c>
      <c r="E289" s="28">
        <v>29025</v>
      </c>
      <c r="F289" s="28">
        <v>11265</v>
      </c>
      <c r="G289" s="28">
        <v>121200</v>
      </c>
      <c r="H289" s="4" t="s">
        <v>1498</v>
      </c>
    </row>
    <row r="290" spans="1:8" ht="15.5">
      <c r="A290" s="8">
        <v>289</v>
      </c>
      <c r="B290" s="12" t="s">
        <v>321</v>
      </c>
      <c r="C290" s="12" t="s">
        <v>840</v>
      </c>
      <c r="D290" s="12" t="s">
        <v>817</v>
      </c>
      <c r="E290" s="28">
        <v>30955</v>
      </c>
      <c r="F290" s="28">
        <v>6369</v>
      </c>
      <c r="G290" s="28">
        <v>145600</v>
      </c>
      <c r="H290" s="4" t="s">
        <v>1221</v>
      </c>
    </row>
    <row r="291" spans="1:8" ht="15.5">
      <c r="A291" s="8">
        <v>290</v>
      </c>
      <c r="B291" s="12" t="s">
        <v>171</v>
      </c>
      <c r="C291" s="12" t="s">
        <v>1236</v>
      </c>
      <c r="D291" s="12" t="s">
        <v>835</v>
      </c>
      <c r="E291" s="28">
        <v>9750</v>
      </c>
      <c r="F291" s="28">
        <v>5868</v>
      </c>
      <c r="G291" s="28">
        <v>109000</v>
      </c>
      <c r="H291" s="4"/>
    </row>
    <row r="292" spans="1:8" ht="15.5">
      <c r="A292" s="8">
        <v>291</v>
      </c>
      <c r="B292" s="12" t="s">
        <v>598</v>
      </c>
      <c r="C292" s="12" t="s">
        <v>827</v>
      </c>
      <c r="D292" s="12" t="s">
        <v>817</v>
      </c>
      <c r="E292" s="28">
        <v>18237</v>
      </c>
      <c r="F292" s="28">
        <v>10226</v>
      </c>
      <c r="G292" s="28">
        <v>134000</v>
      </c>
      <c r="H292" s="4" t="s">
        <v>1235</v>
      </c>
    </row>
    <row r="293" spans="1:8" ht="15.5">
      <c r="A293" s="8">
        <v>292</v>
      </c>
      <c r="B293" s="12" t="s">
        <v>381</v>
      </c>
      <c r="C293" s="12" t="s">
        <v>844</v>
      </c>
      <c r="D293" s="12" t="s">
        <v>817</v>
      </c>
      <c r="E293" s="28">
        <v>43239</v>
      </c>
      <c r="F293" s="28">
        <v>8110</v>
      </c>
      <c r="G293" s="28">
        <v>145200</v>
      </c>
      <c r="H293" s="4" t="s">
        <v>920</v>
      </c>
    </row>
    <row r="294" spans="1:8" ht="15.5">
      <c r="A294" s="8">
        <v>293</v>
      </c>
      <c r="B294" s="12" t="s">
        <v>426</v>
      </c>
      <c r="C294" s="12" t="s">
        <v>1082</v>
      </c>
      <c r="D294" s="12" t="s">
        <v>817</v>
      </c>
      <c r="E294" s="28">
        <v>40262</v>
      </c>
      <c r="F294" s="28">
        <v>6714</v>
      </c>
      <c r="G294" s="28">
        <v>113900</v>
      </c>
      <c r="H294" s="4" t="s">
        <v>899</v>
      </c>
    </row>
    <row r="295" spans="1:8" ht="15.5">
      <c r="A295" s="8">
        <v>294</v>
      </c>
      <c r="B295" s="12" t="s">
        <v>292</v>
      </c>
      <c r="C295" s="12" t="s">
        <v>1164</v>
      </c>
      <c r="D295" s="12" t="s">
        <v>835</v>
      </c>
      <c r="E295" s="28">
        <v>9499</v>
      </c>
      <c r="F295" s="28">
        <v>9150</v>
      </c>
      <c r="G295" s="28">
        <v>102700</v>
      </c>
      <c r="H295" s="4"/>
    </row>
    <row r="296" spans="1:8" ht="15.5">
      <c r="A296" s="8">
        <v>295</v>
      </c>
      <c r="B296" s="12" t="s">
        <v>1755</v>
      </c>
      <c r="C296" s="12" t="s">
        <v>822</v>
      </c>
      <c r="D296" s="12" t="s">
        <v>835</v>
      </c>
      <c r="E296" s="28">
        <v>10750</v>
      </c>
      <c r="F296" s="28">
        <v>5006</v>
      </c>
      <c r="G296" s="28">
        <v>111700</v>
      </c>
      <c r="H296" s="4"/>
    </row>
    <row r="297" spans="1:8" ht="15.5">
      <c r="A297" s="8">
        <v>296</v>
      </c>
      <c r="B297" s="12" t="s">
        <v>1758</v>
      </c>
      <c r="C297" s="12" t="s">
        <v>822</v>
      </c>
      <c r="D297" s="12" t="s">
        <v>817</v>
      </c>
      <c r="E297" s="28">
        <v>38322</v>
      </c>
      <c r="F297" s="28">
        <v>6817</v>
      </c>
      <c r="G297" s="28">
        <v>132800</v>
      </c>
      <c r="H297" s="4" t="s">
        <v>1221</v>
      </c>
    </row>
    <row r="298" spans="1:8" ht="15.5">
      <c r="A298" s="8">
        <v>297</v>
      </c>
      <c r="B298" s="12" t="s">
        <v>227</v>
      </c>
      <c r="C298" s="12" t="s">
        <v>1199</v>
      </c>
      <c r="D298" s="12" t="s">
        <v>835</v>
      </c>
      <c r="E298" s="28">
        <v>11865</v>
      </c>
      <c r="F298" s="28">
        <v>6397</v>
      </c>
      <c r="G298" s="28">
        <v>106700</v>
      </c>
      <c r="H298" s="4"/>
    </row>
    <row r="299" spans="1:8" ht="15.5">
      <c r="A299" s="8">
        <v>298</v>
      </c>
      <c r="B299" s="12" t="s">
        <v>243</v>
      </c>
      <c r="C299" s="12" t="s">
        <v>851</v>
      </c>
      <c r="D299" s="12" t="s">
        <v>835</v>
      </c>
      <c r="E299" s="28">
        <v>11791</v>
      </c>
      <c r="F299" s="28">
        <v>5703</v>
      </c>
      <c r="G299" s="28">
        <v>105600</v>
      </c>
      <c r="H299" s="4"/>
    </row>
    <row r="300" spans="1:8" ht="15.5">
      <c r="A300" s="8">
        <v>299</v>
      </c>
      <c r="B300" s="12" t="s">
        <v>515</v>
      </c>
      <c r="C300" s="12" t="s">
        <v>816</v>
      </c>
      <c r="D300" s="12" t="s">
        <v>835</v>
      </c>
      <c r="E300" s="28">
        <v>12553</v>
      </c>
      <c r="F300" s="28">
        <v>8357</v>
      </c>
      <c r="G300" s="28">
        <v>117000</v>
      </c>
      <c r="H300" s="4"/>
    </row>
    <row r="301" spans="1:8" ht="15.5">
      <c r="A301" s="8">
        <v>300</v>
      </c>
      <c r="B301" s="12" t="s">
        <v>437</v>
      </c>
      <c r="C301" s="12" t="s">
        <v>1124</v>
      </c>
      <c r="D301" s="12" t="s">
        <v>817</v>
      </c>
      <c r="E301" s="28">
        <v>27897</v>
      </c>
      <c r="F301" s="28">
        <v>8988</v>
      </c>
      <c r="G301" s="28">
        <v>112900</v>
      </c>
      <c r="H301" s="4" t="s">
        <v>1235</v>
      </c>
    </row>
    <row r="302" spans="1:8" ht="15.5">
      <c r="A302" s="8">
        <v>301</v>
      </c>
      <c r="B302" s="12" t="s">
        <v>156</v>
      </c>
      <c r="C302" s="12" t="s">
        <v>840</v>
      </c>
      <c r="D302" s="12" t="s">
        <v>817</v>
      </c>
      <c r="E302" s="28">
        <v>29122</v>
      </c>
      <c r="F302" s="28">
        <v>9891</v>
      </c>
      <c r="G302" s="28">
        <v>126100</v>
      </c>
      <c r="H302" s="4" t="s">
        <v>938</v>
      </c>
    </row>
    <row r="303" spans="1:8" ht="15.5">
      <c r="A303" s="8">
        <v>302</v>
      </c>
      <c r="B303" s="12" t="s">
        <v>305</v>
      </c>
      <c r="C303" s="12" t="s">
        <v>840</v>
      </c>
      <c r="D303" s="12" t="s">
        <v>817</v>
      </c>
      <c r="E303" s="28">
        <v>30958</v>
      </c>
      <c r="F303" s="28">
        <v>10202</v>
      </c>
      <c r="G303" s="28">
        <v>135400</v>
      </c>
      <c r="H303" s="4" t="s">
        <v>1221</v>
      </c>
    </row>
    <row r="304" spans="1:8" ht="15.5">
      <c r="A304" s="8">
        <v>303</v>
      </c>
      <c r="B304" s="12" t="s">
        <v>353</v>
      </c>
      <c r="C304" s="12" t="s">
        <v>840</v>
      </c>
      <c r="D304" s="12" t="s">
        <v>835</v>
      </c>
      <c r="E304" s="28">
        <v>8260</v>
      </c>
      <c r="F304" s="28">
        <v>8716</v>
      </c>
      <c r="G304" s="28">
        <v>127200</v>
      </c>
      <c r="H304" s="4"/>
    </row>
    <row r="305" spans="1:8" ht="15.5">
      <c r="A305" s="8">
        <v>304</v>
      </c>
      <c r="B305" s="12" t="s">
        <v>1778</v>
      </c>
      <c r="C305" s="12" t="s">
        <v>1082</v>
      </c>
      <c r="D305" s="12" t="s">
        <v>817</v>
      </c>
      <c r="E305" s="28">
        <v>32284</v>
      </c>
      <c r="F305" s="28">
        <v>10539</v>
      </c>
      <c r="G305" s="28">
        <v>135200</v>
      </c>
      <c r="H305" s="4" t="s">
        <v>920</v>
      </c>
    </row>
    <row r="306" spans="1:8" ht="15.5">
      <c r="A306" s="8">
        <v>305</v>
      </c>
      <c r="B306" s="12" t="s">
        <v>319</v>
      </c>
      <c r="C306" s="12" t="s">
        <v>1104</v>
      </c>
      <c r="D306" s="12" t="s">
        <v>835</v>
      </c>
      <c r="E306" s="28">
        <v>6412</v>
      </c>
      <c r="F306" s="28">
        <v>6606</v>
      </c>
      <c r="G306" s="28">
        <v>99100</v>
      </c>
      <c r="H306" s="4"/>
    </row>
    <row r="307" spans="1:8" ht="15.5">
      <c r="A307" s="8">
        <v>306</v>
      </c>
      <c r="B307" s="2" t="s">
        <v>183</v>
      </c>
      <c r="C307" s="12" t="s">
        <v>840</v>
      </c>
      <c r="D307" s="12" t="s">
        <v>835</v>
      </c>
      <c r="E307" s="28">
        <v>11485</v>
      </c>
      <c r="F307" s="28">
        <v>6785</v>
      </c>
      <c r="G307" s="28">
        <v>125100</v>
      </c>
      <c r="H307" s="4"/>
    </row>
    <row r="308" spans="1:8" ht="15.5">
      <c r="A308" s="8">
        <v>307</v>
      </c>
      <c r="B308" s="12" t="s">
        <v>1789</v>
      </c>
      <c r="C308" s="12" t="s">
        <v>1214</v>
      </c>
      <c r="D308" s="12" t="s">
        <v>817</v>
      </c>
      <c r="E308" s="28">
        <v>36877</v>
      </c>
      <c r="F308" s="28">
        <v>7505</v>
      </c>
      <c r="G308" s="28">
        <v>126000</v>
      </c>
      <c r="H308" s="4" t="s">
        <v>899</v>
      </c>
    </row>
    <row r="309" spans="1:8" ht="15.5">
      <c r="A309" s="8">
        <v>308</v>
      </c>
      <c r="B309" s="12" t="s">
        <v>587</v>
      </c>
      <c r="C309" s="12" t="s">
        <v>844</v>
      </c>
      <c r="D309" s="12" t="s">
        <v>817</v>
      </c>
      <c r="E309" s="28">
        <v>40914</v>
      </c>
      <c r="F309" s="28">
        <v>9772</v>
      </c>
      <c r="G309" s="28">
        <v>130600</v>
      </c>
      <c r="H309" s="4" t="s">
        <v>1336</v>
      </c>
    </row>
    <row r="310" spans="1:8" ht="15.5">
      <c r="A310" s="8">
        <v>309</v>
      </c>
      <c r="B310" s="12" t="s">
        <v>1794</v>
      </c>
      <c r="C310" s="12" t="s">
        <v>822</v>
      </c>
      <c r="D310" s="12" t="s">
        <v>835</v>
      </c>
      <c r="E310" s="28">
        <v>8702</v>
      </c>
      <c r="F310" s="28">
        <v>5210</v>
      </c>
      <c r="G310" s="28">
        <v>119900</v>
      </c>
      <c r="H310" s="4"/>
    </row>
    <row r="311" spans="1:8" ht="15.5">
      <c r="A311" s="8">
        <v>310</v>
      </c>
      <c r="B311" s="12" t="s">
        <v>435</v>
      </c>
      <c r="C311" s="12" t="s">
        <v>862</v>
      </c>
      <c r="D311" s="12" t="s">
        <v>817</v>
      </c>
      <c r="E311" s="28">
        <v>36621</v>
      </c>
      <c r="F311" s="28">
        <v>9532</v>
      </c>
      <c r="G311" s="28">
        <v>139600</v>
      </c>
      <c r="H311" s="4" t="s">
        <v>1221</v>
      </c>
    </row>
    <row r="312" spans="1:8" ht="15.5">
      <c r="A312" s="8">
        <v>311</v>
      </c>
      <c r="B312" s="12" t="s">
        <v>363</v>
      </c>
      <c r="C312" s="12" t="s">
        <v>926</v>
      </c>
      <c r="D312" s="12" t="s">
        <v>835</v>
      </c>
      <c r="E312" s="28">
        <v>13779</v>
      </c>
      <c r="F312" s="28">
        <v>6920</v>
      </c>
      <c r="G312" s="28">
        <v>141500</v>
      </c>
      <c r="H312" s="4"/>
    </row>
    <row r="313" spans="1:8" ht="15.5">
      <c r="A313" s="8">
        <v>312</v>
      </c>
      <c r="B313" s="12" t="s">
        <v>1801</v>
      </c>
      <c r="C313" s="12" t="s">
        <v>840</v>
      </c>
      <c r="D313" s="12" t="s">
        <v>817</v>
      </c>
      <c r="E313" s="28">
        <v>21504</v>
      </c>
      <c r="F313" s="28">
        <v>10379</v>
      </c>
      <c r="G313" s="28">
        <v>130700</v>
      </c>
      <c r="H313" s="4" t="s">
        <v>1235</v>
      </c>
    </row>
    <row r="314" spans="1:8" ht="15.5">
      <c r="A314" s="8">
        <v>313</v>
      </c>
      <c r="B314" s="12" t="s">
        <v>267</v>
      </c>
      <c r="C314" s="12" t="s">
        <v>889</v>
      </c>
      <c r="D314" s="12" t="s">
        <v>835</v>
      </c>
      <c r="E314" s="28">
        <v>9020</v>
      </c>
      <c r="F314" s="28">
        <v>7654</v>
      </c>
      <c r="G314" s="28">
        <v>100500</v>
      </c>
      <c r="H314" s="4"/>
    </row>
    <row r="315" spans="1:8" ht="15.5">
      <c r="A315" s="8">
        <v>314</v>
      </c>
      <c r="B315" s="12" t="s">
        <v>681</v>
      </c>
      <c r="C315" s="12" t="s">
        <v>840</v>
      </c>
      <c r="D315" s="12" t="s">
        <v>835</v>
      </c>
      <c r="E315" s="28">
        <v>8012</v>
      </c>
      <c r="F315" s="28">
        <v>8647</v>
      </c>
      <c r="G315" s="28">
        <v>165400</v>
      </c>
      <c r="H315" s="4"/>
    </row>
    <row r="316" spans="1:8" ht="15.5">
      <c r="A316" s="8">
        <v>315</v>
      </c>
      <c r="B316" s="12" t="s">
        <v>224</v>
      </c>
      <c r="C316" s="12" t="s">
        <v>883</v>
      </c>
      <c r="D316" s="12" t="s">
        <v>835</v>
      </c>
      <c r="E316" s="28">
        <v>13257</v>
      </c>
      <c r="F316" s="28">
        <v>11356</v>
      </c>
      <c r="G316" s="28">
        <v>120800</v>
      </c>
      <c r="H316" s="4"/>
    </row>
    <row r="317" spans="1:8" ht="15.5">
      <c r="A317" s="8">
        <v>316</v>
      </c>
      <c r="B317" s="12" t="s">
        <v>1814</v>
      </c>
      <c r="C317" s="12" t="s">
        <v>827</v>
      </c>
      <c r="D317" s="12" t="s">
        <v>817</v>
      </c>
      <c r="E317" s="28">
        <v>41665</v>
      </c>
      <c r="F317" s="28">
        <v>7647</v>
      </c>
      <c r="G317" s="28">
        <v>115400</v>
      </c>
      <c r="H317" s="4" t="s">
        <v>920</v>
      </c>
    </row>
    <row r="318" spans="1:8" ht="15.5">
      <c r="A318" s="8">
        <v>317</v>
      </c>
      <c r="B318" s="12" t="s">
        <v>1818</v>
      </c>
      <c r="C318" s="12" t="s">
        <v>822</v>
      </c>
      <c r="D318" s="12" t="s">
        <v>817</v>
      </c>
      <c r="E318" s="28">
        <v>16665</v>
      </c>
      <c r="F318" s="28">
        <v>7458</v>
      </c>
      <c r="G318" s="28">
        <v>128900</v>
      </c>
      <c r="H318" s="4" t="s">
        <v>1221</v>
      </c>
    </row>
    <row r="319" spans="1:8" ht="15.5">
      <c r="A319" s="8">
        <v>318</v>
      </c>
      <c r="B319" s="12" t="s">
        <v>494</v>
      </c>
      <c r="C319" s="12" t="s">
        <v>883</v>
      </c>
      <c r="D319" s="12" t="s">
        <v>817</v>
      </c>
      <c r="E319" s="28">
        <v>30971</v>
      </c>
      <c r="F319" s="28">
        <v>9247</v>
      </c>
      <c r="G319" s="28">
        <v>135100</v>
      </c>
      <c r="H319" s="4" t="s">
        <v>1336</v>
      </c>
    </row>
    <row r="320" spans="1:8" ht="15.5">
      <c r="A320" s="8">
        <v>319</v>
      </c>
      <c r="B320" s="12" t="s">
        <v>1825</v>
      </c>
      <c r="C320" s="12" t="s">
        <v>872</v>
      </c>
      <c r="D320" s="12" t="s">
        <v>835</v>
      </c>
      <c r="E320" s="28">
        <v>8471</v>
      </c>
      <c r="F320" s="28">
        <v>6766</v>
      </c>
      <c r="G320" s="28">
        <v>109400</v>
      </c>
      <c r="H320" s="4"/>
    </row>
    <row r="321" spans="1:8" ht="15.5">
      <c r="A321" s="8">
        <v>320</v>
      </c>
      <c r="B321" s="12" t="s">
        <v>216</v>
      </c>
      <c r="C321" s="12" t="s">
        <v>922</v>
      </c>
      <c r="D321" s="12" t="s">
        <v>835</v>
      </c>
      <c r="E321" s="28">
        <v>16114</v>
      </c>
      <c r="F321" s="28">
        <v>8372</v>
      </c>
      <c r="G321" s="28">
        <v>135600</v>
      </c>
      <c r="H321" s="4"/>
    </row>
    <row r="322" spans="1:8" ht="15.5">
      <c r="A322" s="8">
        <v>321</v>
      </c>
      <c r="B322" s="12" t="s">
        <v>424</v>
      </c>
      <c r="C322" s="12" t="s">
        <v>910</v>
      </c>
      <c r="D322" s="12" t="s">
        <v>835</v>
      </c>
      <c r="E322" s="28">
        <v>11515</v>
      </c>
      <c r="F322" s="28">
        <v>6174</v>
      </c>
      <c r="G322" s="28">
        <v>96700</v>
      </c>
      <c r="H322" s="4"/>
    </row>
    <row r="323" spans="1:8" ht="15.5">
      <c r="A323" s="8">
        <v>322</v>
      </c>
      <c r="B323" s="12" t="s">
        <v>568</v>
      </c>
      <c r="C323" s="12" t="s">
        <v>1358</v>
      </c>
      <c r="D323" s="12" t="s">
        <v>817</v>
      </c>
      <c r="E323" s="28">
        <v>37116</v>
      </c>
      <c r="F323" s="28">
        <v>7650</v>
      </c>
      <c r="G323" s="28">
        <v>98600</v>
      </c>
      <c r="H323" s="4" t="s">
        <v>821</v>
      </c>
    </row>
    <row r="324" spans="1:8" ht="15.5">
      <c r="A324" s="8">
        <v>323</v>
      </c>
      <c r="B324" s="12" t="s">
        <v>1838</v>
      </c>
      <c r="C324" s="12" t="s">
        <v>822</v>
      </c>
      <c r="D324" s="12" t="s">
        <v>835</v>
      </c>
      <c r="E324" s="28">
        <v>8922</v>
      </c>
      <c r="F324" s="28">
        <v>5606</v>
      </c>
      <c r="G324" s="28">
        <v>112000</v>
      </c>
      <c r="H324" s="4"/>
    </row>
    <row r="325" spans="1:8" ht="15.5">
      <c r="A325" s="8">
        <v>324</v>
      </c>
      <c r="B325" s="2" t="s">
        <v>338</v>
      </c>
      <c r="C325" s="12" t="s">
        <v>822</v>
      </c>
      <c r="D325" s="12" t="s">
        <v>835</v>
      </c>
      <c r="E325" s="28">
        <v>25868</v>
      </c>
      <c r="F325" s="28">
        <v>4754</v>
      </c>
      <c r="G325" s="28"/>
      <c r="H325" s="4"/>
    </row>
    <row r="326" spans="1:8" ht="15.5">
      <c r="A326" s="8">
        <v>325</v>
      </c>
      <c r="B326" s="12" t="s">
        <v>1845</v>
      </c>
      <c r="C326" s="12" t="s">
        <v>1229</v>
      </c>
      <c r="D326" s="12" t="s">
        <v>835</v>
      </c>
      <c r="E326" s="28">
        <v>8983</v>
      </c>
      <c r="F326" s="28">
        <v>7054</v>
      </c>
      <c r="G326" s="28">
        <v>127000</v>
      </c>
      <c r="H326" s="4"/>
    </row>
    <row r="327" spans="1:8" ht="15.5">
      <c r="A327" s="8">
        <v>326</v>
      </c>
      <c r="B327" s="12" t="s">
        <v>326</v>
      </c>
      <c r="C327" s="12" t="s">
        <v>910</v>
      </c>
      <c r="D327" s="12" t="s">
        <v>835</v>
      </c>
      <c r="E327" s="28">
        <v>8742</v>
      </c>
      <c r="F327" s="28">
        <v>5825</v>
      </c>
      <c r="G327" s="28">
        <v>103300</v>
      </c>
      <c r="H327" s="4"/>
    </row>
    <row r="328" spans="1:8" ht="15.5">
      <c r="A328" s="8">
        <v>327</v>
      </c>
      <c r="B328" s="12" t="s">
        <v>493</v>
      </c>
      <c r="C328" s="12" t="s">
        <v>943</v>
      </c>
      <c r="D328" s="12" t="s">
        <v>835</v>
      </c>
      <c r="E328" s="28">
        <v>9046</v>
      </c>
      <c r="F328" s="28">
        <v>8468</v>
      </c>
      <c r="G328" s="28">
        <v>117500</v>
      </c>
      <c r="H328" s="4"/>
    </row>
    <row r="329" spans="1:8" ht="15.5">
      <c r="A329" s="8">
        <v>328</v>
      </c>
      <c r="B329" s="12" t="s">
        <v>487</v>
      </c>
      <c r="C329" s="12" t="s">
        <v>851</v>
      </c>
      <c r="D329" s="12" t="s">
        <v>817</v>
      </c>
      <c r="E329" s="28">
        <v>26280</v>
      </c>
      <c r="F329" s="28">
        <v>10671</v>
      </c>
      <c r="G329" s="28">
        <v>110800</v>
      </c>
      <c r="H329" s="4" t="s">
        <v>830</v>
      </c>
    </row>
    <row r="330" spans="1:8" ht="15.5">
      <c r="A330" s="8">
        <v>329</v>
      </c>
      <c r="B330" s="12" t="s">
        <v>299</v>
      </c>
      <c r="C330" s="12" t="s">
        <v>840</v>
      </c>
      <c r="D330" s="12" t="s">
        <v>817</v>
      </c>
      <c r="E330" s="28">
        <v>53584</v>
      </c>
      <c r="F330" s="28">
        <v>6006</v>
      </c>
      <c r="G330" s="28">
        <v>107100</v>
      </c>
      <c r="H330" s="4" t="s">
        <v>821</v>
      </c>
    </row>
    <row r="331" spans="1:8" ht="15.5">
      <c r="A331" s="8">
        <v>330</v>
      </c>
      <c r="B331" s="11" t="s">
        <v>97</v>
      </c>
      <c r="C331" s="12" t="s">
        <v>1183</v>
      </c>
      <c r="D331" s="12" t="s">
        <v>835</v>
      </c>
      <c r="E331" s="28">
        <v>10727</v>
      </c>
      <c r="F331" s="28">
        <v>8773</v>
      </c>
      <c r="G331" s="28">
        <v>116300</v>
      </c>
      <c r="H331" s="4"/>
    </row>
    <row r="332" spans="1:8" ht="15.5">
      <c r="A332" s="8">
        <v>331</v>
      </c>
      <c r="B332" s="12" t="s">
        <v>427</v>
      </c>
      <c r="C332" s="12" t="s">
        <v>971</v>
      </c>
      <c r="D332" s="12" t="s">
        <v>817</v>
      </c>
      <c r="E332" s="28">
        <v>25728</v>
      </c>
      <c r="F332" s="28">
        <v>11152</v>
      </c>
      <c r="G332" s="28">
        <v>121100</v>
      </c>
      <c r="H332" s="4" t="s">
        <v>1235</v>
      </c>
    </row>
    <row r="333" spans="1:8" ht="15.5">
      <c r="A333" s="8">
        <v>332</v>
      </c>
      <c r="B333" s="12" t="s">
        <v>510</v>
      </c>
      <c r="C333" s="12" t="s">
        <v>840</v>
      </c>
      <c r="D333" s="12" t="s">
        <v>817</v>
      </c>
      <c r="E333" s="28">
        <v>33957</v>
      </c>
      <c r="F333" s="28">
        <v>9120</v>
      </c>
      <c r="G333" s="28">
        <v>119400</v>
      </c>
      <c r="H333" s="4" t="s">
        <v>938</v>
      </c>
    </row>
    <row r="334" spans="1:8" ht="15.5">
      <c r="A334" s="8">
        <v>333</v>
      </c>
      <c r="B334" s="12" t="s">
        <v>592</v>
      </c>
      <c r="C334" s="12" t="s">
        <v>971</v>
      </c>
      <c r="D334" s="12" t="s">
        <v>817</v>
      </c>
      <c r="E334" s="28">
        <v>23303</v>
      </c>
      <c r="F334" s="28">
        <v>7530</v>
      </c>
      <c r="G334" s="28">
        <v>121500</v>
      </c>
      <c r="H334" s="4" t="s">
        <v>938</v>
      </c>
    </row>
    <row r="335" spans="1:8" ht="15.5">
      <c r="A335" s="8">
        <v>334</v>
      </c>
      <c r="B335" s="12" t="s">
        <v>361</v>
      </c>
      <c r="C335" s="12" t="s">
        <v>840</v>
      </c>
      <c r="D335" s="12" t="s">
        <v>817</v>
      </c>
      <c r="E335" s="28">
        <v>29677</v>
      </c>
      <c r="F335" s="28">
        <v>5364</v>
      </c>
      <c r="G335" s="28">
        <v>129400</v>
      </c>
      <c r="H335" s="4" t="s">
        <v>1336</v>
      </c>
    </row>
    <row r="336" spans="1:8" ht="15.5">
      <c r="A336" s="8">
        <v>335</v>
      </c>
      <c r="B336" s="12" t="s">
        <v>372</v>
      </c>
      <c r="C336" s="12" t="s">
        <v>822</v>
      </c>
      <c r="D336" s="12" t="s">
        <v>817</v>
      </c>
      <c r="E336" s="28">
        <v>26521</v>
      </c>
      <c r="F336" s="28">
        <v>7941</v>
      </c>
      <c r="G336" s="28">
        <v>116800</v>
      </c>
      <c r="H336" s="4" t="s">
        <v>1336</v>
      </c>
    </row>
    <row r="337" spans="1:8" ht="15.5">
      <c r="A337" s="8">
        <v>336</v>
      </c>
      <c r="B337" s="12" t="s">
        <v>1878</v>
      </c>
      <c r="C337" s="12" t="s">
        <v>840</v>
      </c>
      <c r="D337" s="12" t="s">
        <v>835</v>
      </c>
      <c r="E337" s="28">
        <v>10382</v>
      </c>
      <c r="F337" s="28">
        <v>5276</v>
      </c>
      <c r="G337" s="28">
        <v>112300</v>
      </c>
      <c r="H337" s="4"/>
    </row>
    <row r="338" spans="1:8" ht="15.5">
      <c r="A338" s="8">
        <v>337</v>
      </c>
      <c r="B338" s="12" t="s">
        <v>653</v>
      </c>
      <c r="C338" s="12" t="s">
        <v>822</v>
      </c>
      <c r="D338" s="12" t="s">
        <v>835</v>
      </c>
      <c r="E338" s="28">
        <v>9529</v>
      </c>
      <c r="F338" s="28">
        <v>6511</v>
      </c>
      <c r="G338" s="28">
        <v>156200</v>
      </c>
      <c r="H338" s="4"/>
    </row>
    <row r="339" spans="1:8" ht="15.5">
      <c r="A339" s="8">
        <v>338</v>
      </c>
      <c r="B339" s="12" t="s">
        <v>1884</v>
      </c>
      <c r="C339" s="12" t="s">
        <v>831</v>
      </c>
      <c r="D339" s="12" t="s">
        <v>835</v>
      </c>
      <c r="E339" s="28">
        <v>8195</v>
      </c>
      <c r="F339" s="28">
        <v>9500</v>
      </c>
      <c r="G339" s="28">
        <v>98900</v>
      </c>
      <c r="H339" s="4"/>
    </row>
    <row r="340" spans="1:8" ht="15.5">
      <c r="A340" s="8">
        <v>339</v>
      </c>
      <c r="B340" s="12" t="s">
        <v>214</v>
      </c>
      <c r="C340" s="12" t="s">
        <v>858</v>
      </c>
      <c r="D340" s="12" t="s">
        <v>835</v>
      </c>
      <c r="E340" s="28">
        <v>12552</v>
      </c>
      <c r="F340" s="28">
        <v>6377</v>
      </c>
      <c r="G340" s="28">
        <v>115100</v>
      </c>
      <c r="H340" s="4"/>
    </row>
    <row r="341" spans="1:8" ht="15.5">
      <c r="A341" s="8">
        <v>340</v>
      </c>
      <c r="B341" s="12" t="s">
        <v>680</v>
      </c>
      <c r="C341" s="12" t="s">
        <v>822</v>
      </c>
      <c r="D341" s="12" t="s">
        <v>817</v>
      </c>
      <c r="E341" s="28">
        <v>34200</v>
      </c>
      <c r="F341" s="28">
        <v>7481</v>
      </c>
      <c r="G341" s="28"/>
      <c r="H341" s="4"/>
    </row>
    <row r="342" spans="1:8" ht="15.5">
      <c r="A342" s="8">
        <v>341</v>
      </c>
      <c r="B342" s="12" t="s">
        <v>297</v>
      </c>
      <c r="C342" s="12" t="s">
        <v>822</v>
      </c>
      <c r="D342" s="12" t="s">
        <v>835</v>
      </c>
      <c r="E342" s="28">
        <v>9590</v>
      </c>
      <c r="F342" s="28">
        <v>4958</v>
      </c>
      <c r="G342" s="28">
        <v>117500</v>
      </c>
      <c r="H342" s="4"/>
    </row>
    <row r="343" spans="1:8" ht="15.5">
      <c r="A343" s="8">
        <v>342</v>
      </c>
      <c r="B343" s="12" t="s">
        <v>448</v>
      </c>
      <c r="C343" s="12" t="s">
        <v>840</v>
      </c>
      <c r="D343" s="12" t="s">
        <v>817</v>
      </c>
      <c r="E343" s="28">
        <v>36421</v>
      </c>
      <c r="F343" s="28">
        <v>7218</v>
      </c>
      <c r="G343" s="28">
        <v>115600</v>
      </c>
      <c r="H343" s="4" t="s">
        <v>830</v>
      </c>
    </row>
    <row r="344" spans="1:8" ht="15.5">
      <c r="A344" s="8">
        <v>343</v>
      </c>
      <c r="B344" s="12" t="s">
        <v>1896</v>
      </c>
      <c r="C344" s="12" t="s">
        <v>1897</v>
      </c>
      <c r="D344" s="12" t="s">
        <v>835</v>
      </c>
      <c r="E344" s="28">
        <v>5825</v>
      </c>
      <c r="F344" s="28">
        <v>3532</v>
      </c>
      <c r="G344" s="28">
        <v>98700</v>
      </c>
      <c r="H344" s="4"/>
    </row>
    <row r="345" spans="1:8" ht="15.5">
      <c r="A345" s="8">
        <v>344</v>
      </c>
      <c r="B345" s="12" t="s">
        <v>616</v>
      </c>
      <c r="C345" s="12" t="s">
        <v>910</v>
      </c>
      <c r="D345" s="12" t="s">
        <v>835</v>
      </c>
      <c r="E345" s="28">
        <v>14102</v>
      </c>
      <c r="F345" s="28">
        <v>4856</v>
      </c>
      <c r="G345" s="28">
        <v>109000</v>
      </c>
      <c r="H345" s="4"/>
    </row>
    <row r="346" spans="1:8" ht="15.5">
      <c r="A346" s="8">
        <v>345</v>
      </c>
      <c r="B346" s="12" t="s">
        <v>281</v>
      </c>
      <c r="C346" s="12" t="s">
        <v>840</v>
      </c>
      <c r="D346" s="12" t="s">
        <v>817</v>
      </c>
      <c r="E346" s="28">
        <v>33911</v>
      </c>
      <c r="F346" s="28">
        <v>9879</v>
      </c>
      <c r="G346" s="28">
        <v>134000</v>
      </c>
      <c r="H346" s="4" t="s">
        <v>1498</v>
      </c>
    </row>
    <row r="347" spans="1:8" ht="15.5">
      <c r="A347" s="8">
        <v>346</v>
      </c>
      <c r="B347" s="12" t="s">
        <v>1904</v>
      </c>
      <c r="C347" s="12" t="s">
        <v>1905</v>
      </c>
      <c r="D347" s="12" t="s">
        <v>835</v>
      </c>
      <c r="E347" s="28">
        <v>8704</v>
      </c>
      <c r="F347" s="28">
        <v>5705</v>
      </c>
      <c r="G347" s="28">
        <v>115700</v>
      </c>
      <c r="H347" s="4"/>
    </row>
    <row r="348" spans="1:8" ht="15.5">
      <c r="A348" s="8">
        <v>347</v>
      </c>
      <c r="B348" s="12" t="s">
        <v>482</v>
      </c>
      <c r="C348" s="12" t="s">
        <v>1124</v>
      </c>
      <c r="D348" s="12" t="s">
        <v>817</v>
      </c>
      <c r="E348" s="28">
        <v>36497</v>
      </c>
      <c r="F348" s="28">
        <v>7089</v>
      </c>
      <c r="G348" s="28">
        <v>140800</v>
      </c>
      <c r="H348" s="4" t="s">
        <v>821</v>
      </c>
    </row>
    <row r="349" spans="1:8" ht="15.5">
      <c r="A349" s="8">
        <v>348</v>
      </c>
      <c r="B349" s="12" t="s">
        <v>1911</v>
      </c>
      <c r="C349" s="12" t="s">
        <v>979</v>
      </c>
      <c r="D349" s="12" t="s">
        <v>835</v>
      </c>
      <c r="E349" s="28">
        <v>12961</v>
      </c>
      <c r="F349" s="28">
        <v>4891</v>
      </c>
      <c r="G349" s="28">
        <v>107900</v>
      </c>
      <c r="H349" s="4"/>
    </row>
    <row r="350" spans="1:8" ht="15.5">
      <c r="A350" s="8">
        <v>349</v>
      </c>
      <c r="B350" s="12" t="s">
        <v>291</v>
      </c>
      <c r="C350" s="12" t="s">
        <v>934</v>
      </c>
      <c r="D350" s="12" t="s">
        <v>817</v>
      </c>
      <c r="E350" s="28">
        <v>34449</v>
      </c>
      <c r="F350" s="28">
        <v>10152</v>
      </c>
      <c r="G350" s="28">
        <v>129500</v>
      </c>
      <c r="H350" s="4" t="s">
        <v>938</v>
      </c>
    </row>
    <row r="351" spans="1:8" ht="15.5">
      <c r="A351" s="8">
        <v>350</v>
      </c>
      <c r="B351" s="12" t="s">
        <v>1915</v>
      </c>
      <c r="C351" s="12" t="s">
        <v>840</v>
      </c>
      <c r="D351" s="12" t="s">
        <v>835</v>
      </c>
      <c r="E351" s="28">
        <v>10412</v>
      </c>
      <c r="F351" s="28">
        <v>5384</v>
      </c>
      <c r="G351" s="28">
        <v>94900</v>
      </c>
      <c r="H351"/>
    </row>
    <row r="352" spans="1:8" ht="15.5">
      <c r="A352" s="8">
        <v>351</v>
      </c>
      <c r="B352" s="12" t="s">
        <v>630</v>
      </c>
      <c r="C352" s="12" t="s">
        <v>926</v>
      </c>
      <c r="D352" s="12" t="s">
        <v>817</v>
      </c>
      <c r="E352" s="28">
        <v>32842</v>
      </c>
      <c r="F352" s="28">
        <v>6403</v>
      </c>
      <c r="G352" s="28">
        <v>109400</v>
      </c>
      <c r="H352" s="4" t="s">
        <v>1235</v>
      </c>
    </row>
    <row r="353" spans="1:8" ht="15.5">
      <c r="A353" s="8">
        <v>352</v>
      </c>
      <c r="B353" s="12" t="s">
        <v>575</v>
      </c>
      <c r="C353" s="12" t="s">
        <v>910</v>
      </c>
      <c r="D353" s="12" t="s">
        <v>817</v>
      </c>
      <c r="E353" s="28">
        <v>31988</v>
      </c>
      <c r="F353" s="28">
        <v>9901</v>
      </c>
      <c r="G353" s="28">
        <v>107100</v>
      </c>
      <c r="H353" s="4" t="s">
        <v>1498</v>
      </c>
    </row>
    <row r="354" spans="1:8" ht="15.5">
      <c r="A354" s="8">
        <v>353</v>
      </c>
      <c r="B354" s="12" t="s">
        <v>275</v>
      </c>
      <c r="C354" s="12" t="s">
        <v>1720</v>
      </c>
      <c r="D354" s="12" t="s">
        <v>835</v>
      </c>
      <c r="E354" s="28">
        <v>9892</v>
      </c>
      <c r="F354" s="28">
        <v>7335</v>
      </c>
      <c r="G354" s="28">
        <v>99800</v>
      </c>
      <c r="H354" s="4"/>
    </row>
    <row r="355" spans="1:8" ht="15.5">
      <c r="A355" s="8">
        <v>354</v>
      </c>
      <c r="B355" s="12" t="s">
        <v>1925</v>
      </c>
      <c r="C355" s="12" t="s">
        <v>816</v>
      </c>
      <c r="D355" s="12" t="s">
        <v>835</v>
      </c>
      <c r="E355" s="28">
        <v>15670</v>
      </c>
      <c r="F355" s="28">
        <v>6495</v>
      </c>
      <c r="G355" s="28">
        <v>111000</v>
      </c>
      <c r="H355" s="4"/>
    </row>
    <row r="356" spans="1:8" ht="15.5">
      <c r="A356" s="8">
        <v>355</v>
      </c>
      <c r="B356" s="12" t="s">
        <v>583</v>
      </c>
      <c r="C356" s="12" t="s">
        <v>822</v>
      </c>
      <c r="D356" s="12" t="s">
        <v>817</v>
      </c>
      <c r="E356" s="28">
        <v>33900</v>
      </c>
      <c r="F356" s="28">
        <v>7897</v>
      </c>
      <c r="G356" s="28">
        <v>133600</v>
      </c>
      <c r="H356" s="4" t="s">
        <v>920</v>
      </c>
    </row>
    <row r="357" spans="1:8" ht="15.5">
      <c r="A357" s="8">
        <v>356</v>
      </c>
      <c r="B357" s="12" t="s">
        <v>1930</v>
      </c>
      <c r="C357" s="12" t="s">
        <v>1082</v>
      </c>
      <c r="D357" s="12" t="s">
        <v>817</v>
      </c>
      <c r="E357" s="28">
        <v>37533</v>
      </c>
      <c r="F357" s="28">
        <v>9006</v>
      </c>
      <c r="G357" s="28">
        <v>131700</v>
      </c>
      <c r="H357" s="4" t="s">
        <v>920</v>
      </c>
    </row>
    <row r="358" spans="1:8" ht="15.5">
      <c r="A358" s="8">
        <v>357</v>
      </c>
      <c r="B358" s="12" t="s">
        <v>1934</v>
      </c>
      <c r="C358" s="12" t="s">
        <v>1199</v>
      </c>
      <c r="D358" s="12" t="s">
        <v>817</v>
      </c>
      <c r="E358" s="28">
        <v>20536</v>
      </c>
      <c r="F358" s="28">
        <v>15653</v>
      </c>
      <c r="G358" s="28">
        <v>146800</v>
      </c>
      <c r="H358" s="4"/>
    </row>
    <row r="359" spans="1:8" ht="15.5">
      <c r="A359" s="8">
        <v>358</v>
      </c>
      <c r="B359" s="12" t="s">
        <v>500</v>
      </c>
      <c r="C359" s="12" t="s">
        <v>939</v>
      </c>
      <c r="D359" s="12" t="s">
        <v>817</v>
      </c>
      <c r="E359" s="28">
        <v>10629</v>
      </c>
      <c r="F359" s="28">
        <v>7997</v>
      </c>
      <c r="G359" s="28">
        <v>98400</v>
      </c>
      <c r="H359" s="4" t="s">
        <v>920</v>
      </c>
    </row>
    <row r="360" spans="1:8" ht="15.5">
      <c r="A360" s="8">
        <v>359</v>
      </c>
      <c r="B360" s="12" t="s">
        <v>485</v>
      </c>
      <c r="C360" s="12" t="s">
        <v>979</v>
      </c>
      <c r="D360" s="12" t="s">
        <v>817</v>
      </c>
      <c r="E360" s="28">
        <v>32482</v>
      </c>
      <c r="F360" s="28">
        <v>7519</v>
      </c>
      <c r="G360" s="28">
        <v>134000</v>
      </c>
      <c r="H360" s="4" t="s">
        <v>920</v>
      </c>
    </row>
    <row r="361" spans="1:8" ht="15.5">
      <c r="A361" s="8">
        <v>360</v>
      </c>
      <c r="B361" s="12" t="s">
        <v>407</v>
      </c>
      <c r="C361" s="12" t="s">
        <v>822</v>
      </c>
      <c r="D361" s="12" t="s">
        <v>835</v>
      </c>
      <c r="E361" s="28">
        <v>9696</v>
      </c>
      <c r="F361" s="28">
        <v>5076</v>
      </c>
      <c r="G361" s="28">
        <v>117500</v>
      </c>
      <c r="H361" s="4"/>
    </row>
    <row r="362" spans="1:8" ht="15.5">
      <c r="A362" s="8">
        <v>361</v>
      </c>
      <c r="B362" s="12" t="s">
        <v>539</v>
      </c>
      <c r="C362" s="12" t="s">
        <v>844</v>
      </c>
      <c r="D362" s="12" t="s">
        <v>817</v>
      </c>
      <c r="E362" s="28">
        <v>38412</v>
      </c>
      <c r="F362" s="28">
        <v>8149</v>
      </c>
      <c r="G362" s="28">
        <v>120900</v>
      </c>
      <c r="H362" s="4" t="s">
        <v>1221</v>
      </c>
    </row>
    <row r="363" spans="1:8" ht="15.5">
      <c r="A363" s="8">
        <v>362</v>
      </c>
      <c r="B363" s="12" t="s">
        <v>567</v>
      </c>
      <c r="C363" s="12" t="s">
        <v>862</v>
      </c>
      <c r="D363" s="12" t="s">
        <v>835</v>
      </c>
      <c r="E363" s="28">
        <v>10265</v>
      </c>
      <c r="F363" s="28">
        <v>7459</v>
      </c>
      <c r="G363" s="28">
        <v>118200</v>
      </c>
      <c r="H363" s="4"/>
    </row>
    <row r="364" spans="1:8" ht="15.5">
      <c r="A364" s="8">
        <v>363</v>
      </c>
      <c r="B364" s="12" t="s">
        <v>623</v>
      </c>
      <c r="C364" s="12" t="s">
        <v>840</v>
      </c>
      <c r="D364" s="12" t="s">
        <v>817</v>
      </c>
      <c r="E364" s="28">
        <v>28273</v>
      </c>
      <c r="F364" s="28">
        <v>9536</v>
      </c>
      <c r="G364" s="28">
        <v>121000</v>
      </c>
      <c r="H364" s="4" t="s">
        <v>1336</v>
      </c>
    </row>
    <row r="365" spans="1:8" ht="15.5">
      <c r="A365" s="8">
        <v>364</v>
      </c>
      <c r="B365" s="12" t="s">
        <v>1950</v>
      </c>
      <c r="C365" s="12" t="s">
        <v>840</v>
      </c>
      <c r="D365" s="12" t="s">
        <v>817</v>
      </c>
      <c r="E365" s="28">
        <v>22053</v>
      </c>
      <c r="F365" s="28">
        <v>10292</v>
      </c>
      <c r="G365" s="28">
        <v>96200</v>
      </c>
      <c r="H365" s="4" t="s">
        <v>1336</v>
      </c>
    </row>
    <row r="366" spans="1:8" ht="15.5">
      <c r="A366" s="8">
        <v>365</v>
      </c>
      <c r="B366" s="12" t="s">
        <v>132</v>
      </c>
      <c r="C366" s="12" t="s">
        <v>939</v>
      </c>
      <c r="D366" s="12" t="s">
        <v>835</v>
      </c>
      <c r="E366" s="28">
        <v>11563</v>
      </c>
      <c r="F366" s="28">
        <v>5857</v>
      </c>
      <c r="G366" s="28">
        <v>108800</v>
      </c>
      <c r="H366" s="4"/>
    </row>
    <row r="367" spans="1:8" ht="15.5">
      <c r="A367" s="8">
        <v>366</v>
      </c>
      <c r="B367" s="12" t="s">
        <v>514</v>
      </c>
      <c r="C367" s="12" t="s">
        <v>943</v>
      </c>
      <c r="D367" s="12" t="s">
        <v>835</v>
      </c>
      <c r="E367" s="28">
        <v>8022</v>
      </c>
      <c r="F367" s="28">
        <v>8879</v>
      </c>
      <c r="G367" s="28">
        <v>103800</v>
      </c>
      <c r="H367" s="4"/>
    </row>
    <row r="368" spans="1:8" ht="15.5">
      <c r="A368" s="8">
        <v>367</v>
      </c>
      <c r="B368" s="12" t="s">
        <v>475</v>
      </c>
      <c r="C368" s="12" t="s">
        <v>939</v>
      </c>
      <c r="D368" s="12" t="s">
        <v>817</v>
      </c>
      <c r="E368" s="28">
        <v>13577</v>
      </c>
      <c r="F368" s="28">
        <v>8374</v>
      </c>
      <c r="G368" s="28">
        <v>124200</v>
      </c>
      <c r="H368" s="4" t="s">
        <v>938</v>
      </c>
    </row>
    <row r="369" spans="1:8" ht="15.5">
      <c r="A369" s="8">
        <v>368</v>
      </c>
      <c r="B369" s="12" t="s">
        <v>532</v>
      </c>
      <c r="C369" s="12" t="s">
        <v>922</v>
      </c>
      <c r="D369" s="12" t="s">
        <v>835</v>
      </c>
      <c r="E369" s="28">
        <v>10761</v>
      </c>
      <c r="F369" s="28">
        <v>5720</v>
      </c>
      <c r="G369" s="28">
        <v>117800</v>
      </c>
      <c r="H369" s="4"/>
    </row>
    <row r="370" spans="1:8" ht="15.5">
      <c r="A370" s="8">
        <v>369</v>
      </c>
      <c r="B370" s="12" t="s">
        <v>477</v>
      </c>
      <c r="C370" s="12" t="s">
        <v>822</v>
      </c>
      <c r="D370" s="12" t="s">
        <v>835</v>
      </c>
      <c r="E370" s="28">
        <v>8659</v>
      </c>
      <c r="F370" s="28">
        <v>5669</v>
      </c>
      <c r="G370" s="28">
        <v>121000</v>
      </c>
      <c r="H370" s="4"/>
    </row>
    <row r="371" spans="1:8" ht="15.5">
      <c r="A371" s="8">
        <v>370</v>
      </c>
      <c r="B371" s="12" t="s">
        <v>468</v>
      </c>
      <c r="C371" s="12" t="s">
        <v>816</v>
      </c>
      <c r="D371" s="12" t="s">
        <v>817</v>
      </c>
      <c r="E371" s="28">
        <v>31901</v>
      </c>
      <c r="F371" s="28">
        <v>9988</v>
      </c>
      <c r="G371" s="28">
        <v>117200</v>
      </c>
      <c r="H371" s="4" t="s">
        <v>1498</v>
      </c>
    </row>
    <row r="372" spans="1:8" ht="15.5">
      <c r="A372" s="8">
        <v>371</v>
      </c>
      <c r="B372" s="12" t="s">
        <v>155</v>
      </c>
      <c r="C372" s="12" t="s">
        <v>876</v>
      </c>
      <c r="D372" s="12" t="s">
        <v>835</v>
      </c>
      <c r="E372" s="28">
        <v>13573</v>
      </c>
      <c r="F372" s="28">
        <v>10862</v>
      </c>
      <c r="G372" s="28">
        <v>118800</v>
      </c>
      <c r="H372" s="4"/>
    </row>
    <row r="373" spans="1:8" ht="15.5">
      <c r="A373" s="8">
        <v>372</v>
      </c>
      <c r="B373" s="12" t="s">
        <v>447</v>
      </c>
      <c r="C373" s="12" t="s">
        <v>840</v>
      </c>
      <c r="D373" s="12" t="s">
        <v>817</v>
      </c>
      <c r="E373" s="28">
        <v>29952</v>
      </c>
      <c r="F373" s="28">
        <v>9340</v>
      </c>
      <c r="G373" s="28">
        <v>122600</v>
      </c>
      <c r="H373" s="4" t="s">
        <v>1336</v>
      </c>
    </row>
    <row r="374" spans="1:8" ht="15.5">
      <c r="A374" s="8">
        <v>373</v>
      </c>
      <c r="B374" s="12" t="s">
        <v>1975</v>
      </c>
      <c r="C374" s="12" t="s">
        <v>1082</v>
      </c>
      <c r="D374" s="12" t="s">
        <v>817</v>
      </c>
      <c r="E374" s="28">
        <v>17756</v>
      </c>
      <c r="F374" s="28">
        <v>10219</v>
      </c>
      <c r="G374" s="28">
        <v>97700</v>
      </c>
      <c r="H374" s="4" t="s">
        <v>1221</v>
      </c>
    </row>
    <row r="375" spans="1:8" ht="15.5">
      <c r="A375" s="8">
        <v>374</v>
      </c>
      <c r="B375" s="12" t="s">
        <v>428</v>
      </c>
      <c r="C375" s="12" t="s">
        <v>831</v>
      </c>
      <c r="D375" s="12" t="s">
        <v>835</v>
      </c>
      <c r="E375" s="28">
        <v>6212</v>
      </c>
      <c r="F375" s="28">
        <v>6772</v>
      </c>
      <c r="G375" s="28">
        <v>109800</v>
      </c>
      <c r="H375" s="4"/>
    </row>
    <row r="376" spans="1:8" ht="15.5">
      <c r="A376" s="8">
        <v>375</v>
      </c>
      <c r="B376" s="12" t="s">
        <v>531</v>
      </c>
      <c r="C376" s="12" t="s">
        <v>1000</v>
      </c>
      <c r="D376" s="12" t="s">
        <v>817</v>
      </c>
      <c r="E376" s="28">
        <v>31850</v>
      </c>
      <c r="F376" s="28">
        <v>7464</v>
      </c>
      <c r="G376" s="28">
        <v>135100</v>
      </c>
      <c r="H376" s="4" t="s">
        <v>1336</v>
      </c>
    </row>
    <row r="377" spans="1:8" ht="15.5">
      <c r="A377" s="8">
        <v>376</v>
      </c>
      <c r="B377" s="12" t="s">
        <v>318</v>
      </c>
      <c r="C377" s="12" t="s">
        <v>926</v>
      </c>
      <c r="D377" s="12" t="s">
        <v>835</v>
      </c>
      <c r="E377" s="28">
        <v>8049</v>
      </c>
      <c r="F377" s="28">
        <v>7209</v>
      </c>
      <c r="G377" s="28">
        <v>106400</v>
      </c>
      <c r="H377" s="4"/>
    </row>
    <row r="378" spans="1:8" ht="15.5">
      <c r="A378" s="8">
        <v>377</v>
      </c>
      <c r="B378" s="12" t="s">
        <v>1986</v>
      </c>
      <c r="C378" s="12" t="s">
        <v>1082</v>
      </c>
      <c r="D378" s="12" t="s">
        <v>835</v>
      </c>
      <c r="E378" s="28">
        <v>7345</v>
      </c>
      <c r="F378" s="28">
        <v>9247</v>
      </c>
      <c r="G378" s="28">
        <v>117300</v>
      </c>
      <c r="H378" s="4"/>
    </row>
    <row r="379" spans="1:8" ht="15.5">
      <c r="A379" s="8">
        <v>378</v>
      </c>
      <c r="B379" s="12" t="s">
        <v>1988</v>
      </c>
      <c r="C379" s="12" t="s">
        <v>822</v>
      </c>
      <c r="D379" s="12" t="s">
        <v>835</v>
      </c>
      <c r="E379" s="28">
        <v>9412</v>
      </c>
      <c r="F379" s="28">
        <v>5440</v>
      </c>
      <c r="G379" s="28">
        <v>109200</v>
      </c>
      <c r="H379" s="4"/>
    </row>
    <row r="380" spans="1:8" ht="15.5">
      <c r="A380" s="8">
        <v>379</v>
      </c>
      <c r="B380" s="12" t="s">
        <v>1992</v>
      </c>
      <c r="C380" s="12" t="s">
        <v>844</v>
      </c>
      <c r="D380" s="12" t="s">
        <v>817</v>
      </c>
      <c r="E380" s="28">
        <v>29822</v>
      </c>
      <c r="F380" s="28">
        <v>9723</v>
      </c>
      <c r="G380" s="28">
        <v>124600</v>
      </c>
      <c r="H380" s="4" t="s">
        <v>1336</v>
      </c>
    </row>
    <row r="381" spans="1:8" ht="15.5">
      <c r="A381" s="8">
        <v>380</v>
      </c>
      <c r="B381" s="12" t="s">
        <v>1996</v>
      </c>
      <c r="C381" s="12" t="s">
        <v>840</v>
      </c>
      <c r="D381" s="12" t="s">
        <v>817</v>
      </c>
      <c r="E381" s="28">
        <v>27862</v>
      </c>
      <c r="F381" s="28">
        <v>7749</v>
      </c>
      <c r="G381" s="28">
        <v>119100</v>
      </c>
      <c r="H381" s="4" t="s">
        <v>1336</v>
      </c>
    </row>
    <row r="382" spans="1:8" ht="15.5">
      <c r="A382" s="8">
        <v>381</v>
      </c>
      <c r="B382" s="12" t="s">
        <v>348</v>
      </c>
      <c r="C382" s="12" t="s">
        <v>2000</v>
      </c>
      <c r="D382" s="12" t="s">
        <v>835</v>
      </c>
      <c r="E382" s="28">
        <v>4551</v>
      </c>
      <c r="F382" s="28">
        <v>7998</v>
      </c>
      <c r="G382" s="28">
        <v>104000</v>
      </c>
      <c r="H382" s="4"/>
    </row>
    <row r="383" spans="1:8" ht="15.5">
      <c r="A383" s="8">
        <v>382</v>
      </c>
      <c r="B383" s="12" t="s">
        <v>2004</v>
      </c>
      <c r="C383" s="12" t="s">
        <v>840</v>
      </c>
      <c r="D383" s="12" t="s">
        <v>835</v>
      </c>
      <c r="E383" s="28">
        <v>7749</v>
      </c>
      <c r="F383" s="28">
        <v>6619</v>
      </c>
      <c r="G383" s="28">
        <v>99600</v>
      </c>
      <c r="H383" s="4"/>
    </row>
    <row r="384" spans="1:8" ht="15.5">
      <c r="A384" s="8">
        <v>383</v>
      </c>
      <c r="B384" s="12" t="s">
        <v>677</v>
      </c>
      <c r="C384" s="12" t="s">
        <v>1164</v>
      </c>
      <c r="D384" s="12" t="s">
        <v>817</v>
      </c>
      <c r="E384" s="28">
        <v>34379</v>
      </c>
      <c r="F384" s="28">
        <v>7610</v>
      </c>
      <c r="G384" s="28">
        <v>100200</v>
      </c>
      <c r="H384" s="4" t="s">
        <v>1235</v>
      </c>
    </row>
    <row r="385" spans="1:8" ht="15.5">
      <c r="A385" s="8">
        <v>384</v>
      </c>
      <c r="B385" s="12" t="s">
        <v>454</v>
      </c>
      <c r="C385" s="12" t="s">
        <v>851</v>
      </c>
      <c r="D385" s="12" t="s">
        <v>835</v>
      </c>
      <c r="E385" s="28">
        <v>9790</v>
      </c>
      <c r="F385" s="28">
        <v>5750</v>
      </c>
      <c r="G385" s="28">
        <v>94500</v>
      </c>
      <c r="H385" s="4"/>
    </row>
    <row r="386" spans="1:8" ht="15.5">
      <c r="A386" s="8">
        <v>385</v>
      </c>
      <c r="B386" s="12" t="s">
        <v>266</v>
      </c>
      <c r="C386" s="12" t="s">
        <v>827</v>
      </c>
      <c r="D386" s="12" t="s">
        <v>817</v>
      </c>
      <c r="E386" s="28">
        <v>19300</v>
      </c>
      <c r="F386" s="28">
        <v>17737</v>
      </c>
      <c r="G386" s="28">
        <v>109600</v>
      </c>
      <c r="H386" s="4" t="s">
        <v>1221</v>
      </c>
    </row>
    <row r="387" spans="1:8" ht="15.5">
      <c r="A387" s="8">
        <v>386</v>
      </c>
      <c r="B387" s="12" t="s">
        <v>300</v>
      </c>
      <c r="C387" s="12" t="s">
        <v>816</v>
      </c>
      <c r="D387" s="12" t="s">
        <v>835</v>
      </c>
      <c r="E387" s="28">
        <v>11771</v>
      </c>
      <c r="F387" s="28">
        <v>7904</v>
      </c>
      <c r="G387" s="28">
        <v>118400</v>
      </c>
      <c r="H387" s="4"/>
    </row>
    <row r="388" spans="1:8" ht="15.5">
      <c r="A388" s="8">
        <v>387</v>
      </c>
      <c r="B388" s="12" t="s">
        <v>542</v>
      </c>
      <c r="C388" s="12" t="s">
        <v>822</v>
      </c>
      <c r="D388" s="12" t="s">
        <v>817</v>
      </c>
      <c r="E388" s="28">
        <v>17194</v>
      </c>
      <c r="F388" s="28">
        <v>4151</v>
      </c>
      <c r="G388" s="28">
        <v>103400</v>
      </c>
      <c r="H388" s="4" t="s">
        <v>1498</v>
      </c>
    </row>
    <row r="389" spans="1:8" ht="15.5">
      <c r="A389" s="8">
        <v>388</v>
      </c>
      <c r="B389" s="12" t="s">
        <v>138</v>
      </c>
      <c r="C389" s="12" t="s">
        <v>1678</v>
      </c>
      <c r="D389" s="12" t="s">
        <v>835</v>
      </c>
      <c r="E389" s="28">
        <v>9280</v>
      </c>
      <c r="F389" s="28">
        <v>5724</v>
      </c>
      <c r="G389" s="28">
        <v>111400</v>
      </c>
      <c r="H389" s="4"/>
    </row>
    <row r="390" spans="1:8" ht="15.5">
      <c r="A390" s="8">
        <v>389</v>
      </c>
      <c r="B390" s="12" t="s">
        <v>593</v>
      </c>
      <c r="C390" s="12" t="s">
        <v>822</v>
      </c>
      <c r="D390" s="12" t="s">
        <v>817</v>
      </c>
      <c r="E390" s="28">
        <v>19422</v>
      </c>
      <c r="F390" s="28">
        <v>7511</v>
      </c>
      <c r="G390" s="28">
        <v>116100</v>
      </c>
      <c r="H390" s="4" t="s">
        <v>1221</v>
      </c>
    </row>
    <row r="391" spans="1:8" ht="15.5">
      <c r="A391" s="8">
        <v>390</v>
      </c>
      <c r="B391" s="12" t="s">
        <v>557</v>
      </c>
      <c r="C391" s="12" t="s">
        <v>1004</v>
      </c>
      <c r="D391" s="12" t="s">
        <v>817</v>
      </c>
      <c r="E391" s="28">
        <v>49183</v>
      </c>
      <c r="F391" s="28">
        <v>6846</v>
      </c>
      <c r="G391" s="28">
        <v>109700</v>
      </c>
      <c r="H391" s="4" t="s">
        <v>1498</v>
      </c>
    </row>
    <row r="392" spans="1:8" ht="15.5">
      <c r="A392" s="8">
        <v>391</v>
      </c>
      <c r="B392" s="12" t="s">
        <v>492</v>
      </c>
      <c r="C392" s="12" t="s">
        <v>1082</v>
      </c>
      <c r="D392" s="12" t="s">
        <v>817</v>
      </c>
      <c r="E392" s="28">
        <v>37012</v>
      </c>
      <c r="F392" s="28">
        <v>6857</v>
      </c>
      <c r="G392" s="28">
        <v>99900</v>
      </c>
      <c r="H392" s="4" t="s">
        <v>1221</v>
      </c>
    </row>
    <row r="393" spans="1:8" ht="15.5">
      <c r="A393" s="8">
        <v>392</v>
      </c>
      <c r="B393" s="12" t="s">
        <v>596</v>
      </c>
      <c r="C393" s="12" t="s">
        <v>844</v>
      </c>
      <c r="D393" s="12" t="s">
        <v>817</v>
      </c>
      <c r="E393" s="28">
        <v>40075</v>
      </c>
      <c r="F393" s="28">
        <v>10636</v>
      </c>
      <c r="G393" s="28">
        <v>131400</v>
      </c>
      <c r="H393" s="4" t="s">
        <v>1235</v>
      </c>
    </row>
    <row r="394" spans="1:8" ht="15.5">
      <c r="A394" s="8">
        <v>393</v>
      </c>
      <c r="B394" s="12" t="s">
        <v>578</v>
      </c>
      <c r="C394" s="12" t="s">
        <v>1236</v>
      </c>
      <c r="D394" s="12" t="s">
        <v>835</v>
      </c>
      <c r="E394" s="28">
        <v>8302</v>
      </c>
      <c r="F394" s="28">
        <v>6402</v>
      </c>
      <c r="G394" s="28">
        <v>121300</v>
      </c>
      <c r="H394" s="4"/>
    </row>
    <row r="395" spans="1:8" ht="15.5">
      <c r="A395" s="8">
        <v>394</v>
      </c>
      <c r="B395" s="12" t="s">
        <v>486</v>
      </c>
      <c r="C395" s="12" t="s">
        <v>858</v>
      </c>
      <c r="D395" s="12" t="s">
        <v>817</v>
      </c>
      <c r="E395" s="28">
        <v>36614</v>
      </c>
      <c r="F395" s="28">
        <v>8859</v>
      </c>
      <c r="G395" s="28">
        <v>119500</v>
      </c>
      <c r="H395" s="4" t="s">
        <v>938</v>
      </c>
    </row>
    <row r="396" spans="1:8" ht="15.5">
      <c r="A396" s="8">
        <v>395</v>
      </c>
      <c r="B396" s="12" t="s">
        <v>559</v>
      </c>
      <c r="C396" s="12" t="s">
        <v>822</v>
      </c>
      <c r="D396" s="12" t="s">
        <v>817</v>
      </c>
      <c r="E396" s="28">
        <v>30597</v>
      </c>
      <c r="F396" s="28">
        <v>7577</v>
      </c>
      <c r="G396" s="28">
        <v>122000</v>
      </c>
      <c r="H396" s="4" t="s">
        <v>1336</v>
      </c>
    </row>
    <row r="397" spans="1:8" ht="15.5">
      <c r="A397" s="8">
        <v>396</v>
      </c>
      <c r="B397" s="12" t="s">
        <v>626</v>
      </c>
      <c r="C397" s="12" t="s">
        <v>840</v>
      </c>
      <c r="D397" s="12" t="s">
        <v>817</v>
      </c>
      <c r="E397" s="28">
        <v>27843</v>
      </c>
      <c r="F397" s="28">
        <v>8273</v>
      </c>
      <c r="G397" s="28">
        <v>115100</v>
      </c>
      <c r="H397" s="4" t="s">
        <v>1498</v>
      </c>
    </row>
    <row r="398" spans="1:8" ht="15.5">
      <c r="A398" s="8">
        <v>397</v>
      </c>
      <c r="B398" s="12" t="s">
        <v>445</v>
      </c>
      <c r="C398" s="12" t="s">
        <v>910</v>
      </c>
      <c r="D398" s="12" t="s">
        <v>835</v>
      </c>
      <c r="E398" s="28">
        <v>12191</v>
      </c>
      <c r="F398" s="28">
        <v>5747</v>
      </c>
      <c r="G398" s="28">
        <v>96900</v>
      </c>
      <c r="H398" s="4"/>
    </row>
    <row r="399" spans="1:8" ht="15.5">
      <c r="A399" s="8">
        <v>398</v>
      </c>
      <c r="B399" s="12" t="s">
        <v>536</v>
      </c>
      <c r="C399" s="12" t="s">
        <v>1000</v>
      </c>
      <c r="D399" s="12" t="s">
        <v>835</v>
      </c>
      <c r="E399" s="28">
        <v>4866</v>
      </c>
      <c r="F399" s="28">
        <v>6522</v>
      </c>
      <c r="G399" s="28">
        <v>117000</v>
      </c>
      <c r="H399" s="4"/>
    </row>
    <row r="400" spans="1:8" ht="15.5">
      <c r="A400" s="8">
        <v>399</v>
      </c>
      <c r="B400" s="12" t="s">
        <v>503</v>
      </c>
      <c r="C400" s="12" t="s">
        <v>844</v>
      </c>
      <c r="D400" s="12" t="s">
        <v>817</v>
      </c>
      <c r="E400" s="28">
        <v>30218</v>
      </c>
      <c r="F400" s="28">
        <v>10565</v>
      </c>
      <c r="G400" s="28">
        <v>117300</v>
      </c>
      <c r="H400" s="4" t="s">
        <v>1336</v>
      </c>
    </row>
    <row r="401" spans="1:8" ht="15.5">
      <c r="A401" s="8">
        <v>400</v>
      </c>
      <c r="B401" s="12" t="s">
        <v>456</v>
      </c>
      <c r="C401" s="12" t="s">
        <v>1303</v>
      </c>
      <c r="D401" s="12" t="s">
        <v>817</v>
      </c>
      <c r="E401" s="28">
        <v>35604</v>
      </c>
      <c r="F401" s="28">
        <v>6516</v>
      </c>
      <c r="G401" s="28">
        <v>106000</v>
      </c>
      <c r="H401" s="4" t="s">
        <v>1336</v>
      </c>
    </row>
    <row r="402" spans="1:8" ht="15.5">
      <c r="A402" s="8">
        <v>401</v>
      </c>
      <c r="B402" s="12" t="s">
        <v>570</v>
      </c>
      <c r="C402" s="12" t="s">
        <v>840</v>
      </c>
      <c r="D402" s="12" t="s">
        <v>835</v>
      </c>
      <c r="E402" s="28">
        <v>9497</v>
      </c>
      <c r="F402" s="28">
        <v>6522</v>
      </c>
      <c r="G402" s="28">
        <v>108900</v>
      </c>
      <c r="H402" s="4"/>
    </row>
    <row r="403" spans="1:8" ht="15.5">
      <c r="A403" s="8">
        <v>402</v>
      </c>
      <c r="B403" s="12" t="s">
        <v>2056</v>
      </c>
      <c r="C403" s="12" t="s">
        <v>840</v>
      </c>
      <c r="D403" s="12" t="s">
        <v>835</v>
      </c>
      <c r="E403" s="28">
        <v>9043</v>
      </c>
      <c r="F403" s="28">
        <v>11622</v>
      </c>
      <c r="G403" s="28">
        <v>99900</v>
      </c>
      <c r="H403" s="4"/>
    </row>
    <row r="404" spans="1:8" ht="15.5">
      <c r="A404" s="8">
        <v>403</v>
      </c>
      <c r="B404" s="12" t="s">
        <v>610</v>
      </c>
      <c r="C404" s="12" t="s">
        <v>1236</v>
      </c>
      <c r="D404" s="12" t="s">
        <v>817</v>
      </c>
      <c r="E404" s="28">
        <v>29744</v>
      </c>
      <c r="F404" s="28">
        <v>9184</v>
      </c>
      <c r="G404" s="28">
        <v>115100</v>
      </c>
      <c r="H404" s="4" t="s">
        <v>1336</v>
      </c>
    </row>
    <row r="405" spans="1:8" ht="15.5">
      <c r="A405" s="8">
        <v>404</v>
      </c>
      <c r="B405" s="12" t="s">
        <v>239</v>
      </c>
      <c r="C405" s="12" t="s">
        <v>872</v>
      </c>
      <c r="D405" s="12" t="s">
        <v>835</v>
      </c>
      <c r="E405" s="28">
        <v>9421</v>
      </c>
      <c r="F405" s="28">
        <v>5944</v>
      </c>
      <c r="G405" s="28">
        <v>95700</v>
      </c>
      <c r="H405" s="4"/>
    </row>
    <row r="406" spans="1:8" ht="15.5">
      <c r="A406" s="8">
        <v>405</v>
      </c>
      <c r="B406" s="12" t="s">
        <v>470</v>
      </c>
      <c r="C406" s="12" t="s">
        <v>831</v>
      </c>
      <c r="D406" s="12" t="s">
        <v>817</v>
      </c>
      <c r="E406" s="28">
        <v>25279</v>
      </c>
      <c r="F406" s="28">
        <v>9262</v>
      </c>
      <c r="G406" s="28">
        <v>144800</v>
      </c>
      <c r="H406" s="4" t="s">
        <v>1336</v>
      </c>
    </row>
    <row r="407" spans="1:8" ht="15.5">
      <c r="A407" s="8">
        <v>406</v>
      </c>
      <c r="B407" s="12" t="s">
        <v>640</v>
      </c>
      <c r="C407" s="12" t="s">
        <v>943</v>
      </c>
      <c r="D407" s="12" t="s">
        <v>817</v>
      </c>
      <c r="E407" s="28">
        <v>36954</v>
      </c>
      <c r="F407" s="28">
        <v>8643</v>
      </c>
      <c r="G407" s="28">
        <v>138500</v>
      </c>
      <c r="H407" s="4" t="s">
        <v>920</v>
      </c>
    </row>
    <row r="408" spans="1:8" ht="15.5">
      <c r="A408" s="8">
        <v>407</v>
      </c>
      <c r="B408" s="2" t="s">
        <v>178</v>
      </c>
      <c r="C408" s="12" t="s">
        <v>872</v>
      </c>
      <c r="D408" s="12" t="s">
        <v>835</v>
      </c>
      <c r="E408" s="28">
        <v>9309</v>
      </c>
      <c r="F408" s="28">
        <v>6850</v>
      </c>
      <c r="G408" s="28">
        <v>100800</v>
      </c>
      <c r="H408" s="4"/>
    </row>
    <row r="409" spans="1:8" ht="15.5">
      <c r="A409" s="8">
        <v>408</v>
      </c>
      <c r="B409" s="12" t="s">
        <v>324</v>
      </c>
      <c r="C409" s="12" t="s">
        <v>922</v>
      </c>
      <c r="D409" s="12" t="s">
        <v>835</v>
      </c>
      <c r="E409" s="28">
        <v>11314</v>
      </c>
      <c r="F409" s="28">
        <v>7099</v>
      </c>
      <c r="G409" s="28">
        <v>97200</v>
      </c>
      <c r="H409" s="4"/>
    </row>
    <row r="410" spans="1:8" ht="15.5">
      <c r="A410" s="8">
        <v>409</v>
      </c>
      <c r="B410" s="12" t="s">
        <v>2075</v>
      </c>
      <c r="C410" s="12" t="s">
        <v>816</v>
      </c>
      <c r="D410" s="12" t="s">
        <v>835</v>
      </c>
      <c r="E410" s="28">
        <v>10919</v>
      </c>
      <c r="F410" s="28">
        <v>6173</v>
      </c>
      <c r="G410" s="28">
        <v>108600</v>
      </c>
      <c r="H410" s="4"/>
    </row>
    <row r="411" spans="1:8" ht="15.5">
      <c r="A411" s="8">
        <v>410</v>
      </c>
      <c r="B411" s="12" t="s">
        <v>572</v>
      </c>
      <c r="C411" s="12" t="s">
        <v>2000</v>
      </c>
      <c r="D411" s="12" t="s">
        <v>835</v>
      </c>
      <c r="E411" s="28">
        <v>5431</v>
      </c>
      <c r="F411" s="28">
        <v>7854</v>
      </c>
      <c r="G411" s="28">
        <v>131500</v>
      </c>
      <c r="H411" s="4"/>
    </row>
    <row r="412" spans="1:8" ht="15.5">
      <c r="A412" s="8">
        <v>411</v>
      </c>
      <c r="B412" s="12" t="s">
        <v>457</v>
      </c>
      <c r="C412" s="12" t="s">
        <v>1000</v>
      </c>
      <c r="D412" s="12" t="s">
        <v>835</v>
      </c>
      <c r="E412" s="28">
        <v>4450</v>
      </c>
      <c r="F412" s="28">
        <v>6250</v>
      </c>
      <c r="G412" s="28">
        <v>99800</v>
      </c>
      <c r="H412" s="4"/>
    </row>
    <row r="413" spans="1:8" ht="15.5">
      <c r="A413" s="8">
        <v>412</v>
      </c>
      <c r="B413" s="12" t="s">
        <v>595</v>
      </c>
      <c r="C413" s="12" t="s">
        <v>840</v>
      </c>
      <c r="D413" s="12" t="s">
        <v>817</v>
      </c>
      <c r="E413" s="28">
        <v>29898</v>
      </c>
      <c r="F413" s="28">
        <v>8860</v>
      </c>
      <c r="G413" s="28">
        <v>98900</v>
      </c>
      <c r="H413" s="4" t="s">
        <v>1498</v>
      </c>
    </row>
    <row r="414" spans="1:8" ht="15.5">
      <c r="A414" s="8">
        <v>413</v>
      </c>
      <c r="B414" s="12" t="s">
        <v>674</v>
      </c>
      <c r="C414" s="12" t="s">
        <v>906</v>
      </c>
      <c r="D414" s="12" t="s">
        <v>835</v>
      </c>
      <c r="E414" s="28">
        <v>9358</v>
      </c>
      <c r="F414" s="28">
        <v>12526</v>
      </c>
      <c r="G414" s="28">
        <v>143100</v>
      </c>
      <c r="H414" s="4"/>
    </row>
    <row r="415" spans="1:8" ht="15.5">
      <c r="A415" s="8">
        <v>414</v>
      </c>
      <c r="B415" s="12" t="s">
        <v>420</v>
      </c>
      <c r="C415" s="12" t="s">
        <v>827</v>
      </c>
      <c r="D415" s="12" t="s">
        <v>817</v>
      </c>
      <c r="E415" s="28">
        <v>24360</v>
      </c>
      <c r="F415" s="28">
        <v>12551</v>
      </c>
      <c r="G415" s="28">
        <v>117100</v>
      </c>
      <c r="H415" s="4" t="s">
        <v>1336</v>
      </c>
    </row>
    <row r="416" spans="1:8" ht="15.5">
      <c r="A416" s="8">
        <v>415</v>
      </c>
      <c r="B416" s="12" t="s">
        <v>472</v>
      </c>
      <c r="C416" s="12" t="s">
        <v>979</v>
      </c>
      <c r="D416" s="12" t="s">
        <v>817</v>
      </c>
      <c r="E416" s="28">
        <v>25359</v>
      </c>
      <c r="F416" s="28">
        <v>6894</v>
      </c>
      <c r="G416" s="28">
        <v>126100</v>
      </c>
      <c r="H416" s="4" t="s">
        <v>1336</v>
      </c>
    </row>
    <row r="417" spans="1:8" ht="15.5">
      <c r="A417" s="8">
        <v>416</v>
      </c>
      <c r="B417" s="12" t="s">
        <v>545</v>
      </c>
      <c r="C417" s="12" t="s">
        <v>862</v>
      </c>
      <c r="D417" s="12" t="s">
        <v>817</v>
      </c>
      <c r="E417" s="28">
        <v>25767</v>
      </c>
      <c r="F417" s="28">
        <v>9965</v>
      </c>
      <c r="G417" s="28">
        <v>99300</v>
      </c>
      <c r="H417" s="4" t="s">
        <v>1235</v>
      </c>
    </row>
    <row r="418" spans="1:8" ht="15.5">
      <c r="A418" s="8">
        <v>417</v>
      </c>
      <c r="B418" s="12" t="s">
        <v>2095</v>
      </c>
      <c r="C418" s="12" t="s">
        <v>1124</v>
      </c>
      <c r="D418" s="12" t="s">
        <v>817</v>
      </c>
      <c r="E418" s="28">
        <v>42315</v>
      </c>
      <c r="F418" s="28">
        <v>6703</v>
      </c>
      <c r="G418" s="28">
        <v>120700</v>
      </c>
      <c r="H418" s="4" t="s">
        <v>920</v>
      </c>
    </row>
    <row r="419" spans="1:8" ht="15.5">
      <c r="A419" s="8">
        <v>418</v>
      </c>
      <c r="B419" s="12" t="s">
        <v>219</v>
      </c>
      <c r="C419" s="12" t="s">
        <v>1678</v>
      </c>
      <c r="D419" s="12" t="s">
        <v>835</v>
      </c>
      <c r="E419" s="28">
        <v>13168</v>
      </c>
      <c r="F419" s="28">
        <v>4431</v>
      </c>
      <c r="G419" s="28">
        <v>110700</v>
      </c>
      <c r="H419" s="4"/>
    </row>
    <row r="420" spans="1:8" ht="15.5">
      <c r="A420" s="8">
        <v>419</v>
      </c>
      <c r="B420" s="12" t="s">
        <v>2101</v>
      </c>
      <c r="C420" s="12" t="s">
        <v>1897</v>
      </c>
      <c r="D420" s="12" t="s">
        <v>835</v>
      </c>
      <c r="E420" s="28">
        <v>8087</v>
      </c>
      <c r="F420" s="28">
        <v>3472</v>
      </c>
      <c r="G420" s="28">
        <v>129700</v>
      </c>
      <c r="H420" s="4"/>
    </row>
    <row r="421" spans="1:8" ht="15.5">
      <c r="A421" s="8">
        <v>420</v>
      </c>
      <c r="B421" s="12" t="s">
        <v>388</v>
      </c>
      <c r="C421" s="12" t="s">
        <v>910</v>
      </c>
      <c r="D421" s="12" t="s">
        <v>817</v>
      </c>
      <c r="E421" s="28">
        <v>42150</v>
      </c>
      <c r="F421" s="28">
        <v>8121</v>
      </c>
      <c r="G421" s="28">
        <v>109500</v>
      </c>
      <c r="H421" s="4" t="s">
        <v>1336</v>
      </c>
    </row>
    <row r="422" spans="1:8" ht="15.5">
      <c r="A422" s="8">
        <v>421</v>
      </c>
      <c r="B422" s="12" t="s">
        <v>350</v>
      </c>
      <c r="C422" s="12" t="s">
        <v>851</v>
      </c>
      <c r="D422" s="12" t="s">
        <v>835</v>
      </c>
      <c r="E422" s="28">
        <v>10499</v>
      </c>
      <c r="F422" s="28">
        <v>5658</v>
      </c>
      <c r="G422" s="28">
        <v>107000</v>
      </c>
      <c r="H422" s="4"/>
    </row>
    <row r="423" spans="1:8" ht="15.5">
      <c r="A423" s="8">
        <v>422</v>
      </c>
      <c r="B423" s="12" t="s">
        <v>621</v>
      </c>
      <c r="C423" s="12" t="s">
        <v>827</v>
      </c>
      <c r="D423" s="12" t="s">
        <v>817</v>
      </c>
      <c r="E423" s="28">
        <v>34710</v>
      </c>
      <c r="F423" s="28">
        <v>8547</v>
      </c>
      <c r="G423" s="28">
        <v>126600</v>
      </c>
      <c r="H423" s="4" t="s">
        <v>920</v>
      </c>
    </row>
    <row r="424" spans="1:8" ht="15.5">
      <c r="A424" s="8">
        <v>423</v>
      </c>
      <c r="B424" s="12" t="s">
        <v>330</v>
      </c>
      <c r="C424" s="12" t="s">
        <v>922</v>
      </c>
      <c r="D424" s="12" t="s">
        <v>835</v>
      </c>
      <c r="E424" s="28">
        <v>9755</v>
      </c>
      <c r="F424" s="28">
        <v>5672</v>
      </c>
      <c r="G424" s="28">
        <v>110900</v>
      </c>
      <c r="H424" s="4"/>
    </row>
    <row r="425" spans="1:8" ht="15.5">
      <c r="A425" s="8">
        <v>424</v>
      </c>
      <c r="B425" s="12" t="s">
        <v>509</v>
      </c>
      <c r="C425" s="12" t="s">
        <v>816</v>
      </c>
      <c r="D425" s="12" t="s">
        <v>835</v>
      </c>
      <c r="E425" s="28">
        <v>13123</v>
      </c>
      <c r="F425" s="28">
        <v>6569</v>
      </c>
      <c r="G425" s="28">
        <v>101400</v>
      </c>
      <c r="H425" s="4"/>
    </row>
    <row r="426" spans="1:8" ht="15.5">
      <c r="A426" s="8">
        <v>425</v>
      </c>
      <c r="B426" s="12" t="s">
        <v>323</v>
      </c>
      <c r="C426" s="12" t="s">
        <v>822</v>
      </c>
      <c r="D426" s="12" t="s">
        <v>835</v>
      </c>
      <c r="E426" s="28">
        <v>9871</v>
      </c>
      <c r="F426" s="28">
        <v>4827</v>
      </c>
      <c r="G426" s="28">
        <v>101200</v>
      </c>
      <c r="H426" s="4"/>
    </row>
    <row r="427" spans="1:8" ht="15.5">
      <c r="A427" s="8">
        <v>426</v>
      </c>
      <c r="B427" s="12" t="s">
        <v>331</v>
      </c>
      <c r="C427" s="12" t="s">
        <v>816</v>
      </c>
      <c r="D427" s="12" t="s">
        <v>835</v>
      </c>
      <c r="E427" s="28">
        <v>11246</v>
      </c>
      <c r="F427" s="28">
        <v>9044</v>
      </c>
      <c r="G427" s="28">
        <v>107400</v>
      </c>
      <c r="H427" s="4"/>
    </row>
    <row r="428" spans="1:8" ht="15.5">
      <c r="A428" s="8">
        <v>427</v>
      </c>
      <c r="B428" s="12" t="s">
        <v>2124</v>
      </c>
      <c r="C428" s="12" t="s">
        <v>1082</v>
      </c>
      <c r="D428" s="12" t="s">
        <v>835</v>
      </c>
      <c r="E428" s="28">
        <v>6042</v>
      </c>
      <c r="F428" s="28">
        <v>8170</v>
      </c>
      <c r="G428" s="28">
        <v>109000</v>
      </c>
      <c r="H428" s="4"/>
    </row>
    <row r="429" spans="1:8" ht="15.5">
      <c r="A429" s="8">
        <v>428</v>
      </c>
      <c r="B429" s="12" t="s">
        <v>2127</v>
      </c>
      <c r="C429" s="12" t="s">
        <v>872</v>
      </c>
      <c r="D429" s="12" t="s">
        <v>835</v>
      </c>
      <c r="E429" s="28">
        <v>9625</v>
      </c>
      <c r="F429" s="28">
        <v>5886</v>
      </c>
      <c r="G429" s="28">
        <v>97300</v>
      </c>
      <c r="H429" s="4"/>
    </row>
    <row r="430" spans="1:8" ht="15.5">
      <c r="A430" s="8">
        <v>428</v>
      </c>
      <c r="B430" s="12" t="s">
        <v>588</v>
      </c>
      <c r="C430" s="12" t="s">
        <v>851</v>
      </c>
      <c r="D430" s="12" t="s">
        <v>817</v>
      </c>
      <c r="E430" s="28">
        <v>36231</v>
      </c>
      <c r="F430" s="28">
        <v>7796</v>
      </c>
      <c r="G430" s="28">
        <v>124300</v>
      </c>
      <c r="H430" s="4" t="s">
        <v>1336</v>
      </c>
    </row>
    <row r="431" spans="1:8" ht="15.5">
      <c r="A431" s="8">
        <v>430</v>
      </c>
      <c r="B431" s="12" t="s">
        <v>660</v>
      </c>
      <c r="C431" s="12" t="s">
        <v>844</v>
      </c>
      <c r="D431" s="12" t="s">
        <v>817</v>
      </c>
      <c r="E431" s="28">
        <v>38963</v>
      </c>
      <c r="F431" s="28">
        <v>7761</v>
      </c>
      <c r="G431" s="28">
        <v>117500</v>
      </c>
      <c r="H431" s="4" t="s">
        <v>1235</v>
      </c>
    </row>
    <row r="432" spans="1:8" ht="15.5">
      <c r="A432" s="8">
        <v>431</v>
      </c>
      <c r="B432" s="12" t="s">
        <v>465</v>
      </c>
      <c r="C432" s="12" t="s">
        <v>840</v>
      </c>
      <c r="D432" s="12" t="s">
        <v>817</v>
      </c>
      <c r="E432" s="28">
        <v>30398</v>
      </c>
      <c r="F432" s="28">
        <v>6530</v>
      </c>
      <c r="G432" s="28">
        <v>119200</v>
      </c>
      <c r="H432" s="4" t="s">
        <v>1336</v>
      </c>
    </row>
    <row r="433" spans="1:8" ht="15.5">
      <c r="A433" s="8">
        <v>432</v>
      </c>
      <c r="B433" s="12" t="s">
        <v>648</v>
      </c>
      <c r="C433" s="12" t="s">
        <v>1104</v>
      </c>
      <c r="D433" s="12" t="s">
        <v>817</v>
      </c>
      <c r="E433" s="28">
        <v>21920</v>
      </c>
      <c r="F433" s="28">
        <v>9946</v>
      </c>
      <c r="G433" s="28">
        <v>103600</v>
      </c>
      <c r="H433" s="4" t="s">
        <v>920</v>
      </c>
    </row>
    <row r="434" spans="1:8" ht="15.5">
      <c r="A434" s="8">
        <v>433</v>
      </c>
      <c r="B434" s="12" t="s">
        <v>685</v>
      </c>
      <c r="C434" s="12" t="s">
        <v>827</v>
      </c>
      <c r="D434" s="12" t="s">
        <v>817</v>
      </c>
      <c r="E434" s="28">
        <v>29956</v>
      </c>
      <c r="F434" s="28">
        <v>9663</v>
      </c>
      <c r="G434" s="28">
        <v>107900</v>
      </c>
      <c r="H434" s="4" t="s">
        <v>1498</v>
      </c>
    </row>
    <row r="435" spans="1:8" ht="15.5">
      <c r="A435" s="8">
        <v>434</v>
      </c>
      <c r="B435" s="12" t="s">
        <v>2144</v>
      </c>
      <c r="C435" s="12" t="s">
        <v>889</v>
      </c>
      <c r="D435" s="12" t="s">
        <v>835</v>
      </c>
      <c r="E435" s="28">
        <v>10082</v>
      </c>
      <c r="F435" s="28">
        <v>6617</v>
      </c>
      <c r="G435" s="28">
        <v>111700</v>
      </c>
      <c r="H435" s="4"/>
    </row>
    <row r="436" spans="1:8" ht="15.5">
      <c r="A436" s="8">
        <v>435</v>
      </c>
      <c r="B436" s="12" t="s">
        <v>2147</v>
      </c>
      <c r="C436" s="12" t="s">
        <v>910</v>
      </c>
      <c r="D436" s="12" t="s">
        <v>835</v>
      </c>
      <c r="E436" s="28">
        <v>6997</v>
      </c>
      <c r="F436" s="28">
        <v>5756</v>
      </c>
      <c r="G436" s="28"/>
      <c r="H436" s="4"/>
    </row>
    <row r="437" spans="1:8" ht="15.5">
      <c r="A437" s="8">
        <v>436</v>
      </c>
      <c r="B437" s="12" t="s">
        <v>2150</v>
      </c>
      <c r="C437" s="12" t="s">
        <v>840</v>
      </c>
      <c r="D437" s="12" t="s">
        <v>835</v>
      </c>
      <c r="E437" s="28">
        <v>10312</v>
      </c>
      <c r="F437" s="28">
        <v>6613</v>
      </c>
      <c r="G437" s="28">
        <v>110800</v>
      </c>
      <c r="H437" s="4"/>
    </row>
    <row r="438" spans="1:8" ht="15.5">
      <c r="A438" s="8">
        <v>437</v>
      </c>
      <c r="B438" s="12" t="s">
        <v>530</v>
      </c>
      <c r="C438" s="12" t="s">
        <v>851</v>
      </c>
      <c r="D438" s="12" t="s">
        <v>817</v>
      </c>
      <c r="E438" s="28">
        <v>38787</v>
      </c>
      <c r="F438" s="28">
        <v>8160</v>
      </c>
      <c r="G438" s="28">
        <v>115500</v>
      </c>
      <c r="H438" s="4" t="s">
        <v>1498</v>
      </c>
    </row>
    <row r="439" spans="1:8" ht="15.5">
      <c r="A439" s="8">
        <v>438</v>
      </c>
      <c r="B439" s="12" t="s">
        <v>679</v>
      </c>
      <c r="C439" s="12" t="s">
        <v>827</v>
      </c>
      <c r="D439" s="12" t="s">
        <v>835</v>
      </c>
      <c r="E439" s="28">
        <v>11804</v>
      </c>
      <c r="F439" s="28">
        <v>10859</v>
      </c>
      <c r="G439" s="28">
        <v>132600</v>
      </c>
      <c r="H439" s="4"/>
    </row>
    <row r="440" spans="1:8" ht="15.5">
      <c r="A440" s="8">
        <v>439</v>
      </c>
      <c r="B440" s="12" t="s">
        <v>2158</v>
      </c>
      <c r="C440" s="12" t="s">
        <v>840</v>
      </c>
      <c r="D440" s="12" t="s">
        <v>835</v>
      </c>
      <c r="E440" s="28">
        <v>8713</v>
      </c>
      <c r="F440" s="28">
        <v>7196</v>
      </c>
      <c r="G440" s="28">
        <v>104800</v>
      </c>
      <c r="H440" s="4"/>
    </row>
    <row r="441" spans="1:8" ht="15.5">
      <c r="A441" s="8">
        <v>440</v>
      </c>
      <c r="B441" s="12" t="s">
        <v>392</v>
      </c>
      <c r="C441" s="12" t="s">
        <v>1236</v>
      </c>
      <c r="D441" s="12" t="s">
        <v>817</v>
      </c>
      <c r="E441" s="28">
        <v>27700</v>
      </c>
      <c r="F441" s="28">
        <v>7750</v>
      </c>
      <c r="G441" s="28">
        <v>127300</v>
      </c>
      <c r="H441" s="4" t="s">
        <v>1221</v>
      </c>
    </row>
    <row r="442" spans="1:8" ht="15.5">
      <c r="A442" s="8">
        <v>441</v>
      </c>
      <c r="B442" s="12" t="s">
        <v>2163</v>
      </c>
      <c r="C442" s="12" t="s">
        <v>926</v>
      </c>
      <c r="D442" s="12" t="s">
        <v>835</v>
      </c>
      <c r="E442" s="28">
        <v>12205</v>
      </c>
      <c r="F442" s="28">
        <v>6118</v>
      </c>
      <c r="G442" s="28">
        <v>101900</v>
      </c>
      <c r="H442" s="4"/>
    </row>
    <row r="443" spans="1:8" ht="15.5">
      <c r="A443" s="8">
        <v>442</v>
      </c>
      <c r="B443" s="12" t="s">
        <v>2167</v>
      </c>
      <c r="C443" s="12" t="s">
        <v>851</v>
      </c>
      <c r="D443" s="12" t="s">
        <v>817</v>
      </c>
      <c r="E443" s="28">
        <v>23181</v>
      </c>
      <c r="F443" s="28">
        <v>6194</v>
      </c>
      <c r="G443" s="28">
        <v>107300</v>
      </c>
      <c r="H443" s="4" t="s">
        <v>1336</v>
      </c>
    </row>
    <row r="444" spans="1:8" ht="15.5">
      <c r="A444" s="8">
        <v>443</v>
      </c>
      <c r="B444" s="12" t="s">
        <v>251</v>
      </c>
      <c r="C444" s="12" t="s">
        <v>840</v>
      </c>
      <c r="D444" s="12" t="s">
        <v>817</v>
      </c>
      <c r="E444" s="28">
        <v>22904</v>
      </c>
      <c r="F444" s="28">
        <v>8839</v>
      </c>
      <c r="G444" s="28">
        <v>125100</v>
      </c>
      <c r="H444" s="4" t="s">
        <v>1221</v>
      </c>
    </row>
    <row r="445" spans="1:8" ht="15.5">
      <c r="A445" s="8">
        <v>444</v>
      </c>
      <c r="B445" s="12" t="s">
        <v>2172</v>
      </c>
      <c r="C445" s="12" t="s">
        <v>1000</v>
      </c>
      <c r="D445" s="12" t="s">
        <v>835</v>
      </c>
      <c r="E445" s="28">
        <v>3395</v>
      </c>
      <c r="F445" s="28">
        <v>6861</v>
      </c>
      <c r="G445" s="28">
        <v>105600</v>
      </c>
      <c r="H445" s="4"/>
    </row>
    <row r="446" spans="1:8" ht="15.5">
      <c r="A446" s="8">
        <v>445</v>
      </c>
      <c r="B446" s="12" t="s">
        <v>513</v>
      </c>
      <c r="C446" s="12" t="s">
        <v>862</v>
      </c>
      <c r="D446" s="12" t="s">
        <v>817</v>
      </c>
      <c r="E446" s="28">
        <v>35187</v>
      </c>
      <c r="F446" s="28">
        <v>8035</v>
      </c>
      <c r="G446" s="28">
        <v>112900</v>
      </c>
      <c r="H446" s="4" t="s">
        <v>1221</v>
      </c>
    </row>
    <row r="447" spans="1:8" ht="15.5">
      <c r="A447" s="8">
        <v>446</v>
      </c>
      <c r="B447" s="12" t="s">
        <v>576</v>
      </c>
      <c r="C447" s="12" t="s">
        <v>1000</v>
      </c>
      <c r="D447" s="12" t="s">
        <v>835</v>
      </c>
      <c r="E447" s="28">
        <v>4489</v>
      </c>
      <c r="F447" s="28">
        <v>7028</v>
      </c>
      <c r="G447" s="28">
        <v>94900</v>
      </c>
      <c r="H447" s="4"/>
    </row>
    <row r="448" spans="1:8" ht="15.5">
      <c r="A448" s="8">
        <v>447</v>
      </c>
      <c r="B448" s="12" t="s">
        <v>555</v>
      </c>
      <c r="C448" s="12" t="s">
        <v>858</v>
      </c>
      <c r="D448" s="12" t="s">
        <v>817</v>
      </c>
      <c r="E448" s="28">
        <v>34946</v>
      </c>
      <c r="F448" s="28">
        <v>8033</v>
      </c>
      <c r="G448" s="28">
        <v>121000</v>
      </c>
      <c r="H448" s="4" t="s">
        <v>1336</v>
      </c>
    </row>
    <row r="449" spans="1:8" ht="15.5">
      <c r="A449" s="8">
        <v>448</v>
      </c>
      <c r="B449" s="12" t="s">
        <v>2181</v>
      </c>
      <c r="C449" s="12" t="s">
        <v>816</v>
      </c>
      <c r="D449" s="12" t="s">
        <v>817</v>
      </c>
      <c r="E449" s="28">
        <v>28436</v>
      </c>
      <c r="F449" s="28">
        <v>8747</v>
      </c>
      <c r="G449" s="28">
        <v>118500</v>
      </c>
      <c r="H449" s="4"/>
    </row>
    <row r="450" spans="1:8" ht="15.5">
      <c r="A450" s="8">
        <v>449</v>
      </c>
      <c r="B450" s="12" t="s">
        <v>2185</v>
      </c>
      <c r="C450" s="12" t="s">
        <v>862</v>
      </c>
      <c r="D450" s="12" t="s">
        <v>835</v>
      </c>
      <c r="E450" s="28">
        <v>4213</v>
      </c>
      <c r="F450" s="28">
        <v>6102</v>
      </c>
      <c r="G450" s="28">
        <v>115100</v>
      </c>
      <c r="H450" s="4"/>
    </row>
    <row r="451" spans="1:8" ht="15.5">
      <c r="A451" s="8">
        <v>450</v>
      </c>
      <c r="B451" s="12" t="s">
        <v>355</v>
      </c>
      <c r="C451" s="12" t="s">
        <v>844</v>
      </c>
      <c r="D451" s="12" t="s">
        <v>817</v>
      </c>
      <c r="E451" s="28">
        <v>26800</v>
      </c>
      <c r="F451" s="28">
        <v>13104</v>
      </c>
      <c r="G451" s="28">
        <v>116100</v>
      </c>
      <c r="H451" s="4" t="s">
        <v>1221</v>
      </c>
    </row>
    <row r="452" spans="1:8" ht="15.5">
      <c r="A452" s="8">
        <v>451</v>
      </c>
      <c r="B452" s="12" t="s">
        <v>543</v>
      </c>
      <c r="C452" s="12" t="s">
        <v>1004</v>
      </c>
      <c r="D452" s="12" t="s">
        <v>817</v>
      </c>
      <c r="E452" s="28">
        <v>37162</v>
      </c>
      <c r="F452" s="28">
        <v>12115</v>
      </c>
      <c r="G452" s="28">
        <v>117200</v>
      </c>
      <c r="H452" s="4" t="s">
        <v>1336</v>
      </c>
    </row>
    <row r="453" spans="1:8" ht="15.5">
      <c r="A453" s="8">
        <v>452</v>
      </c>
      <c r="B453" s="12" t="s">
        <v>463</v>
      </c>
      <c r="C453" s="12" t="s">
        <v>910</v>
      </c>
      <c r="D453" s="12" t="s">
        <v>817</v>
      </c>
      <c r="E453" s="28">
        <v>35837</v>
      </c>
      <c r="F453" s="28">
        <v>7794</v>
      </c>
      <c r="G453" s="28">
        <v>103500</v>
      </c>
      <c r="H453" s="4" t="s">
        <v>920</v>
      </c>
    </row>
    <row r="454" spans="1:8" ht="15.5">
      <c r="A454" s="8">
        <v>453</v>
      </c>
      <c r="B454" s="12" t="s">
        <v>511</v>
      </c>
      <c r="C454" s="12" t="s">
        <v>939</v>
      </c>
      <c r="D454" s="12" t="s">
        <v>817</v>
      </c>
      <c r="E454" s="28">
        <v>34267</v>
      </c>
      <c r="F454" s="28">
        <v>7909</v>
      </c>
      <c r="G454" s="28">
        <v>99400</v>
      </c>
      <c r="H454" s="4" t="s">
        <v>899</v>
      </c>
    </row>
    <row r="455" spans="1:8" ht="15.5">
      <c r="A455" s="8">
        <v>454</v>
      </c>
      <c r="B455" s="12" t="s">
        <v>602</v>
      </c>
      <c r="C455" s="12" t="s">
        <v>844</v>
      </c>
      <c r="D455" s="12" t="s">
        <v>817</v>
      </c>
      <c r="E455" s="28">
        <v>42599</v>
      </c>
      <c r="F455" s="28">
        <v>9085</v>
      </c>
      <c r="G455" s="28">
        <v>119000</v>
      </c>
      <c r="H455" s="4" t="s">
        <v>1221</v>
      </c>
    </row>
    <row r="456" spans="1:8" ht="15.5">
      <c r="A456" s="8">
        <v>455</v>
      </c>
      <c r="B456" s="12" t="s">
        <v>618</v>
      </c>
      <c r="C456" s="12" t="s">
        <v>922</v>
      </c>
      <c r="D456" s="12" t="s">
        <v>817</v>
      </c>
      <c r="E456" s="28">
        <v>20925</v>
      </c>
      <c r="F456" s="28">
        <v>7652</v>
      </c>
      <c r="G456" s="28">
        <v>102700</v>
      </c>
      <c r="H456" s="4" t="s">
        <v>1221</v>
      </c>
    </row>
    <row r="457" spans="1:8" ht="15.5">
      <c r="A457" s="8">
        <v>456</v>
      </c>
      <c r="B457" s="12" t="s">
        <v>505</v>
      </c>
      <c r="C457" s="12" t="s">
        <v>1358</v>
      </c>
      <c r="D457" s="12" t="s">
        <v>817</v>
      </c>
      <c r="E457" s="28">
        <v>55298</v>
      </c>
      <c r="F457" s="28">
        <v>2559</v>
      </c>
      <c r="G457" s="28">
        <v>81600</v>
      </c>
      <c r="H457" s="4" t="s">
        <v>830</v>
      </c>
    </row>
    <row r="458" spans="1:8" ht="15.5">
      <c r="A458" s="8">
        <v>457</v>
      </c>
      <c r="B458" s="12" t="s">
        <v>444</v>
      </c>
      <c r="C458" s="12" t="s">
        <v>1303</v>
      </c>
      <c r="D458" s="12" t="s">
        <v>835</v>
      </c>
      <c r="E458" s="28">
        <v>12577</v>
      </c>
      <c r="F458" s="28">
        <v>5947</v>
      </c>
      <c r="G458" s="28">
        <v>112800</v>
      </c>
      <c r="H458" s="4"/>
    </row>
    <row r="459" spans="1:8" ht="15.5">
      <c r="A459" s="8">
        <v>458</v>
      </c>
      <c r="B459" s="12" t="s">
        <v>473</v>
      </c>
      <c r="C459" s="12" t="s">
        <v>1000</v>
      </c>
      <c r="D459" s="12" t="s">
        <v>817</v>
      </c>
      <c r="E459" s="28">
        <v>46725</v>
      </c>
      <c r="F459" s="28">
        <v>6892</v>
      </c>
      <c r="G459" s="28">
        <v>105000</v>
      </c>
      <c r="H459" s="4" t="s">
        <v>920</v>
      </c>
    </row>
    <row r="460" spans="1:8" ht="15.5">
      <c r="A460" s="8">
        <v>459</v>
      </c>
      <c r="B460" s="12" t="s">
        <v>710</v>
      </c>
      <c r="C460" s="12" t="s">
        <v>822</v>
      </c>
      <c r="D460" s="12" t="s">
        <v>817</v>
      </c>
      <c r="E460" s="28">
        <v>34632</v>
      </c>
      <c r="F460" s="28">
        <v>6460</v>
      </c>
      <c r="G460" s="28">
        <v>135000</v>
      </c>
      <c r="H460" s="4" t="s">
        <v>899</v>
      </c>
    </row>
    <row r="461" spans="1:8" ht="15.5">
      <c r="A461" s="8">
        <v>460</v>
      </c>
      <c r="B461" s="12" t="s">
        <v>558</v>
      </c>
      <c r="C461" s="12" t="s">
        <v>862</v>
      </c>
      <c r="D461" s="12" t="s">
        <v>817</v>
      </c>
      <c r="E461" s="28">
        <v>35683</v>
      </c>
      <c r="F461" s="28">
        <v>7659</v>
      </c>
      <c r="G461" s="28">
        <v>103400</v>
      </c>
      <c r="H461" s="4" t="s">
        <v>938</v>
      </c>
    </row>
    <row r="462" spans="1:8" ht="15.5">
      <c r="A462" s="8">
        <v>461</v>
      </c>
      <c r="B462" s="12" t="s">
        <v>376</v>
      </c>
      <c r="C462" s="12" t="s">
        <v>950</v>
      </c>
      <c r="D462" s="12" t="s">
        <v>835</v>
      </c>
      <c r="E462" s="28">
        <v>5831</v>
      </c>
      <c r="F462" s="28">
        <v>5693</v>
      </c>
      <c r="G462" s="28">
        <v>108100</v>
      </c>
      <c r="H462" s="4"/>
    </row>
    <row r="463" spans="1:8" ht="15.5">
      <c r="A463" s="8">
        <v>462</v>
      </c>
      <c r="B463" s="12" t="s">
        <v>638</v>
      </c>
      <c r="C463" s="12" t="s">
        <v>851</v>
      </c>
      <c r="D463" s="12" t="s">
        <v>817</v>
      </c>
      <c r="E463" s="28">
        <v>33033</v>
      </c>
      <c r="F463" s="28">
        <v>8486</v>
      </c>
      <c r="G463" s="28">
        <v>99400</v>
      </c>
      <c r="H463" s="4" t="s">
        <v>1221</v>
      </c>
    </row>
    <row r="464" spans="1:8" ht="15.5">
      <c r="A464" s="8">
        <v>463</v>
      </c>
      <c r="B464" s="12" t="s">
        <v>342</v>
      </c>
      <c r="C464" s="12" t="s">
        <v>939</v>
      </c>
      <c r="D464" s="12" t="s">
        <v>835</v>
      </c>
      <c r="E464" s="28">
        <v>8806</v>
      </c>
      <c r="F464" s="28">
        <v>6469</v>
      </c>
      <c r="G464" s="28">
        <v>103400</v>
      </c>
      <c r="H464" s="4"/>
    </row>
    <row r="465" spans="1:8" ht="15.5">
      <c r="A465" s="8">
        <v>464</v>
      </c>
      <c r="B465" s="12" t="s">
        <v>541</v>
      </c>
      <c r="C465" s="12" t="s">
        <v>1428</v>
      </c>
      <c r="D465" s="12" t="s">
        <v>835</v>
      </c>
      <c r="E465" s="28">
        <v>3070</v>
      </c>
      <c r="F465" s="28">
        <v>3197</v>
      </c>
      <c r="G465" s="28">
        <v>101000</v>
      </c>
      <c r="H465" s="4"/>
    </row>
    <row r="466" spans="1:8" ht="15.5">
      <c r="A466" s="8">
        <v>465</v>
      </c>
      <c r="B466" s="12" t="s">
        <v>375</v>
      </c>
      <c r="C466" s="12" t="s">
        <v>827</v>
      </c>
      <c r="D466" s="12" t="s">
        <v>817</v>
      </c>
      <c r="E466" s="28">
        <v>36606</v>
      </c>
      <c r="F466" s="28">
        <v>8393</v>
      </c>
      <c r="G466" s="28">
        <v>107600</v>
      </c>
      <c r="H466" s="4" t="s">
        <v>1498</v>
      </c>
    </row>
    <row r="467" spans="1:8" ht="15.5">
      <c r="A467" s="8">
        <v>466</v>
      </c>
      <c r="B467" s="12" t="s">
        <v>649</v>
      </c>
      <c r="C467" s="12" t="s">
        <v>922</v>
      </c>
      <c r="D467" s="12" t="s">
        <v>817</v>
      </c>
      <c r="E467" s="28">
        <v>34736</v>
      </c>
      <c r="F467" s="28">
        <v>9882</v>
      </c>
      <c r="G467" s="28">
        <v>114700</v>
      </c>
      <c r="H467" s="4" t="s">
        <v>1336</v>
      </c>
    </row>
    <row r="468" spans="1:8" ht="15.5">
      <c r="A468" s="8">
        <v>467</v>
      </c>
      <c r="B468" s="12" t="s">
        <v>2232</v>
      </c>
      <c r="C468" s="12" t="s">
        <v>1000</v>
      </c>
      <c r="D468" s="12" t="s">
        <v>817</v>
      </c>
      <c r="E468" s="28">
        <v>23477</v>
      </c>
      <c r="F468" s="28">
        <v>8213</v>
      </c>
      <c r="G468" s="28">
        <v>95400</v>
      </c>
      <c r="H468" s="4" t="s">
        <v>1221</v>
      </c>
    </row>
    <row r="469" spans="1:8" ht="15.5">
      <c r="A469" s="8">
        <v>468</v>
      </c>
      <c r="B469" s="12" t="s">
        <v>497</v>
      </c>
      <c r="C469" s="12" t="s">
        <v>943</v>
      </c>
      <c r="D469" s="12" t="s">
        <v>817</v>
      </c>
      <c r="E469" s="28">
        <v>13710</v>
      </c>
      <c r="F469" s="28">
        <v>12966</v>
      </c>
      <c r="G469" s="28">
        <v>108400</v>
      </c>
      <c r="H469" s="4" t="s">
        <v>899</v>
      </c>
    </row>
    <row r="470" spans="1:8" ht="15.5">
      <c r="A470" s="8">
        <v>469</v>
      </c>
      <c r="B470" s="12" t="s">
        <v>2239</v>
      </c>
      <c r="C470" s="12" t="s">
        <v>1082</v>
      </c>
      <c r="D470" s="12" t="s">
        <v>817</v>
      </c>
      <c r="E470" s="28">
        <v>37252</v>
      </c>
      <c r="F470" s="28">
        <v>10148</v>
      </c>
      <c r="G470" s="28">
        <v>106000</v>
      </c>
      <c r="H470" s="4" t="s">
        <v>1336</v>
      </c>
    </row>
    <row r="471" spans="1:8" ht="15.5">
      <c r="A471" s="8">
        <v>470</v>
      </c>
      <c r="B471" s="12" t="s">
        <v>373</v>
      </c>
      <c r="C471" s="12" t="s">
        <v>2000</v>
      </c>
      <c r="D471" s="12" t="s">
        <v>835</v>
      </c>
      <c r="E471" s="28">
        <v>6308</v>
      </c>
      <c r="F471" s="28">
        <v>7340</v>
      </c>
      <c r="G471" s="28">
        <v>105200</v>
      </c>
      <c r="H471" s="4"/>
    </row>
    <row r="472" spans="1:8" ht="15.5">
      <c r="A472" s="8">
        <v>471</v>
      </c>
      <c r="B472" s="12" t="s">
        <v>597</v>
      </c>
      <c r="C472" s="12" t="s">
        <v>844</v>
      </c>
      <c r="D472" s="12" t="s">
        <v>817</v>
      </c>
      <c r="E472" s="28">
        <v>8020</v>
      </c>
      <c r="F472" s="28">
        <v>14541</v>
      </c>
      <c r="G472" s="28">
        <v>121200</v>
      </c>
      <c r="H472" s="4" t="s">
        <v>938</v>
      </c>
    </row>
    <row r="473" spans="1:8" ht="15.5">
      <c r="A473" s="8">
        <v>472</v>
      </c>
      <c r="B473" s="12" t="s">
        <v>434</v>
      </c>
      <c r="C473" s="12" t="s">
        <v>971</v>
      </c>
      <c r="D473" s="12" t="s">
        <v>817</v>
      </c>
      <c r="E473" s="28">
        <v>34706</v>
      </c>
      <c r="F473" s="28">
        <v>8025</v>
      </c>
      <c r="G473" s="28">
        <v>112400</v>
      </c>
      <c r="H473" s="4" t="s">
        <v>1336</v>
      </c>
    </row>
    <row r="474" spans="1:8" ht="15.5">
      <c r="A474" s="8">
        <v>473</v>
      </c>
      <c r="B474" s="12" t="s">
        <v>498</v>
      </c>
      <c r="C474" s="12" t="s">
        <v>1000</v>
      </c>
      <c r="D474" s="12" t="s">
        <v>817</v>
      </c>
      <c r="E474" s="28">
        <v>40089</v>
      </c>
      <c r="F474" s="28">
        <v>7322</v>
      </c>
      <c r="G474" s="28">
        <v>126900</v>
      </c>
      <c r="H474" s="4" t="s">
        <v>920</v>
      </c>
    </row>
    <row r="475" spans="1:8" ht="15.5">
      <c r="A475" s="8">
        <v>474</v>
      </c>
      <c r="B475" s="12" t="s">
        <v>683</v>
      </c>
      <c r="C475" s="12" t="s">
        <v>822</v>
      </c>
      <c r="D475" s="12" t="s">
        <v>817</v>
      </c>
      <c r="E475" s="28">
        <v>23816</v>
      </c>
      <c r="F475" s="28">
        <v>6252</v>
      </c>
      <c r="G475" s="28">
        <v>112200</v>
      </c>
      <c r="H475" s="4" t="s">
        <v>1498</v>
      </c>
    </row>
    <row r="476" spans="1:8" ht="15.5">
      <c r="A476" s="8">
        <v>475</v>
      </c>
      <c r="B476" s="12" t="s">
        <v>560</v>
      </c>
      <c r="C476" s="12" t="s">
        <v>827</v>
      </c>
      <c r="D476" s="12" t="s">
        <v>817</v>
      </c>
      <c r="E476" s="28">
        <v>15181</v>
      </c>
      <c r="F476" s="28">
        <v>5652</v>
      </c>
      <c r="G476" s="28">
        <v>113200</v>
      </c>
      <c r="H476" s="4" t="s">
        <v>1336</v>
      </c>
    </row>
    <row r="477" spans="1:8" ht="15.5">
      <c r="A477" s="8">
        <v>476</v>
      </c>
      <c r="B477" s="12" t="s">
        <v>667</v>
      </c>
      <c r="C477" s="12" t="s">
        <v>1104</v>
      </c>
      <c r="D477" s="12" t="s">
        <v>817</v>
      </c>
      <c r="E477" s="28">
        <v>25538</v>
      </c>
      <c r="F477" s="28">
        <v>8092</v>
      </c>
      <c r="G477" s="28">
        <v>114900</v>
      </c>
      <c r="H477" s="4" t="s">
        <v>1336</v>
      </c>
    </row>
    <row r="478" spans="1:8" ht="15.5">
      <c r="A478" s="8">
        <v>477</v>
      </c>
      <c r="B478" s="12" t="s">
        <v>413</v>
      </c>
      <c r="C478" s="12" t="s">
        <v>858</v>
      </c>
      <c r="D478" s="12" t="s">
        <v>835</v>
      </c>
      <c r="E478" s="28">
        <v>11773</v>
      </c>
      <c r="F478" s="28">
        <v>6041</v>
      </c>
      <c r="G478" s="28">
        <v>101200</v>
      </c>
      <c r="H478" s="4"/>
    </row>
    <row r="479" spans="1:8" ht="15.5">
      <c r="A479" s="8">
        <v>478</v>
      </c>
      <c r="B479" s="12" t="s">
        <v>663</v>
      </c>
      <c r="C479" s="12" t="s">
        <v>840</v>
      </c>
      <c r="D479" s="12" t="s">
        <v>817</v>
      </c>
      <c r="E479" s="28">
        <v>34485</v>
      </c>
      <c r="F479" s="28">
        <v>9443</v>
      </c>
      <c r="G479" s="28">
        <v>129100</v>
      </c>
      <c r="H479" s="4" t="s">
        <v>1336</v>
      </c>
    </row>
    <row r="480" spans="1:8" ht="15.5">
      <c r="A480" s="8">
        <v>479</v>
      </c>
      <c r="B480" s="12" t="s">
        <v>2266</v>
      </c>
      <c r="C480" s="12" t="s">
        <v>943</v>
      </c>
      <c r="D480" s="12" t="s">
        <v>2267</v>
      </c>
      <c r="E480" s="28">
        <v>4050</v>
      </c>
      <c r="F480" s="28"/>
      <c r="G480" s="28"/>
      <c r="H480" s="4"/>
    </row>
    <row r="481" spans="1:8" ht="15.5">
      <c r="A481" s="8">
        <v>480</v>
      </c>
      <c r="B481" s="12" t="s">
        <v>633</v>
      </c>
      <c r="C481" s="12" t="s">
        <v>1104</v>
      </c>
      <c r="D481" s="12" t="s">
        <v>817</v>
      </c>
      <c r="E481" s="28">
        <v>10999</v>
      </c>
      <c r="F481" s="28">
        <v>8126</v>
      </c>
      <c r="G481" s="28">
        <v>107200</v>
      </c>
      <c r="H481" s="4" t="s">
        <v>1235</v>
      </c>
    </row>
    <row r="482" spans="1:8" ht="15.5">
      <c r="A482" s="8">
        <v>481</v>
      </c>
      <c r="B482" s="12" t="s">
        <v>274</v>
      </c>
      <c r="C482" s="12" t="s">
        <v>922</v>
      </c>
      <c r="D482" s="12" t="s">
        <v>835</v>
      </c>
      <c r="E482" s="28">
        <v>8811</v>
      </c>
      <c r="F482" s="28">
        <v>6572</v>
      </c>
      <c r="G482" s="28">
        <v>98500</v>
      </c>
      <c r="H482" s="4"/>
    </row>
    <row r="483" spans="1:8" ht="15.5">
      <c r="A483" s="8">
        <v>482</v>
      </c>
      <c r="B483" s="12" t="s">
        <v>2275</v>
      </c>
      <c r="C483" s="12" t="s">
        <v>889</v>
      </c>
      <c r="D483" s="12" t="s">
        <v>835</v>
      </c>
      <c r="E483" s="28">
        <v>6217</v>
      </c>
      <c r="F483" s="28">
        <v>8040</v>
      </c>
      <c r="G483" s="28">
        <v>99300</v>
      </c>
      <c r="H483" s="4"/>
    </row>
    <row r="484" spans="1:8" ht="15.5">
      <c r="A484" s="8">
        <v>483</v>
      </c>
      <c r="B484" s="12" t="s">
        <v>340</v>
      </c>
      <c r="C484" s="12" t="s">
        <v>1428</v>
      </c>
      <c r="D484" s="12" t="s">
        <v>835</v>
      </c>
      <c r="E484" s="28">
        <v>7110</v>
      </c>
      <c r="F484" s="28">
        <v>8200</v>
      </c>
      <c r="G484" s="28">
        <v>100500</v>
      </c>
      <c r="H484" s="4"/>
    </row>
    <row r="485" spans="1:8" ht="15.5">
      <c r="A485" s="8">
        <v>484</v>
      </c>
      <c r="B485" s="12" t="s">
        <v>329</v>
      </c>
      <c r="C485" s="12" t="s">
        <v>1124</v>
      </c>
      <c r="D485" s="12" t="s">
        <v>835</v>
      </c>
      <c r="E485" s="28">
        <v>9436</v>
      </c>
      <c r="F485" s="28">
        <v>5999</v>
      </c>
      <c r="G485" s="28">
        <v>101000</v>
      </c>
      <c r="H485" s="4"/>
    </row>
    <row r="486" spans="1:8" ht="15.5">
      <c r="A486" s="8">
        <v>485</v>
      </c>
      <c r="B486" s="12" t="s">
        <v>2281</v>
      </c>
      <c r="C486" s="12" t="s">
        <v>862</v>
      </c>
      <c r="D486" s="12" t="s">
        <v>817</v>
      </c>
      <c r="E486" s="28">
        <v>36155</v>
      </c>
      <c r="F486" s="28">
        <v>9136</v>
      </c>
      <c r="G486" s="28">
        <v>116400</v>
      </c>
      <c r="H486" s="4" t="s">
        <v>1336</v>
      </c>
    </row>
    <row r="487" spans="1:8" ht="15.5">
      <c r="A487" s="8">
        <v>486</v>
      </c>
      <c r="B487" s="12" t="s">
        <v>629</v>
      </c>
      <c r="C487" s="12" t="s">
        <v>840</v>
      </c>
      <c r="D487" s="12" t="s">
        <v>817</v>
      </c>
      <c r="E487" s="28">
        <v>21335</v>
      </c>
      <c r="F487" s="28">
        <v>6386</v>
      </c>
      <c r="G487" s="28"/>
      <c r="H487" s="4" t="s">
        <v>1235</v>
      </c>
    </row>
    <row r="488" spans="1:8" ht="15.5">
      <c r="A488" s="8">
        <v>487</v>
      </c>
      <c r="B488" s="12" t="s">
        <v>2286</v>
      </c>
      <c r="C488" s="12" t="s">
        <v>939</v>
      </c>
      <c r="D488" s="12" t="s">
        <v>835</v>
      </c>
      <c r="E488" s="28">
        <v>8610</v>
      </c>
      <c r="F488" s="28">
        <v>6446</v>
      </c>
      <c r="G488" s="28">
        <v>93700</v>
      </c>
      <c r="H488" s="4"/>
    </row>
    <row r="489" spans="1:8" ht="15.5">
      <c r="A489" s="8">
        <v>488</v>
      </c>
      <c r="B489" s="12" t="s">
        <v>2290</v>
      </c>
      <c r="C489" s="12" t="s">
        <v>1897</v>
      </c>
      <c r="D489" s="12" t="s">
        <v>835</v>
      </c>
      <c r="E489" s="28">
        <v>7826</v>
      </c>
      <c r="F489" s="28">
        <v>3333</v>
      </c>
      <c r="G489" s="28"/>
      <c r="H489" s="4"/>
    </row>
    <row r="490" spans="1:8" ht="15.5">
      <c r="A490" s="8">
        <v>489</v>
      </c>
      <c r="B490" s="12" t="s">
        <v>2293</v>
      </c>
      <c r="C490" s="12" t="s">
        <v>1707</v>
      </c>
      <c r="D490" s="12" t="s">
        <v>835</v>
      </c>
      <c r="E490" s="28">
        <v>5917</v>
      </c>
      <c r="F490" s="28">
        <v>5686</v>
      </c>
      <c r="G490" s="28">
        <v>121700</v>
      </c>
      <c r="H490" s="4"/>
    </row>
    <row r="491" spans="1:8" ht="15.5">
      <c r="A491" s="8">
        <v>490</v>
      </c>
      <c r="B491" s="12" t="s">
        <v>594</v>
      </c>
      <c r="C491" s="12" t="s">
        <v>858</v>
      </c>
      <c r="D491" s="12" t="s">
        <v>817</v>
      </c>
      <c r="E491" s="28">
        <v>26423</v>
      </c>
      <c r="F491" s="28">
        <v>8377</v>
      </c>
      <c r="G491" s="28">
        <v>105900</v>
      </c>
      <c r="H491" s="4" t="s">
        <v>1336</v>
      </c>
    </row>
    <row r="492" spans="1:8" ht="15.5">
      <c r="A492" s="8">
        <v>491</v>
      </c>
      <c r="B492" s="12" t="s">
        <v>620</v>
      </c>
      <c r="C492" s="12" t="s">
        <v>858</v>
      </c>
      <c r="D492" s="12" t="s">
        <v>817</v>
      </c>
      <c r="E492" s="28">
        <v>37907</v>
      </c>
      <c r="F492" s="28">
        <v>7013</v>
      </c>
      <c r="G492" s="28">
        <v>122700</v>
      </c>
      <c r="H492" s="4" t="s">
        <v>1235</v>
      </c>
    </row>
    <row r="493" spans="1:8" ht="15.5">
      <c r="A493" s="8">
        <v>492</v>
      </c>
      <c r="B493" s="12" t="s">
        <v>384</v>
      </c>
      <c r="C493" s="12" t="s">
        <v>971</v>
      </c>
      <c r="D493" s="12" t="s">
        <v>817</v>
      </c>
      <c r="E493" s="28">
        <v>28650</v>
      </c>
      <c r="F493" s="28">
        <v>2452</v>
      </c>
      <c r="G493" s="28">
        <v>99900</v>
      </c>
      <c r="H493" s="4" t="s">
        <v>1221</v>
      </c>
    </row>
    <row r="494" spans="1:8" ht="15.5">
      <c r="A494" s="8">
        <v>493</v>
      </c>
      <c r="B494" s="12" t="s">
        <v>385</v>
      </c>
      <c r="C494" s="12" t="s">
        <v>862</v>
      </c>
      <c r="D494" s="12" t="s">
        <v>835</v>
      </c>
      <c r="E494" s="28">
        <v>7544</v>
      </c>
      <c r="F494" s="28">
        <v>5118</v>
      </c>
      <c r="G494" s="28">
        <v>100400</v>
      </c>
      <c r="H494" s="4"/>
    </row>
    <row r="495" spans="1:8" ht="15.5">
      <c r="A495" s="8">
        <v>494</v>
      </c>
      <c r="B495" s="12" t="s">
        <v>429</v>
      </c>
      <c r="C495" s="12" t="s">
        <v>1303</v>
      </c>
      <c r="D495" s="12" t="s">
        <v>835</v>
      </c>
      <c r="E495" s="28">
        <v>10260</v>
      </c>
      <c r="F495" s="28">
        <v>5499</v>
      </c>
      <c r="G495" s="28">
        <v>107400</v>
      </c>
      <c r="H495" s="4"/>
    </row>
    <row r="496" spans="1:8" ht="15.5">
      <c r="A496" s="8">
        <v>495</v>
      </c>
      <c r="B496" s="12" t="s">
        <v>2309</v>
      </c>
      <c r="C496" s="12" t="s">
        <v>1416</v>
      </c>
      <c r="D496" s="12" t="s">
        <v>835</v>
      </c>
      <c r="E496" s="28">
        <v>8180</v>
      </c>
      <c r="F496" s="28">
        <v>5904</v>
      </c>
      <c r="G496" s="28">
        <v>104300</v>
      </c>
      <c r="H496" s="4"/>
    </row>
    <row r="497" spans="1:8" ht="15.5">
      <c r="A497" s="8">
        <v>496</v>
      </c>
      <c r="B497" s="12" t="s">
        <v>2313</v>
      </c>
      <c r="C497" s="12" t="s">
        <v>840</v>
      </c>
      <c r="D497" s="12" t="s">
        <v>817</v>
      </c>
      <c r="E497" s="28">
        <v>20822</v>
      </c>
      <c r="F497" s="28">
        <v>7387</v>
      </c>
      <c r="G497" s="28">
        <v>106100</v>
      </c>
      <c r="H497" s="4" t="s">
        <v>1498</v>
      </c>
    </row>
    <row r="498" spans="1:8" ht="15.5">
      <c r="A498" s="8">
        <v>497</v>
      </c>
      <c r="B498" s="12" t="s">
        <v>2317</v>
      </c>
      <c r="C498" s="12" t="s">
        <v>1183</v>
      </c>
      <c r="D498" s="12" t="s">
        <v>835</v>
      </c>
      <c r="E498" s="28">
        <v>9384</v>
      </c>
      <c r="F498" s="28">
        <v>6942</v>
      </c>
      <c r="G498" s="28">
        <v>115000</v>
      </c>
      <c r="H498" s="4"/>
    </row>
    <row r="499" spans="1:8" ht="15.5">
      <c r="A499" s="8">
        <v>498</v>
      </c>
      <c r="B499" s="12" t="s">
        <v>615</v>
      </c>
      <c r="C499" s="12" t="s">
        <v>1082</v>
      </c>
      <c r="D499" s="12" t="s">
        <v>817</v>
      </c>
      <c r="E499" s="28">
        <v>30091</v>
      </c>
      <c r="F499" s="28">
        <v>9101</v>
      </c>
      <c r="G499" s="28">
        <v>109000</v>
      </c>
      <c r="H499" s="4" t="s">
        <v>1235</v>
      </c>
    </row>
    <row r="500" spans="1:8" ht="15.5">
      <c r="A500" s="8">
        <v>499</v>
      </c>
      <c r="B500" s="12" t="s">
        <v>302</v>
      </c>
      <c r="C500" s="12" t="s">
        <v>844</v>
      </c>
      <c r="D500" s="12" t="s">
        <v>817</v>
      </c>
      <c r="E500" s="28">
        <v>32486</v>
      </c>
      <c r="F500" s="28">
        <v>7588</v>
      </c>
      <c r="G500" s="28">
        <v>107500</v>
      </c>
      <c r="H500" s="4" t="s">
        <v>821</v>
      </c>
    </row>
    <row r="501" spans="1:8" ht="15.5">
      <c r="A501" s="8">
        <v>500</v>
      </c>
      <c r="B501" s="12" t="s">
        <v>2326</v>
      </c>
      <c r="C501" s="12" t="s">
        <v>851</v>
      </c>
      <c r="D501" s="12" t="s">
        <v>835</v>
      </c>
      <c r="E501" s="28">
        <v>16973</v>
      </c>
      <c r="F501" s="28">
        <v>5035</v>
      </c>
      <c r="G501" s="28">
        <v>113800</v>
      </c>
      <c r="H501"/>
    </row>
    <row r="502" spans="1:8" ht="15.5">
      <c r="A502" s="26"/>
      <c r="B502" s="11"/>
      <c r="C502" s="11"/>
      <c r="D502" s="11"/>
      <c r="E502" s="27"/>
      <c r="F502" s="27"/>
      <c r="G502" s="27"/>
      <c r="H502" s="14"/>
    </row>
  </sheetData>
  <dataConsolidate/>
  <phoneticPr fontId="6" type="noConversion"/>
  <conditionalFormatting sqref="B32">
    <cfRule type="duplicateValues" dxfId="75" priority="13"/>
  </conditionalFormatting>
  <conditionalFormatting sqref="B41">
    <cfRule type="duplicateValues" dxfId="74" priority="11"/>
  </conditionalFormatting>
  <conditionalFormatting sqref="B47">
    <cfRule type="duplicateValues" dxfId="73" priority="17"/>
  </conditionalFormatting>
  <conditionalFormatting sqref="B51">
    <cfRule type="duplicateValues" dxfId="72" priority="19"/>
  </conditionalFormatting>
  <conditionalFormatting sqref="B76">
    <cfRule type="duplicateValues" dxfId="71" priority="1"/>
  </conditionalFormatting>
  <conditionalFormatting sqref="B80">
    <cfRule type="duplicateValues" dxfId="70" priority="25"/>
  </conditionalFormatting>
  <conditionalFormatting sqref="B83">
    <cfRule type="duplicateValues" dxfId="69" priority="7"/>
  </conditionalFormatting>
  <conditionalFormatting sqref="B84">
    <cfRule type="duplicateValues" dxfId="68" priority="9"/>
  </conditionalFormatting>
  <conditionalFormatting sqref="B114">
    <cfRule type="duplicateValues" dxfId="67" priority="5"/>
  </conditionalFormatting>
  <conditionalFormatting sqref="B166">
    <cfRule type="duplicateValues" dxfId="66" priority="23"/>
  </conditionalFormatting>
  <conditionalFormatting sqref="B197">
    <cfRule type="duplicateValues" dxfId="65" priority="15"/>
  </conditionalFormatting>
  <conditionalFormatting sqref="B307">
    <cfRule type="duplicateValues" dxfId="64" priority="28"/>
  </conditionalFormatting>
  <conditionalFormatting sqref="B325">
    <cfRule type="duplicateValues" dxfId="63" priority="32"/>
  </conditionalFormatting>
  <conditionalFormatting sqref="B408">
    <cfRule type="duplicateValues" dxfId="62" priority="3"/>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9F6F8-D9EF-254D-A041-103F07514D2E}">
  <sheetPr codeName="Sheet4"/>
  <dimension ref="A1:H51"/>
  <sheetViews>
    <sheetView topLeftCell="A29" workbookViewId="0">
      <selection activeCell="C1" sqref="C1:G1048576"/>
    </sheetView>
  </sheetViews>
  <sheetFormatPr defaultColWidth="10.81640625" defaultRowHeight="14.5"/>
  <cols>
    <col min="2" max="2" width="14.1796875" customWidth="1"/>
    <col min="3" max="3" width="18" hidden="1" customWidth="1"/>
    <col min="4" max="4" width="20.453125" hidden="1" customWidth="1"/>
    <col min="5" max="5" width="19.81640625" hidden="1" customWidth="1"/>
    <col min="6" max="6" width="17.26953125" hidden="1" customWidth="1"/>
    <col min="7" max="7" width="23.7265625" hidden="1" customWidth="1"/>
    <col min="8" max="8" width="23.453125" style="33" customWidth="1"/>
  </cols>
  <sheetData>
    <row r="1" spans="1:8">
      <c r="A1" s="25" t="s">
        <v>2339</v>
      </c>
      <c r="B1" s="25" t="s">
        <v>2352</v>
      </c>
      <c r="C1" s="25" t="s">
        <v>2353</v>
      </c>
      <c r="D1" s="25" t="s">
        <v>2354</v>
      </c>
      <c r="E1" s="25" t="s">
        <v>2355</v>
      </c>
      <c r="F1" s="25" t="s">
        <v>2356</v>
      </c>
      <c r="G1" s="25" t="s">
        <v>2357</v>
      </c>
      <c r="H1" s="32" t="s">
        <v>2358</v>
      </c>
    </row>
    <row r="2" spans="1:8">
      <c r="A2" s="25" t="s">
        <v>789</v>
      </c>
      <c r="B2" s="25">
        <v>37.68</v>
      </c>
      <c r="C2" s="25">
        <v>41</v>
      </c>
      <c r="D2" s="25">
        <v>36</v>
      </c>
      <c r="E2" s="25">
        <v>37</v>
      </c>
      <c r="F2" s="25">
        <v>42</v>
      </c>
      <c r="G2" s="25">
        <v>46</v>
      </c>
      <c r="H2" s="32">
        <f>(Safest_States[[#This Row],[Total Score]]-MIN(Safest_States[Total Score]))/(MAX(Safest_States[Total Score])-MIN(Safest_States[Total Score]))</f>
        <v>0.16258411843876172</v>
      </c>
    </row>
    <row r="3" spans="1:8">
      <c r="A3" s="25" t="s">
        <v>800</v>
      </c>
      <c r="B3" s="25">
        <v>54.52</v>
      </c>
      <c r="C3" s="25">
        <v>16</v>
      </c>
      <c r="D3" s="25"/>
      <c r="E3" s="25">
        <v>21</v>
      </c>
      <c r="F3" s="25">
        <v>27</v>
      </c>
      <c r="G3" s="25">
        <v>2</v>
      </c>
      <c r="H3" s="32">
        <f>(Safest_States[[#This Row],[Total Score]]-MIN(Safest_States[Total Score]))/(MAX(Safest_States[Total Score])-MIN(Safest_States[Total Score]))</f>
        <v>0.61588156123822335</v>
      </c>
    </row>
    <row r="4" spans="1:8">
      <c r="A4" s="25" t="s">
        <v>753</v>
      </c>
      <c r="B4" s="25">
        <v>52.95</v>
      </c>
      <c r="C4" s="25">
        <v>20</v>
      </c>
      <c r="D4" s="25">
        <v>33</v>
      </c>
      <c r="E4" s="25">
        <v>9</v>
      </c>
      <c r="F4" s="25">
        <v>49</v>
      </c>
      <c r="G4" s="25">
        <v>8</v>
      </c>
      <c r="H4" s="32">
        <f>(Safest_States[[#This Row],[Total Score]]-MIN(Safest_States[Total Score]))/(MAX(Safest_States[Total Score])-MIN(Safest_States[Total Score]))</f>
        <v>0.5736204576043068</v>
      </c>
    </row>
    <row r="5" spans="1:8">
      <c r="A5" s="25" t="s">
        <v>792</v>
      </c>
      <c r="B5" s="25">
        <v>33.72</v>
      </c>
      <c r="C5" s="25">
        <v>43</v>
      </c>
      <c r="D5" s="25">
        <v>47</v>
      </c>
      <c r="E5" s="25">
        <v>47</v>
      </c>
      <c r="F5" s="25">
        <v>47</v>
      </c>
      <c r="G5" s="25">
        <v>33</v>
      </c>
      <c r="H5" s="32">
        <f>(Safest_States[[#This Row],[Total Score]]-MIN(Safest_States[Total Score]))/(MAX(Safest_States[Total Score])-MIN(Safest_States[Total Score]))</f>
        <v>5.5989232839838435E-2</v>
      </c>
    </row>
    <row r="6" spans="1:8">
      <c r="A6" s="25" t="s">
        <v>666</v>
      </c>
      <c r="B6" s="25">
        <v>48.94</v>
      </c>
      <c r="C6" s="25">
        <v>22</v>
      </c>
      <c r="D6" s="25">
        <v>42</v>
      </c>
      <c r="E6" s="25">
        <v>18</v>
      </c>
      <c r="F6" s="25">
        <v>40</v>
      </c>
      <c r="G6" s="25">
        <v>19</v>
      </c>
      <c r="H6" s="32">
        <f>(Safest_States[[#This Row],[Total Score]]-MIN(Safest_States[Total Score]))/(MAX(Safest_States[Total Score])-MIN(Safest_States[Total Score]))</f>
        <v>0.46567967698519502</v>
      </c>
    </row>
    <row r="7" spans="1:8">
      <c r="A7" s="25" t="s">
        <v>757</v>
      </c>
      <c r="B7" s="25">
        <v>43.84</v>
      </c>
      <c r="C7" s="25">
        <v>8</v>
      </c>
      <c r="D7" s="25">
        <v>44</v>
      </c>
      <c r="E7" s="25">
        <v>43</v>
      </c>
      <c r="F7" s="25">
        <v>31</v>
      </c>
      <c r="G7" s="25">
        <v>28</v>
      </c>
      <c r="H7" s="32">
        <f>(Safest_States[[#This Row],[Total Score]]-MIN(Safest_States[Total Score]))/(MAX(Safest_States[Total Score])-MIN(Safest_States[Total Score]))</f>
        <v>0.32839838492597578</v>
      </c>
    </row>
    <row r="8" spans="1:8">
      <c r="A8" s="25" t="s">
        <v>742</v>
      </c>
      <c r="B8" s="25">
        <v>59.88</v>
      </c>
      <c r="C8" s="25">
        <v>23</v>
      </c>
      <c r="D8" s="25">
        <v>1</v>
      </c>
      <c r="E8" s="25">
        <v>27</v>
      </c>
      <c r="F8" s="25">
        <v>17</v>
      </c>
      <c r="G8" s="25">
        <v>17</v>
      </c>
      <c r="H8" s="32">
        <f>(Safest_States[[#This Row],[Total Score]]-MIN(Safest_States[Total Score]))/(MAX(Safest_States[Total Score])-MIN(Safest_States[Total Score]))</f>
        <v>0.7601615074024225</v>
      </c>
    </row>
    <row r="9" spans="1:8">
      <c r="A9" s="25" t="s">
        <v>778</v>
      </c>
      <c r="B9" s="25">
        <v>51.36</v>
      </c>
      <c r="C9" s="25">
        <v>29</v>
      </c>
      <c r="D9" s="25">
        <v>23</v>
      </c>
      <c r="E9" s="25">
        <v>33</v>
      </c>
      <c r="F9" s="25">
        <v>25</v>
      </c>
      <c r="G9" s="25">
        <v>13</v>
      </c>
      <c r="H9" s="32">
        <f>(Safest_States[[#This Row],[Total Score]]-MIN(Safest_States[Total Score]))/(MAX(Safest_States[Total Score])-MIN(Safest_States[Total Score]))</f>
        <v>0.5308209959623148</v>
      </c>
    </row>
    <row r="10" spans="1:8">
      <c r="A10" s="25" t="s">
        <v>751</v>
      </c>
      <c r="B10" s="25">
        <v>39.520000000000003</v>
      </c>
      <c r="C10" s="25">
        <v>25</v>
      </c>
      <c r="D10" s="25">
        <v>32</v>
      </c>
      <c r="E10" s="25">
        <v>44</v>
      </c>
      <c r="F10" s="25">
        <v>46</v>
      </c>
      <c r="G10" s="25">
        <v>42</v>
      </c>
      <c r="H10" s="32">
        <f>(Safest_States[[#This Row],[Total Score]]-MIN(Safest_States[Total Score]))/(MAX(Safest_States[Total Score])-MIN(Safest_States[Total Score]))</f>
        <v>0.21211305518169588</v>
      </c>
    </row>
    <row r="11" spans="1:8">
      <c r="A11" s="25" t="s">
        <v>767</v>
      </c>
      <c r="B11" s="25">
        <v>45.27</v>
      </c>
      <c r="C11" s="25">
        <v>44</v>
      </c>
      <c r="D11" s="25">
        <v>22</v>
      </c>
      <c r="E11" s="25">
        <v>25</v>
      </c>
      <c r="F11" s="25">
        <v>39</v>
      </c>
      <c r="G11" s="25">
        <v>34</v>
      </c>
      <c r="H11" s="32">
        <f>(Safest_States[[#This Row],[Total Score]]-MIN(Safest_States[Total Score]))/(MAX(Safest_States[Total Score])-MIN(Safest_States[Total Score]))</f>
        <v>0.36689098250336477</v>
      </c>
    </row>
    <row r="12" spans="1:8">
      <c r="A12" s="25" t="s">
        <v>810</v>
      </c>
      <c r="B12" s="25">
        <v>60.36</v>
      </c>
      <c r="C12" s="25">
        <v>14</v>
      </c>
      <c r="D12" s="25">
        <v>14</v>
      </c>
      <c r="E12" s="25">
        <v>13</v>
      </c>
      <c r="F12" s="25">
        <v>20</v>
      </c>
      <c r="G12" s="25">
        <v>4</v>
      </c>
      <c r="H12" s="32">
        <f>(Safest_States[[#This Row],[Total Score]]-MIN(Safest_States[Total Score]))/(MAX(Safest_States[Total Score])-MIN(Safest_States[Total Score]))</f>
        <v>0.77308209959623131</v>
      </c>
    </row>
    <row r="13" spans="1:8">
      <c r="A13" s="25" t="s">
        <v>796</v>
      </c>
      <c r="B13" s="25">
        <v>54.67</v>
      </c>
      <c r="C13" s="25">
        <v>18</v>
      </c>
      <c r="D13" s="25">
        <v>16</v>
      </c>
      <c r="E13" s="25">
        <v>46</v>
      </c>
      <c r="F13" s="25">
        <v>6</v>
      </c>
      <c r="G13" s="25">
        <v>15</v>
      </c>
      <c r="H13" s="32">
        <f>(Safest_States[[#This Row],[Total Score]]-MIN(Safest_States[Total Score]))/(MAX(Safest_States[Total Score])-MIN(Safest_States[Total Score]))</f>
        <v>0.61991924629878858</v>
      </c>
    </row>
    <row r="14" spans="1:8">
      <c r="A14" s="25" t="s">
        <v>746</v>
      </c>
      <c r="B14" s="25">
        <v>47.68</v>
      </c>
      <c r="C14" s="25">
        <v>49</v>
      </c>
      <c r="D14" s="25">
        <v>13</v>
      </c>
      <c r="E14" s="25">
        <v>23</v>
      </c>
      <c r="F14" s="25">
        <v>18</v>
      </c>
      <c r="G14" s="25">
        <v>35</v>
      </c>
      <c r="H14" s="32">
        <f>(Safest_States[[#This Row],[Total Score]]-MIN(Safest_States[Total Score]))/(MAX(Safest_States[Total Score])-MIN(Safest_States[Total Score]))</f>
        <v>0.43176312247644677</v>
      </c>
    </row>
    <row r="15" spans="1:8">
      <c r="A15" s="25" t="s">
        <v>416</v>
      </c>
      <c r="B15" s="25">
        <v>52.98</v>
      </c>
      <c r="C15" s="25">
        <v>37</v>
      </c>
      <c r="D15" s="25">
        <v>15</v>
      </c>
      <c r="E15" s="25">
        <v>12</v>
      </c>
      <c r="F15" s="25">
        <v>24</v>
      </c>
      <c r="G15" s="25">
        <v>29</v>
      </c>
      <c r="H15" s="32">
        <f>(Safest_States[[#This Row],[Total Score]]-MIN(Safest_States[Total Score]))/(MAX(Safest_States[Total Score])-MIN(Safest_States[Total Score]))</f>
        <v>0.57442799461641969</v>
      </c>
    </row>
    <row r="16" spans="1:8">
      <c r="A16" s="25" t="s">
        <v>770</v>
      </c>
      <c r="B16" s="25">
        <v>55.29</v>
      </c>
      <c r="C16" s="25">
        <v>19</v>
      </c>
      <c r="D16" s="25">
        <v>8</v>
      </c>
      <c r="E16" s="25">
        <v>7</v>
      </c>
      <c r="F16" s="25">
        <v>5</v>
      </c>
      <c r="G16" s="25">
        <v>47</v>
      </c>
      <c r="H16" s="32">
        <f>(Safest_States[[#This Row],[Total Score]]-MIN(Safest_States[Total Score]))/(MAX(Safest_States[Total Score])-MIN(Safest_States[Total Score]))</f>
        <v>0.63660834454912507</v>
      </c>
    </row>
    <row r="17" spans="1:8">
      <c r="A17" s="25" t="s">
        <v>777</v>
      </c>
      <c r="B17" s="25">
        <v>42.91</v>
      </c>
      <c r="C17" s="25">
        <v>28</v>
      </c>
      <c r="D17" s="25">
        <v>29</v>
      </c>
      <c r="E17" s="25">
        <v>34</v>
      </c>
      <c r="F17" s="25">
        <v>21</v>
      </c>
      <c r="G17" s="25">
        <v>44</v>
      </c>
      <c r="H17" s="32">
        <f>(Safest_States[[#This Row],[Total Score]]-MIN(Safest_States[Total Score]))/(MAX(Safest_States[Total Score])-MIN(Safest_States[Total Score]))</f>
        <v>0.30336473755047089</v>
      </c>
    </row>
    <row r="18" spans="1:8">
      <c r="A18" s="25" t="s">
        <v>775</v>
      </c>
      <c r="B18" s="25">
        <v>48.73</v>
      </c>
      <c r="C18" s="25">
        <v>39</v>
      </c>
      <c r="D18" s="25">
        <v>25</v>
      </c>
      <c r="E18" s="25">
        <v>20</v>
      </c>
      <c r="F18" s="25">
        <v>35</v>
      </c>
      <c r="G18" s="25">
        <v>30</v>
      </c>
      <c r="H18" s="32">
        <f>(Safest_States[[#This Row],[Total Score]]-MIN(Safest_States[Total Score]))/(MAX(Safest_States[Total Score])-MIN(Safest_States[Total Score]))</f>
        <v>0.46002691790040362</v>
      </c>
    </row>
    <row r="19" spans="1:8">
      <c r="A19" s="25" t="s">
        <v>784</v>
      </c>
      <c r="B19" s="25">
        <v>31.64</v>
      </c>
      <c r="C19" s="25">
        <v>48</v>
      </c>
      <c r="D19" s="25">
        <v>46</v>
      </c>
      <c r="E19" s="25">
        <v>40</v>
      </c>
      <c r="F19" s="25">
        <v>34</v>
      </c>
      <c r="G19" s="25">
        <v>49</v>
      </c>
      <c r="H19" s="32">
        <f>(Safest_States[[#This Row],[Total Score]]-MIN(Safest_States[Total Score]))/(MAX(Safest_States[Total Score])-MIN(Safest_States[Total Score]))</f>
        <v>0</v>
      </c>
    </row>
    <row r="20" spans="1:8">
      <c r="A20" s="25" t="s">
        <v>798</v>
      </c>
      <c r="B20" s="25">
        <v>66.95</v>
      </c>
      <c r="C20" s="25">
        <v>13</v>
      </c>
      <c r="D20" s="25">
        <v>3</v>
      </c>
      <c r="E20" s="25">
        <v>19</v>
      </c>
      <c r="F20" s="25">
        <v>2</v>
      </c>
      <c r="G20" s="25">
        <v>1</v>
      </c>
      <c r="H20" s="32">
        <f>(Safest_States[[#This Row],[Total Score]]-MIN(Safest_States[Total Score]))/(MAX(Safest_States[Total Score])-MIN(Safest_States[Total Score]))</f>
        <v>0.95047106325706587</v>
      </c>
    </row>
    <row r="21" spans="1:8">
      <c r="A21" s="25" t="s">
        <v>750</v>
      </c>
      <c r="B21" s="25">
        <v>53.23</v>
      </c>
      <c r="C21" s="25">
        <v>24</v>
      </c>
      <c r="D21" s="25">
        <v>9</v>
      </c>
      <c r="E21" s="25">
        <v>14</v>
      </c>
      <c r="F21" s="25">
        <v>45</v>
      </c>
      <c r="G21" s="25">
        <v>23</v>
      </c>
      <c r="H21" s="32">
        <f>(Safest_States[[#This Row],[Total Score]]-MIN(Safest_States[Total Score]))/(MAX(Safest_States[Total Score])-MIN(Safest_States[Total Score]))</f>
        <v>0.58115746971736182</v>
      </c>
    </row>
    <row r="22" spans="1:8">
      <c r="A22" s="25" t="s">
        <v>738</v>
      </c>
      <c r="B22" s="25">
        <v>60.02</v>
      </c>
      <c r="C22" s="25">
        <v>5</v>
      </c>
      <c r="D22" s="25">
        <v>7</v>
      </c>
      <c r="E22" s="25">
        <v>42</v>
      </c>
      <c r="F22" s="25">
        <v>1</v>
      </c>
      <c r="G22" s="25">
        <v>11</v>
      </c>
      <c r="H22" s="32">
        <f>(Safest_States[[#This Row],[Total Score]]-MIN(Safest_States[Total Score]))/(MAX(Safest_States[Total Score])-MIN(Safest_States[Total Score]))</f>
        <v>0.76393001345895017</v>
      </c>
    </row>
    <row r="23" spans="1:8">
      <c r="A23" s="25" t="s">
        <v>741</v>
      </c>
      <c r="B23" s="25">
        <v>49.79</v>
      </c>
      <c r="C23" s="25">
        <v>34</v>
      </c>
      <c r="D23" s="25">
        <v>43</v>
      </c>
      <c r="E23" s="25">
        <v>15</v>
      </c>
      <c r="F23" s="25">
        <v>38</v>
      </c>
      <c r="G23" s="25">
        <v>14</v>
      </c>
      <c r="H23" s="32">
        <f>(Safest_States[[#This Row],[Total Score]]-MIN(Safest_States[Total Score]))/(MAX(Safest_States[Total Score])-MIN(Safest_States[Total Score]))</f>
        <v>0.48855989232839825</v>
      </c>
    </row>
    <row r="24" spans="1:8">
      <c r="A24" s="25" t="s">
        <v>748</v>
      </c>
      <c r="B24" s="25">
        <v>59.81</v>
      </c>
      <c r="C24" s="25">
        <v>4</v>
      </c>
      <c r="D24" s="25">
        <v>17</v>
      </c>
      <c r="E24" s="25">
        <v>6</v>
      </c>
      <c r="F24" s="25">
        <v>3</v>
      </c>
      <c r="G24" s="25">
        <v>22</v>
      </c>
      <c r="H24" s="32">
        <f>(Safest_States[[#This Row],[Total Score]]-MIN(Safest_States[Total Score]))/(MAX(Safest_States[Total Score])-MIN(Safest_States[Total Score]))</f>
        <v>0.75827725437415872</v>
      </c>
    </row>
    <row r="25" spans="1:8">
      <c r="A25" s="25" t="s">
        <v>793</v>
      </c>
      <c r="B25" s="25">
        <v>32.520000000000003</v>
      </c>
      <c r="C25" s="25">
        <v>46</v>
      </c>
      <c r="D25" s="25">
        <v>30</v>
      </c>
      <c r="E25" s="25">
        <v>48</v>
      </c>
      <c r="F25" s="25">
        <v>50</v>
      </c>
      <c r="G25" s="25">
        <v>50</v>
      </c>
      <c r="H25" s="32">
        <f>(Safest_States[[#This Row],[Total Score]]-MIN(Safest_States[Total Score]))/(MAX(Safest_States[Total Score])-MIN(Safest_States[Total Score]))</f>
        <v>2.3687752355316352E-2</v>
      </c>
    </row>
    <row r="26" spans="1:8">
      <c r="A26" s="25" t="s">
        <v>763</v>
      </c>
      <c r="B26" s="25">
        <v>40.25</v>
      </c>
      <c r="C26" s="25">
        <v>32</v>
      </c>
      <c r="D26" s="25">
        <v>41</v>
      </c>
      <c r="E26" s="25">
        <v>24</v>
      </c>
      <c r="F26" s="25">
        <v>43</v>
      </c>
      <c r="G26" s="25">
        <v>41</v>
      </c>
      <c r="H26" s="32">
        <f>(Safest_States[[#This Row],[Total Score]]-MIN(Safest_States[Total Score]))/(MAX(Safest_States[Total Score])-MIN(Safest_States[Total Score]))</f>
        <v>0.23176312247644679</v>
      </c>
    </row>
    <row r="27" spans="1:8">
      <c r="A27" s="25" t="s">
        <v>794</v>
      </c>
      <c r="B27" s="25">
        <v>42.16</v>
      </c>
      <c r="C27" s="25">
        <v>6</v>
      </c>
      <c r="D27" s="25">
        <v>45</v>
      </c>
      <c r="E27" s="25">
        <v>38</v>
      </c>
      <c r="F27" s="25">
        <v>28</v>
      </c>
      <c r="G27" s="25">
        <v>32</v>
      </c>
      <c r="H27" s="32">
        <f>(Safest_States[[#This Row],[Total Score]]-MIN(Safest_States[Total Score]))/(MAX(Safest_States[Total Score])-MIN(Safest_States[Total Score]))</f>
        <v>0.28317631224764456</v>
      </c>
    </row>
    <row r="28" spans="1:8">
      <c r="A28" s="25" t="s">
        <v>764</v>
      </c>
      <c r="B28" s="25">
        <v>46.58</v>
      </c>
      <c r="C28" s="25">
        <v>9</v>
      </c>
      <c r="D28" s="25">
        <v>24</v>
      </c>
      <c r="E28" s="25">
        <v>39</v>
      </c>
      <c r="F28" s="25">
        <v>9</v>
      </c>
      <c r="G28" s="25">
        <v>40</v>
      </c>
      <c r="H28" s="32">
        <f>(Safest_States[[#This Row],[Total Score]]-MIN(Safest_States[Total Score]))/(MAX(Safest_States[Total Score])-MIN(Safest_States[Total Score]))</f>
        <v>0.40215343203230136</v>
      </c>
    </row>
    <row r="29" spans="1:8">
      <c r="A29" s="25" t="s">
        <v>719</v>
      </c>
      <c r="B29" s="25">
        <v>47.72</v>
      </c>
      <c r="C29" s="25">
        <v>50</v>
      </c>
      <c r="D29" s="25">
        <v>48</v>
      </c>
      <c r="E29" s="25">
        <v>17</v>
      </c>
      <c r="F29" s="25">
        <v>37</v>
      </c>
      <c r="G29" s="25">
        <v>6</v>
      </c>
      <c r="H29" s="32">
        <f>(Safest_States[[#This Row],[Total Score]]-MIN(Safest_States[Total Score]))/(MAX(Safest_States[Total Score])-MIN(Safest_States[Total Score]))</f>
        <v>0.43283983849259744</v>
      </c>
    </row>
    <row r="30" spans="1:8">
      <c r="A30" s="25" t="s">
        <v>773</v>
      </c>
      <c r="B30" s="25">
        <v>63.99</v>
      </c>
      <c r="C30" s="25">
        <v>1</v>
      </c>
      <c r="D30" s="25">
        <v>4</v>
      </c>
      <c r="E30" s="25">
        <v>41</v>
      </c>
      <c r="F30" s="25">
        <v>13</v>
      </c>
      <c r="G30" s="25">
        <v>3</v>
      </c>
      <c r="H30" s="32">
        <f>(Safest_States[[#This Row],[Total Score]]-MIN(Safest_States[Total Score]))/(MAX(Safest_States[Total Score])-MIN(Safest_States[Total Score]))</f>
        <v>0.87079407806191111</v>
      </c>
    </row>
    <row r="31" spans="1:8">
      <c r="A31" s="25" t="s">
        <v>747</v>
      </c>
      <c r="B31" s="25">
        <v>54.62</v>
      </c>
      <c r="C31" s="25">
        <v>30</v>
      </c>
      <c r="D31" s="25">
        <v>5</v>
      </c>
      <c r="E31" s="25">
        <v>28</v>
      </c>
      <c r="F31" s="25">
        <v>16</v>
      </c>
      <c r="G31" s="25">
        <v>25</v>
      </c>
      <c r="H31" s="32">
        <f>(Safest_States[[#This Row],[Total Score]]-MIN(Safest_States[Total Score]))/(MAX(Safest_States[Total Score])-MIN(Safest_States[Total Score]))</f>
        <v>0.61857335127860014</v>
      </c>
    </row>
    <row r="32" spans="1:8">
      <c r="A32" s="25" t="s">
        <v>780</v>
      </c>
      <c r="B32" s="25">
        <v>49.92</v>
      </c>
      <c r="C32" s="25">
        <v>38</v>
      </c>
      <c r="D32" s="25">
        <v>38</v>
      </c>
      <c r="E32" s="25">
        <v>10</v>
      </c>
      <c r="F32" s="25">
        <v>48</v>
      </c>
      <c r="G32" s="25">
        <v>12</v>
      </c>
      <c r="H32" s="32">
        <f>(Safest_States[[#This Row],[Total Score]]-MIN(Safest_States[Total Score]))/(MAX(Safest_States[Total Score])-MIN(Safest_States[Total Score]))</f>
        <v>0.49205921938088826</v>
      </c>
    </row>
    <row r="33" spans="1:8">
      <c r="A33" s="25" t="s">
        <v>740</v>
      </c>
      <c r="B33" s="25">
        <v>51.92</v>
      </c>
      <c r="C33" s="25">
        <v>31</v>
      </c>
      <c r="D33" s="25">
        <v>10</v>
      </c>
      <c r="E33" s="25">
        <v>30</v>
      </c>
      <c r="F33" s="25">
        <v>4</v>
      </c>
      <c r="G33" s="25">
        <v>26</v>
      </c>
      <c r="H33" s="32">
        <f>(Safest_States[[#This Row],[Total Score]]-MIN(Safest_States[Total Score]))/(MAX(Safest_States[Total Score])-MIN(Safest_States[Total Score]))</f>
        <v>0.54589502018842528</v>
      </c>
    </row>
    <row r="34" spans="1:8">
      <c r="A34" s="25" t="s">
        <v>752</v>
      </c>
      <c r="B34" s="25">
        <v>52.37</v>
      </c>
      <c r="C34" s="25">
        <v>15</v>
      </c>
      <c r="D34" s="25">
        <v>12</v>
      </c>
      <c r="E34" s="25">
        <v>4</v>
      </c>
      <c r="F34" s="25">
        <v>30</v>
      </c>
      <c r="G34" s="25">
        <v>43</v>
      </c>
      <c r="H34" s="32">
        <f>(Safest_States[[#This Row],[Total Score]]-MIN(Safest_States[Total Score]))/(MAX(Safest_States[Total Score])-MIN(Safest_States[Total Score]))</f>
        <v>0.55800807537012098</v>
      </c>
    </row>
    <row r="35" spans="1:8">
      <c r="A35" s="25" t="s">
        <v>802</v>
      </c>
      <c r="B35" s="25">
        <v>47.94</v>
      </c>
      <c r="C35" s="25">
        <v>12</v>
      </c>
      <c r="D35" s="25">
        <v>20</v>
      </c>
      <c r="E35" s="25">
        <v>49</v>
      </c>
      <c r="F35" s="25">
        <v>8</v>
      </c>
      <c r="G35" s="25">
        <v>37</v>
      </c>
      <c r="H35" s="32">
        <f>(Safest_States[[#This Row],[Total Score]]-MIN(Safest_States[Total Score]))/(MAX(Safest_States[Total Score])-MIN(Safest_States[Total Score]))</f>
        <v>0.43876177658142651</v>
      </c>
    </row>
    <row r="36" spans="1:8">
      <c r="A36" s="25" t="s">
        <v>756</v>
      </c>
      <c r="B36" s="25">
        <v>45.14</v>
      </c>
      <c r="C36" s="25">
        <v>47</v>
      </c>
      <c r="D36" s="25">
        <v>32</v>
      </c>
      <c r="E36" s="25">
        <v>29</v>
      </c>
      <c r="F36" s="25">
        <v>23</v>
      </c>
      <c r="G36" s="25">
        <v>24</v>
      </c>
      <c r="H36" s="32">
        <f>(Safest_States[[#This Row],[Total Score]]-MIN(Safest_States[Total Score]))/(MAX(Safest_States[Total Score])-MIN(Safest_States[Total Score]))</f>
        <v>0.36339165545087476</v>
      </c>
    </row>
    <row r="37" spans="1:8">
      <c r="A37" s="25" t="s">
        <v>787</v>
      </c>
      <c r="B37" s="25">
        <v>39.340000000000003</v>
      </c>
      <c r="C37" s="25">
        <v>45</v>
      </c>
      <c r="D37" s="25">
        <v>35</v>
      </c>
      <c r="E37" s="25">
        <v>36</v>
      </c>
      <c r="F37" s="25">
        <v>29</v>
      </c>
      <c r="G37" s="25">
        <v>45</v>
      </c>
      <c r="H37" s="32">
        <f>(Safest_States[[#This Row],[Total Score]]-MIN(Safest_States[Total Score]))/(MAX(Safest_States[Total Score])-MIN(Safest_States[Total Score]))</f>
        <v>0.20726783310901753</v>
      </c>
    </row>
    <row r="38" spans="1:8">
      <c r="A38" s="25" t="s">
        <v>766</v>
      </c>
      <c r="B38" s="25">
        <v>55.48</v>
      </c>
      <c r="C38" s="25">
        <v>11</v>
      </c>
      <c r="D38" s="25">
        <v>39</v>
      </c>
      <c r="E38" s="25">
        <v>8</v>
      </c>
      <c r="F38" s="25">
        <v>12</v>
      </c>
      <c r="G38" s="25">
        <v>16</v>
      </c>
      <c r="H38" s="32">
        <f>(Safest_States[[#This Row],[Total Score]]-MIN(Safest_States[Total Score]))/(MAX(Safest_States[Total Score])-MIN(Safest_States[Total Score]))</f>
        <v>0.64172274562584097</v>
      </c>
    </row>
    <row r="39" spans="1:8">
      <c r="A39" s="25" t="s">
        <v>743</v>
      </c>
      <c r="B39" s="25">
        <v>48.51</v>
      </c>
      <c r="C39" s="25">
        <v>35</v>
      </c>
      <c r="D39" s="25">
        <v>18</v>
      </c>
      <c r="E39" s="25">
        <v>26</v>
      </c>
      <c r="F39" s="25">
        <v>33</v>
      </c>
      <c r="G39" s="25">
        <v>27</v>
      </c>
      <c r="H39" s="32">
        <f>(Safest_States[[#This Row],[Total Score]]-MIN(Safest_States[Total Score]))/(MAX(Safest_States[Total Score])-MIN(Safest_States[Total Score]))</f>
        <v>0.45410497981157455</v>
      </c>
    </row>
    <row r="40" spans="1:8">
      <c r="A40" s="25" t="s">
        <v>768</v>
      </c>
      <c r="B40" s="25">
        <v>58.99</v>
      </c>
      <c r="C40" s="25">
        <v>26</v>
      </c>
      <c r="D40" s="25">
        <v>6</v>
      </c>
      <c r="E40" s="25">
        <v>35</v>
      </c>
      <c r="F40" s="25">
        <v>19</v>
      </c>
      <c r="G40" s="25">
        <v>10</v>
      </c>
      <c r="H40" s="32">
        <f>(Safest_States[[#This Row],[Total Score]]-MIN(Safest_States[Total Score]))/(MAX(Safest_States[Total Score])-MIN(Safest_States[Total Score]))</f>
        <v>0.73620457604306855</v>
      </c>
    </row>
    <row r="41" spans="1:8">
      <c r="A41" s="25" t="s">
        <v>783</v>
      </c>
      <c r="B41" s="25">
        <v>41.03</v>
      </c>
      <c r="C41" s="25">
        <v>36</v>
      </c>
      <c r="D41" s="25">
        <v>50</v>
      </c>
      <c r="E41" s="25">
        <v>16</v>
      </c>
      <c r="F41" s="25">
        <v>44</v>
      </c>
      <c r="G41" s="25">
        <v>36</v>
      </c>
      <c r="H41" s="32">
        <f>(Safest_States[[#This Row],[Total Score]]-MIN(Safest_States[Total Score]))/(MAX(Safest_States[Total Score])-MIN(Safest_States[Total Score]))</f>
        <v>0.25275908479138626</v>
      </c>
    </row>
    <row r="42" spans="1:8">
      <c r="A42" s="25" t="s">
        <v>808</v>
      </c>
      <c r="B42" s="25">
        <v>43.38</v>
      </c>
      <c r="C42" s="25">
        <v>3</v>
      </c>
      <c r="D42" s="25">
        <v>28</v>
      </c>
      <c r="E42" s="25">
        <v>50</v>
      </c>
      <c r="F42" s="25">
        <v>32</v>
      </c>
      <c r="G42" s="25">
        <v>39</v>
      </c>
      <c r="H42" s="32">
        <f>(Safest_States[[#This Row],[Total Score]]-MIN(Safest_States[Total Score]))/(MAX(Safest_States[Total Score])-MIN(Safest_States[Total Score]))</f>
        <v>0.31601615074024225</v>
      </c>
    </row>
    <row r="43" spans="1:8">
      <c r="A43" s="25" t="s">
        <v>771</v>
      </c>
      <c r="B43" s="25">
        <v>41.34</v>
      </c>
      <c r="C43" s="25">
        <v>40</v>
      </c>
      <c r="D43" s="25">
        <v>49</v>
      </c>
      <c r="E43" s="25">
        <v>11</v>
      </c>
      <c r="F43" s="25">
        <v>41</v>
      </c>
      <c r="G43" s="25">
        <v>38</v>
      </c>
      <c r="H43" s="32">
        <f>(Safest_States[[#This Row],[Total Score]]-MIN(Safest_States[Total Score]))/(MAX(Safest_States[Total Score])-MIN(Safest_States[Total Score]))</f>
        <v>0.26110363391655456</v>
      </c>
    </row>
    <row r="44" spans="1:8">
      <c r="A44" s="25" t="s">
        <v>745</v>
      </c>
      <c r="B44" s="25">
        <v>36.770000000000003</v>
      </c>
      <c r="C44" s="25">
        <v>42</v>
      </c>
      <c r="D44" s="25">
        <v>40</v>
      </c>
      <c r="E44" s="25">
        <v>31</v>
      </c>
      <c r="F44" s="25">
        <v>36</v>
      </c>
      <c r="G44" s="25">
        <v>48</v>
      </c>
      <c r="H44" s="32">
        <f>(Safest_States[[#This Row],[Total Score]]-MIN(Safest_States[Total Score]))/(MAX(Safest_States[Total Score])-MIN(Safest_States[Total Score]))</f>
        <v>0.13808882907133249</v>
      </c>
    </row>
    <row r="45" spans="1:8">
      <c r="A45" s="25" t="s">
        <v>761</v>
      </c>
      <c r="B45" s="25">
        <v>63.48</v>
      </c>
      <c r="C45" s="25">
        <v>2</v>
      </c>
      <c r="D45" s="25">
        <v>19</v>
      </c>
      <c r="E45" s="25">
        <v>2</v>
      </c>
      <c r="F45" s="25">
        <v>7</v>
      </c>
      <c r="G45" s="25">
        <v>5</v>
      </c>
      <c r="H45" s="32">
        <f>(Safest_States[[#This Row],[Total Score]]-MIN(Safest_States[Total Score]))/(MAX(Safest_States[Total Score])-MIN(Safest_States[Total Score]))</f>
        <v>0.85706594885598897</v>
      </c>
    </row>
    <row r="46" spans="1:8">
      <c r="A46" s="25" t="s">
        <v>785</v>
      </c>
      <c r="B46" s="25">
        <v>68.790000000000006</v>
      </c>
      <c r="C46" s="25">
        <v>10</v>
      </c>
      <c r="D46" s="25">
        <v>2</v>
      </c>
      <c r="E46" s="25">
        <v>1</v>
      </c>
      <c r="F46" s="25">
        <v>14</v>
      </c>
      <c r="G46" s="25">
        <v>7</v>
      </c>
      <c r="H46" s="32">
        <f>(Safest_States[[#This Row],[Total Score]]-MIN(Safest_States[Total Score]))/(MAX(Safest_States[Total Score])-MIN(Safest_States[Total Score]))</f>
        <v>1</v>
      </c>
    </row>
    <row r="47" spans="1:8">
      <c r="A47" s="25" t="s">
        <v>760</v>
      </c>
      <c r="B47" s="25">
        <v>55.99</v>
      </c>
      <c r="C47" s="25">
        <v>17</v>
      </c>
      <c r="D47" s="25">
        <v>11</v>
      </c>
      <c r="E47" s="25">
        <v>3</v>
      </c>
      <c r="F47" s="25">
        <v>22</v>
      </c>
      <c r="G47" s="25">
        <v>31</v>
      </c>
      <c r="H47" s="32">
        <f>(Safest_States[[#This Row],[Total Score]]-MIN(Safest_States[Total Score]))/(MAX(Safest_States[Total Score])-MIN(Safest_States[Total Score]))</f>
        <v>0.65545087483176301</v>
      </c>
    </row>
    <row r="48" spans="1:8">
      <c r="A48" s="25" t="s">
        <v>71</v>
      </c>
      <c r="B48" s="25">
        <v>59.44</v>
      </c>
      <c r="C48" s="25">
        <v>7</v>
      </c>
      <c r="D48" s="25">
        <v>27</v>
      </c>
      <c r="E48" s="25">
        <v>5</v>
      </c>
      <c r="F48" s="25">
        <v>15</v>
      </c>
      <c r="G48" s="25">
        <v>9</v>
      </c>
      <c r="H48" s="32">
        <f>(Safest_States[[#This Row],[Total Score]]-MIN(Safest_States[Total Score]))/(MAX(Safest_States[Total Score])-MIN(Safest_States[Total Score]))</f>
        <v>0.74831763122476425</v>
      </c>
    </row>
    <row r="49" spans="1:8">
      <c r="A49" s="25" t="s">
        <v>791</v>
      </c>
      <c r="B49" s="25">
        <v>47.08</v>
      </c>
      <c r="C49" s="25">
        <v>33</v>
      </c>
      <c r="D49" s="25">
        <v>31</v>
      </c>
      <c r="E49" s="25">
        <v>45</v>
      </c>
      <c r="F49" s="25">
        <v>26</v>
      </c>
      <c r="G49" s="25">
        <v>18</v>
      </c>
      <c r="H49" s="32">
        <f>(Safest_States[[#This Row],[Total Score]]-MIN(Safest_States[Total Score]))/(MAX(Safest_States[Total Score])-MIN(Safest_States[Total Score]))</f>
        <v>0.41561238223418562</v>
      </c>
    </row>
    <row r="50" spans="1:8">
      <c r="A50" s="25" t="s">
        <v>744</v>
      </c>
      <c r="B50" s="25">
        <v>51.42</v>
      </c>
      <c r="C50" s="25">
        <v>21</v>
      </c>
      <c r="D50" s="25">
        <v>26</v>
      </c>
      <c r="E50" s="25">
        <v>32</v>
      </c>
      <c r="F50" s="25">
        <v>11</v>
      </c>
      <c r="G50" s="25">
        <v>20</v>
      </c>
      <c r="H50" s="32">
        <f>(Safest_States[[#This Row],[Total Score]]-MIN(Safest_States[Total Score]))/(MAX(Safest_States[Total Score])-MIN(Safest_States[Total Score]))</f>
        <v>0.53243606998654103</v>
      </c>
    </row>
    <row r="51" spans="1:8">
      <c r="A51" s="25" t="s">
        <v>729</v>
      </c>
      <c r="B51" s="25">
        <v>54.04</v>
      </c>
      <c r="C51" s="25">
        <v>27</v>
      </c>
      <c r="D51" s="25">
        <v>21</v>
      </c>
      <c r="E51" s="25">
        <v>22</v>
      </c>
      <c r="F51" s="25">
        <v>10</v>
      </c>
      <c r="G51" s="25">
        <v>21</v>
      </c>
      <c r="H51" s="32">
        <f>(Safest_States[[#This Row],[Total Score]]-MIN(Safest_States[Total Score]))/(MAX(Safest_States[Total Score])-MIN(Safest_States[Total Score]))</f>
        <v>0.60296096904441443</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7B625-0C5D-1A49-84F4-17C3BF8C87D6}">
  <sheetPr codeName="Sheet5"/>
  <dimension ref="A1:J501"/>
  <sheetViews>
    <sheetView zoomScale="92" workbookViewId="0">
      <selection activeCell="B4" sqref="B4"/>
    </sheetView>
  </sheetViews>
  <sheetFormatPr defaultColWidth="10.81640625" defaultRowHeight="14.5"/>
  <cols>
    <col min="1" max="1" width="10.81640625" style="9"/>
    <col min="2" max="2" width="84.1796875" style="13" customWidth="1"/>
    <col min="3" max="3" width="10.81640625" style="13"/>
    <col min="4" max="4" width="23.7265625" style="13" customWidth="1"/>
    <col min="5" max="5" width="13.81640625" style="16" bestFit="1" customWidth="1"/>
    <col min="6" max="6" width="9.26953125" style="16" bestFit="1" customWidth="1"/>
    <col min="7" max="7" width="25.26953125" style="16" bestFit="1" customWidth="1"/>
    <col min="8" max="8" width="16" bestFit="1" customWidth="1"/>
    <col min="9" max="9" width="10.81640625" customWidth="1"/>
  </cols>
  <sheetData>
    <row r="1" spans="1:10" ht="15.5">
      <c r="A1" s="8" t="s">
        <v>2330</v>
      </c>
      <c r="B1" s="10" t="s">
        <v>1</v>
      </c>
      <c r="C1" s="11" t="s">
        <v>2331</v>
      </c>
      <c r="D1" s="11" t="s">
        <v>811</v>
      </c>
      <c r="E1" s="14" t="s">
        <v>812</v>
      </c>
      <c r="F1" s="14" t="s">
        <v>813</v>
      </c>
      <c r="G1" s="14" t="s">
        <v>814</v>
      </c>
      <c r="H1" s="3" t="s">
        <v>815</v>
      </c>
    </row>
    <row r="2" spans="1:10" ht="15.5">
      <c r="A2" s="8">
        <v>1</v>
      </c>
      <c r="B2" s="12" t="s">
        <v>26</v>
      </c>
      <c r="C2" s="12" t="s">
        <v>816</v>
      </c>
      <c r="D2" s="12" t="s">
        <v>817</v>
      </c>
      <c r="E2" s="15" t="s">
        <v>818</v>
      </c>
      <c r="F2" s="15" t="s">
        <v>819</v>
      </c>
      <c r="G2" s="15" t="s">
        <v>820</v>
      </c>
      <c r="H2" s="4" t="s">
        <v>821</v>
      </c>
    </row>
    <row r="3" spans="1:10" ht="15.5">
      <c r="A3" s="8">
        <v>2</v>
      </c>
      <c r="B3" s="12" t="s">
        <v>7</v>
      </c>
      <c r="C3" s="12" t="s">
        <v>822</v>
      </c>
      <c r="D3" s="12" t="s">
        <v>817</v>
      </c>
      <c r="E3" s="15" t="s">
        <v>823</v>
      </c>
      <c r="F3" s="15" t="s">
        <v>824</v>
      </c>
      <c r="G3" s="15" t="s">
        <v>825</v>
      </c>
      <c r="H3" s="4" t="s">
        <v>826</v>
      </c>
    </row>
    <row r="4" spans="1:10" ht="15.5">
      <c r="A4" s="8">
        <v>3</v>
      </c>
      <c r="B4" s="12" t="s">
        <v>4</v>
      </c>
      <c r="C4" s="12" t="s">
        <v>827</v>
      </c>
      <c r="D4" s="12" t="s">
        <v>817</v>
      </c>
      <c r="E4" s="15" t="s">
        <v>828</v>
      </c>
      <c r="F4" s="15" t="s">
        <v>829</v>
      </c>
      <c r="G4" s="15" t="s">
        <v>820</v>
      </c>
      <c r="H4" s="4" t="s">
        <v>830</v>
      </c>
      <c r="J4" s="6"/>
    </row>
    <row r="5" spans="1:10" ht="15.5">
      <c r="A5" s="8">
        <v>4</v>
      </c>
      <c r="B5" s="12" t="s">
        <v>16</v>
      </c>
      <c r="C5" s="12" t="s">
        <v>831</v>
      </c>
      <c r="D5" s="12" t="s">
        <v>817</v>
      </c>
      <c r="E5" s="15" t="s">
        <v>832</v>
      </c>
      <c r="F5" s="15" t="s">
        <v>833</v>
      </c>
      <c r="G5" s="15" t="s">
        <v>834</v>
      </c>
      <c r="H5" s="4" t="s">
        <v>826</v>
      </c>
    </row>
    <row r="6" spans="1:10" ht="15.5">
      <c r="A6" s="8">
        <v>5</v>
      </c>
      <c r="B6" s="12" t="s">
        <v>10</v>
      </c>
      <c r="C6" s="12" t="s">
        <v>822</v>
      </c>
      <c r="D6" s="12" t="s">
        <v>835</v>
      </c>
      <c r="E6" s="15" t="s">
        <v>836</v>
      </c>
      <c r="F6" s="15" t="s">
        <v>837</v>
      </c>
      <c r="G6" s="15" t="s">
        <v>838</v>
      </c>
      <c r="H6" s="4"/>
    </row>
    <row r="7" spans="1:10" ht="15.5">
      <c r="A7" s="8">
        <v>6</v>
      </c>
      <c r="B7" s="12" t="s">
        <v>839</v>
      </c>
      <c r="C7" s="12" t="s">
        <v>840</v>
      </c>
      <c r="D7" s="12" t="s">
        <v>817</v>
      </c>
      <c r="E7" s="15" t="s">
        <v>841</v>
      </c>
      <c r="F7" s="15" t="s">
        <v>842</v>
      </c>
      <c r="G7" s="15" t="s">
        <v>843</v>
      </c>
      <c r="H7" s="4" t="s">
        <v>826</v>
      </c>
    </row>
    <row r="8" spans="1:10" ht="15.5">
      <c r="A8" s="8">
        <v>7</v>
      </c>
      <c r="B8" s="12" t="s">
        <v>18</v>
      </c>
      <c r="C8" s="12" t="s">
        <v>844</v>
      </c>
      <c r="D8" s="12" t="s">
        <v>817</v>
      </c>
      <c r="E8" s="15" t="s">
        <v>845</v>
      </c>
      <c r="F8" s="15" t="s">
        <v>846</v>
      </c>
      <c r="G8" s="15" t="s">
        <v>847</v>
      </c>
      <c r="H8" s="4" t="s">
        <v>826</v>
      </c>
    </row>
    <row r="9" spans="1:10" ht="15.5">
      <c r="A9" s="8">
        <v>8</v>
      </c>
      <c r="B9" s="12" t="s">
        <v>6</v>
      </c>
      <c r="C9" s="12" t="s">
        <v>827</v>
      </c>
      <c r="D9" s="12" t="s">
        <v>817</v>
      </c>
      <c r="E9" s="15" t="s">
        <v>848</v>
      </c>
      <c r="F9" s="15" t="s">
        <v>849</v>
      </c>
      <c r="G9" s="15" t="s">
        <v>850</v>
      </c>
      <c r="H9" s="4" t="s">
        <v>830</v>
      </c>
    </row>
    <row r="10" spans="1:10" ht="15.5">
      <c r="A10" s="8">
        <v>9</v>
      </c>
      <c r="B10" s="12" t="s">
        <v>128</v>
      </c>
      <c r="C10" s="12" t="s">
        <v>851</v>
      </c>
      <c r="D10" s="12" t="s">
        <v>817</v>
      </c>
      <c r="E10" s="15" t="s">
        <v>852</v>
      </c>
      <c r="F10" s="15" t="s">
        <v>853</v>
      </c>
      <c r="G10" s="15" t="s">
        <v>854</v>
      </c>
      <c r="H10" s="4" t="s">
        <v>830</v>
      </c>
    </row>
    <row r="11" spans="1:10" ht="15.5">
      <c r="A11" s="8">
        <v>10</v>
      </c>
      <c r="B11" s="12" t="s">
        <v>8</v>
      </c>
      <c r="C11" s="12" t="s">
        <v>840</v>
      </c>
      <c r="D11" s="12" t="s">
        <v>817</v>
      </c>
      <c r="E11" s="15" t="s">
        <v>855</v>
      </c>
      <c r="F11" s="15" t="s">
        <v>856</v>
      </c>
      <c r="G11" s="15" t="s">
        <v>857</v>
      </c>
      <c r="H11" s="4" t="s">
        <v>826</v>
      </c>
    </row>
    <row r="12" spans="1:10" ht="15.5">
      <c r="A12" s="8">
        <v>11</v>
      </c>
      <c r="B12" s="12" t="s">
        <v>60</v>
      </c>
      <c r="C12" s="12" t="s">
        <v>858</v>
      </c>
      <c r="D12" s="12" t="s">
        <v>817</v>
      </c>
      <c r="E12" s="15" t="s">
        <v>859</v>
      </c>
      <c r="F12" s="15" t="s">
        <v>860</v>
      </c>
      <c r="G12" s="15" t="s">
        <v>861</v>
      </c>
      <c r="H12" s="4" t="s">
        <v>830</v>
      </c>
    </row>
    <row r="13" spans="1:10" ht="15.5">
      <c r="A13" s="8">
        <v>12</v>
      </c>
      <c r="B13" s="12" t="s">
        <v>33</v>
      </c>
      <c r="C13" s="12" t="s">
        <v>862</v>
      </c>
      <c r="D13" s="12" t="s">
        <v>817</v>
      </c>
      <c r="E13" s="15" t="s">
        <v>863</v>
      </c>
      <c r="F13" s="15" t="s">
        <v>864</v>
      </c>
      <c r="G13" s="15" t="s">
        <v>865</v>
      </c>
      <c r="H13" s="4" t="s">
        <v>830</v>
      </c>
    </row>
    <row r="14" spans="1:10" ht="15.5">
      <c r="A14" s="8">
        <v>13</v>
      </c>
      <c r="B14" s="12" t="s">
        <v>15</v>
      </c>
      <c r="C14" s="12" t="s">
        <v>822</v>
      </c>
      <c r="D14" s="12" t="s">
        <v>835</v>
      </c>
      <c r="E14" s="15" t="s">
        <v>866</v>
      </c>
      <c r="F14" s="15" t="s">
        <v>867</v>
      </c>
      <c r="G14" s="15" t="s">
        <v>868</v>
      </c>
      <c r="H14" s="4"/>
    </row>
    <row r="15" spans="1:10" ht="15.5">
      <c r="A15" s="8">
        <v>14</v>
      </c>
      <c r="B15" s="12" t="s">
        <v>24</v>
      </c>
      <c r="C15" s="12" t="s">
        <v>858</v>
      </c>
      <c r="D15" s="12" t="s">
        <v>817</v>
      </c>
      <c r="E15" s="15" t="s">
        <v>869</v>
      </c>
      <c r="F15" s="15" t="s">
        <v>870</v>
      </c>
      <c r="G15" s="15" t="s">
        <v>871</v>
      </c>
      <c r="H15" s="4" t="s">
        <v>830</v>
      </c>
    </row>
    <row r="16" spans="1:10" ht="15.5">
      <c r="A16" s="8">
        <v>15</v>
      </c>
      <c r="B16" s="12" t="s">
        <v>109</v>
      </c>
      <c r="C16" s="12" t="s">
        <v>872</v>
      </c>
      <c r="D16" s="12" t="s">
        <v>817</v>
      </c>
      <c r="E16" s="15" t="s">
        <v>873</v>
      </c>
      <c r="F16" s="15" t="s">
        <v>874</v>
      </c>
      <c r="G16" s="15" t="s">
        <v>875</v>
      </c>
      <c r="H16" s="4" t="s">
        <v>821</v>
      </c>
    </row>
    <row r="17" spans="1:8" ht="15.5">
      <c r="A17" s="8">
        <v>16</v>
      </c>
      <c r="B17" s="12" t="s">
        <v>118</v>
      </c>
      <c r="C17" s="12" t="s">
        <v>876</v>
      </c>
      <c r="D17" s="12" t="s">
        <v>817</v>
      </c>
      <c r="E17" s="15" t="s">
        <v>877</v>
      </c>
      <c r="F17" s="15" t="s">
        <v>878</v>
      </c>
      <c r="G17" s="15" t="s">
        <v>879</v>
      </c>
      <c r="H17" s="4" t="s">
        <v>830</v>
      </c>
    </row>
    <row r="18" spans="1:8" ht="15.5">
      <c r="A18" s="8">
        <v>17</v>
      </c>
      <c r="B18" s="12" t="s">
        <v>257</v>
      </c>
      <c r="C18" s="12" t="s">
        <v>827</v>
      </c>
      <c r="D18" s="12" t="s">
        <v>817</v>
      </c>
      <c r="E18" s="15" t="s">
        <v>880</v>
      </c>
      <c r="F18" s="15" t="s">
        <v>881</v>
      </c>
      <c r="G18" s="15" t="s">
        <v>882</v>
      </c>
      <c r="H18" s="4" t="s">
        <v>826</v>
      </c>
    </row>
    <row r="19" spans="1:8" ht="15.5">
      <c r="A19" s="8">
        <v>18</v>
      </c>
      <c r="B19" s="12" t="s">
        <v>90</v>
      </c>
      <c r="C19" s="12" t="s">
        <v>883</v>
      </c>
      <c r="D19" s="12" t="s">
        <v>817</v>
      </c>
      <c r="E19" s="15" t="s">
        <v>884</v>
      </c>
      <c r="F19" s="15" t="s">
        <v>885</v>
      </c>
      <c r="G19" s="15" t="s">
        <v>886</v>
      </c>
      <c r="H19" s="4" t="s">
        <v>830</v>
      </c>
    </row>
    <row r="20" spans="1:8" ht="15.5">
      <c r="A20" s="8">
        <v>19</v>
      </c>
      <c r="B20" s="12" t="s">
        <v>484</v>
      </c>
      <c r="C20" s="12" t="s">
        <v>822</v>
      </c>
      <c r="D20" s="12" t="s">
        <v>817</v>
      </c>
      <c r="E20" s="15" t="s">
        <v>887</v>
      </c>
      <c r="F20" s="15" t="s">
        <v>888</v>
      </c>
      <c r="G20" s="15" t="s">
        <v>838</v>
      </c>
      <c r="H20" s="4" t="s">
        <v>826</v>
      </c>
    </row>
    <row r="21" spans="1:8" ht="15.5">
      <c r="A21" s="8">
        <v>20</v>
      </c>
      <c r="B21" s="12" t="s">
        <v>46</v>
      </c>
      <c r="C21" s="12" t="s">
        <v>889</v>
      </c>
      <c r="D21" s="12" t="s">
        <v>817</v>
      </c>
      <c r="E21" s="15" t="s">
        <v>890</v>
      </c>
      <c r="F21" s="15" t="s">
        <v>891</v>
      </c>
      <c r="G21" s="15" t="s">
        <v>892</v>
      </c>
      <c r="H21" s="4" t="s">
        <v>826</v>
      </c>
    </row>
    <row r="22" spans="1:8" ht="15.5">
      <c r="A22" s="8">
        <v>21</v>
      </c>
      <c r="B22" s="12" t="s">
        <v>32</v>
      </c>
      <c r="C22" s="12" t="s">
        <v>822</v>
      </c>
      <c r="D22" s="12" t="s">
        <v>835</v>
      </c>
      <c r="E22" s="15" t="s">
        <v>893</v>
      </c>
      <c r="F22" s="15" t="s">
        <v>894</v>
      </c>
      <c r="G22" s="15" t="s">
        <v>895</v>
      </c>
      <c r="H22" s="4"/>
    </row>
    <row r="23" spans="1:8" ht="15.5">
      <c r="A23" s="8">
        <v>22</v>
      </c>
      <c r="B23" s="12" t="s">
        <v>92</v>
      </c>
      <c r="C23" s="12" t="s">
        <v>822</v>
      </c>
      <c r="D23" s="12" t="s">
        <v>817</v>
      </c>
      <c r="E23" s="15" t="s">
        <v>896</v>
      </c>
      <c r="F23" s="15" t="s">
        <v>897</v>
      </c>
      <c r="G23" s="15" t="s">
        <v>898</v>
      </c>
      <c r="H23" s="4" t="s">
        <v>899</v>
      </c>
    </row>
    <row r="24" spans="1:8" ht="15.5">
      <c r="A24" s="8">
        <v>23</v>
      </c>
      <c r="B24" s="12" t="s">
        <v>315</v>
      </c>
      <c r="C24" s="12" t="s">
        <v>827</v>
      </c>
      <c r="D24" s="12" t="s">
        <v>817</v>
      </c>
      <c r="E24" s="15" t="s">
        <v>900</v>
      </c>
      <c r="F24" s="15" t="s">
        <v>901</v>
      </c>
      <c r="G24" s="15" t="s">
        <v>902</v>
      </c>
      <c r="H24" s="4" t="s">
        <v>826</v>
      </c>
    </row>
    <row r="25" spans="1:8" ht="15.5">
      <c r="A25" s="8">
        <v>24</v>
      </c>
      <c r="B25" s="12" t="s">
        <v>308</v>
      </c>
      <c r="C25" s="12" t="s">
        <v>827</v>
      </c>
      <c r="D25" s="12" t="s">
        <v>817</v>
      </c>
      <c r="E25" s="15" t="s">
        <v>903</v>
      </c>
      <c r="F25" s="15" t="s">
        <v>904</v>
      </c>
      <c r="G25" s="15" t="s">
        <v>905</v>
      </c>
      <c r="H25" s="4" t="s">
        <v>826</v>
      </c>
    </row>
    <row r="26" spans="1:8" ht="15.5">
      <c r="A26" s="8">
        <v>25</v>
      </c>
      <c r="B26" s="12" t="s">
        <v>343</v>
      </c>
      <c r="C26" s="12" t="s">
        <v>906</v>
      </c>
      <c r="D26" s="12" t="s">
        <v>817</v>
      </c>
      <c r="E26" s="15" t="s">
        <v>907</v>
      </c>
      <c r="F26" s="15" t="s">
        <v>908</v>
      </c>
      <c r="G26" s="15" t="s">
        <v>909</v>
      </c>
      <c r="H26" s="4" t="s">
        <v>826</v>
      </c>
    </row>
    <row r="27" spans="1:8" ht="15.5">
      <c r="A27" s="8">
        <v>26</v>
      </c>
      <c r="B27" s="12" t="s">
        <v>36</v>
      </c>
      <c r="C27" s="12" t="s">
        <v>910</v>
      </c>
      <c r="D27" s="12" t="s">
        <v>835</v>
      </c>
      <c r="E27" s="15" t="s">
        <v>911</v>
      </c>
      <c r="F27" s="15" t="s">
        <v>912</v>
      </c>
      <c r="G27" s="15" t="s">
        <v>913</v>
      </c>
      <c r="H27" s="4"/>
    </row>
    <row r="28" spans="1:8" ht="15.5">
      <c r="A28" s="8">
        <v>27</v>
      </c>
      <c r="B28" s="12" t="s">
        <v>233</v>
      </c>
      <c r="C28" s="12" t="s">
        <v>844</v>
      </c>
      <c r="D28" s="12" t="s">
        <v>817</v>
      </c>
      <c r="E28" s="15" t="s">
        <v>914</v>
      </c>
      <c r="F28" s="15" t="s">
        <v>915</v>
      </c>
      <c r="G28" s="15" t="s">
        <v>916</v>
      </c>
      <c r="H28" s="4" t="s">
        <v>826</v>
      </c>
    </row>
    <row r="29" spans="1:8" ht="15.5">
      <c r="A29" s="8">
        <v>28</v>
      </c>
      <c r="B29" s="12" t="s">
        <v>40</v>
      </c>
      <c r="C29" s="12" t="s">
        <v>822</v>
      </c>
      <c r="D29" s="12" t="s">
        <v>817</v>
      </c>
      <c r="E29" s="15" t="s">
        <v>917</v>
      </c>
      <c r="F29" s="15" t="s">
        <v>918</v>
      </c>
      <c r="G29" s="15" t="s">
        <v>919</v>
      </c>
      <c r="H29" s="4" t="s">
        <v>920</v>
      </c>
    </row>
    <row r="30" spans="1:8" ht="15.5">
      <c r="A30" s="8">
        <v>29</v>
      </c>
      <c r="B30" s="12" t="s">
        <v>921</v>
      </c>
      <c r="C30" s="12" t="s">
        <v>922</v>
      </c>
      <c r="D30" s="12" t="s">
        <v>835</v>
      </c>
      <c r="E30" s="15" t="s">
        <v>923</v>
      </c>
      <c r="F30" s="15" t="s">
        <v>924</v>
      </c>
      <c r="G30" s="15" t="s">
        <v>925</v>
      </c>
      <c r="H30" s="4"/>
    </row>
    <row r="31" spans="1:8" ht="15.5">
      <c r="A31" s="8">
        <v>30</v>
      </c>
      <c r="B31" s="12" t="s">
        <v>73</v>
      </c>
      <c r="C31" s="12" t="s">
        <v>926</v>
      </c>
      <c r="D31" s="12" t="s">
        <v>817</v>
      </c>
      <c r="E31" s="15" t="s">
        <v>927</v>
      </c>
      <c r="F31" s="15" t="s">
        <v>928</v>
      </c>
      <c r="G31" s="15" t="s">
        <v>929</v>
      </c>
      <c r="H31" s="4" t="s">
        <v>826</v>
      </c>
    </row>
    <row r="32" spans="1:8" ht="15.5">
      <c r="A32" s="8">
        <v>31</v>
      </c>
      <c r="B32" s="12" t="s">
        <v>930</v>
      </c>
      <c r="C32" s="12" t="s">
        <v>889</v>
      </c>
      <c r="D32" s="12" t="s">
        <v>835</v>
      </c>
      <c r="E32" s="15" t="s">
        <v>931</v>
      </c>
      <c r="F32" s="15" t="s">
        <v>932</v>
      </c>
      <c r="G32" s="15" t="s">
        <v>933</v>
      </c>
      <c r="H32" s="4"/>
    </row>
    <row r="33" spans="1:8" ht="15.5">
      <c r="A33" s="8">
        <v>32</v>
      </c>
      <c r="B33" s="12" t="s">
        <v>70</v>
      </c>
      <c r="C33" s="12" t="s">
        <v>934</v>
      </c>
      <c r="D33" s="12" t="s">
        <v>817</v>
      </c>
      <c r="E33" s="15" t="s">
        <v>935</v>
      </c>
      <c r="F33" s="15" t="s">
        <v>936</v>
      </c>
      <c r="G33" s="15" t="s">
        <v>937</v>
      </c>
      <c r="H33" s="4" t="s">
        <v>938</v>
      </c>
    </row>
    <row r="34" spans="1:8" ht="15.5">
      <c r="A34" s="8">
        <v>33</v>
      </c>
      <c r="B34" s="12" t="s">
        <v>114</v>
      </c>
      <c r="C34" s="12" t="s">
        <v>939</v>
      </c>
      <c r="D34" s="12" t="s">
        <v>817</v>
      </c>
      <c r="E34" s="15" t="s">
        <v>940</v>
      </c>
      <c r="F34" s="15" t="s">
        <v>941</v>
      </c>
      <c r="G34" s="15" t="s">
        <v>942</v>
      </c>
      <c r="H34" s="4" t="s">
        <v>830</v>
      </c>
    </row>
    <row r="35" spans="1:8" ht="15.5">
      <c r="A35" s="8">
        <v>34</v>
      </c>
      <c r="B35" s="12" t="s">
        <v>61</v>
      </c>
      <c r="C35" s="12" t="s">
        <v>943</v>
      </c>
      <c r="D35" s="12" t="s">
        <v>835</v>
      </c>
      <c r="E35" s="15" t="s">
        <v>944</v>
      </c>
      <c r="F35" s="15" t="s">
        <v>945</v>
      </c>
      <c r="G35" s="15" t="s">
        <v>946</v>
      </c>
      <c r="H35" s="4"/>
    </row>
    <row r="36" spans="1:8" ht="15.5">
      <c r="A36" s="8">
        <v>35</v>
      </c>
      <c r="B36" s="12" t="s">
        <v>69</v>
      </c>
      <c r="C36" s="12" t="s">
        <v>822</v>
      </c>
      <c r="D36" s="12" t="s">
        <v>835</v>
      </c>
      <c r="E36" s="15" t="s">
        <v>947</v>
      </c>
      <c r="F36" s="15" t="s">
        <v>948</v>
      </c>
      <c r="G36" s="15" t="s">
        <v>949</v>
      </c>
      <c r="H36" s="4"/>
    </row>
    <row r="37" spans="1:8" ht="15.5">
      <c r="A37" s="8">
        <v>36</v>
      </c>
      <c r="B37" s="12" t="s">
        <v>82</v>
      </c>
      <c r="C37" s="12" t="s">
        <v>950</v>
      </c>
      <c r="D37" s="12" t="s">
        <v>817</v>
      </c>
      <c r="E37" s="15" t="s">
        <v>951</v>
      </c>
      <c r="F37" s="15" t="s">
        <v>952</v>
      </c>
      <c r="G37" s="15" t="s">
        <v>953</v>
      </c>
      <c r="H37" s="4" t="s">
        <v>826</v>
      </c>
    </row>
    <row r="38" spans="1:8" ht="15.5">
      <c r="A38" s="8">
        <v>37</v>
      </c>
      <c r="B38" s="12" t="s">
        <v>367</v>
      </c>
      <c r="C38" s="12" t="s">
        <v>822</v>
      </c>
      <c r="D38" s="12" t="s">
        <v>817</v>
      </c>
      <c r="E38" s="15" t="s">
        <v>954</v>
      </c>
      <c r="F38" s="15" t="s">
        <v>955</v>
      </c>
      <c r="G38" s="15" t="s">
        <v>956</v>
      </c>
      <c r="H38" s="4" t="s">
        <v>826</v>
      </c>
    </row>
    <row r="39" spans="1:8" ht="15.5">
      <c r="A39" s="8">
        <v>38</v>
      </c>
      <c r="B39" s="12" t="s">
        <v>84</v>
      </c>
      <c r="C39" s="12" t="s">
        <v>939</v>
      </c>
      <c r="D39" s="12" t="s">
        <v>835</v>
      </c>
      <c r="E39" s="15" t="s">
        <v>957</v>
      </c>
      <c r="F39" s="15" t="s">
        <v>958</v>
      </c>
      <c r="G39" s="15" t="s">
        <v>959</v>
      </c>
      <c r="H39" s="4"/>
    </row>
    <row r="40" spans="1:8" ht="15.5">
      <c r="A40" s="8">
        <v>39</v>
      </c>
      <c r="B40" s="12" t="s">
        <v>59</v>
      </c>
      <c r="C40" s="12" t="s">
        <v>822</v>
      </c>
      <c r="D40" s="12" t="s">
        <v>835</v>
      </c>
      <c r="E40" s="15" t="s">
        <v>960</v>
      </c>
      <c r="F40" s="15" t="s">
        <v>961</v>
      </c>
      <c r="G40" s="15" t="s">
        <v>962</v>
      </c>
      <c r="H40" s="4"/>
    </row>
    <row r="41" spans="1:8" ht="15.5">
      <c r="A41" s="8">
        <v>40</v>
      </c>
      <c r="B41" s="12" t="s">
        <v>963</v>
      </c>
      <c r="C41" s="12" t="s">
        <v>858</v>
      </c>
      <c r="D41" s="12" t="s">
        <v>835</v>
      </c>
      <c r="E41" s="15" t="s">
        <v>964</v>
      </c>
      <c r="F41" s="15" t="s">
        <v>965</v>
      </c>
      <c r="G41" s="15" t="s">
        <v>966</v>
      </c>
      <c r="H41" s="4"/>
    </row>
    <row r="42" spans="1:8" ht="15.5">
      <c r="A42" s="8">
        <v>41</v>
      </c>
      <c r="B42" s="12" t="s">
        <v>967</v>
      </c>
      <c r="C42" s="12" t="s">
        <v>862</v>
      </c>
      <c r="D42" s="12" t="s">
        <v>835</v>
      </c>
      <c r="E42" s="15" t="s">
        <v>968</v>
      </c>
      <c r="F42" s="15" t="s">
        <v>969</v>
      </c>
      <c r="G42" s="15" t="s">
        <v>970</v>
      </c>
      <c r="H42" s="4"/>
    </row>
    <row r="43" spans="1:8" ht="15.5">
      <c r="A43" s="8">
        <v>42</v>
      </c>
      <c r="B43" s="12" t="s">
        <v>116</v>
      </c>
      <c r="C43" s="12" t="s">
        <v>971</v>
      </c>
      <c r="D43" s="12" t="s">
        <v>817</v>
      </c>
      <c r="E43" s="15" t="s">
        <v>972</v>
      </c>
      <c r="F43" s="15" t="s">
        <v>973</v>
      </c>
      <c r="G43" s="15" t="s">
        <v>974</v>
      </c>
      <c r="H43" s="4" t="s">
        <v>826</v>
      </c>
    </row>
    <row r="44" spans="1:8" ht="15.5">
      <c r="A44" s="8">
        <v>43</v>
      </c>
      <c r="B44" s="12" t="s">
        <v>31</v>
      </c>
      <c r="C44" s="12" t="s">
        <v>822</v>
      </c>
      <c r="D44" s="12" t="s">
        <v>835</v>
      </c>
      <c r="E44" s="15" t="s">
        <v>975</v>
      </c>
      <c r="F44" s="15" t="s">
        <v>976</v>
      </c>
      <c r="G44" s="15" t="s">
        <v>977</v>
      </c>
      <c r="H44" s="4"/>
    </row>
    <row r="45" spans="1:8" ht="15.5">
      <c r="A45" s="8">
        <v>44</v>
      </c>
      <c r="B45" s="12" t="s">
        <v>978</v>
      </c>
      <c r="C45" s="12" t="s">
        <v>979</v>
      </c>
      <c r="D45" s="12" t="s">
        <v>835</v>
      </c>
      <c r="E45" s="15" t="s">
        <v>980</v>
      </c>
      <c r="F45" s="15" t="s">
        <v>981</v>
      </c>
      <c r="G45" s="15" t="s">
        <v>982</v>
      </c>
      <c r="H45" s="4"/>
    </row>
    <row r="46" spans="1:8" ht="15.5">
      <c r="A46" s="8">
        <v>45</v>
      </c>
      <c r="B46" s="12" t="s">
        <v>389</v>
      </c>
      <c r="C46" s="12" t="s">
        <v>840</v>
      </c>
      <c r="D46" s="12" t="s">
        <v>817</v>
      </c>
      <c r="E46" s="15" t="s">
        <v>983</v>
      </c>
      <c r="F46" s="15" t="s">
        <v>984</v>
      </c>
      <c r="G46" s="15" t="s">
        <v>985</v>
      </c>
      <c r="H46" s="4" t="s">
        <v>821</v>
      </c>
    </row>
    <row r="47" spans="1:8" ht="15.5">
      <c r="A47" s="8">
        <v>46</v>
      </c>
      <c r="B47" s="12" t="s">
        <v>986</v>
      </c>
      <c r="C47" s="12" t="s">
        <v>851</v>
      </c>
      <c r="D47" s="12" t="s">
        <v>835</v>
      </c>
      <c r="E47" s="15" t="s">
        <v>987</v>
      </c>
      <c r="F47" s="15" t="s">
        <v>988</v>
      </c>
      <c r="G47" s="15" t="s">
        <v>989</v>
      </c>
      <c r="H47" s="4"/>
    </row>
    <row r="48" spans="1:8" ht="15.5">
      <c r="A48" s="8">
        <v>47</v>
      </c>
      <c r="B48" s="12" t="s">
        <v>349</v>
      </c>
      <c r="C48" s="12" t="s">
        <v>943</v>
      </c>
      <c r="D48" s="12" t="s">
        <v>817</v>
      </c>
      <c r="E48" s="15" t="s">
        <v>990</v>
      </c>
      <c r="F48" s="15" t="s">
        <v>991</v>
      </c>
      <c r="G48" s="15" t="s">
        <v>992</v>
      </c>
      <c r="H48" s="4" t="s">
        <v>899</v>
      </c>
    </row>
    <row r="49" spans="1:8" ht="15.5">
      <c r="A49" s="8">
        <v>48</v>
      </c>
      <c r="B49" s="12" t="s">
        <v>365</v>
      </c>
      <c r="C49" s="12" t="s">
        <v>889</v>
      </c>
      <c r="D49" s="12" t="s">
        <v>817</v>
      </c>
      <c r="E49" s="15" t="s">
        <v>993</v>
      </c>
      <c r="F49" s="15" t="s">
        <v>994</v>
      </c>
      <c r="G49" s="15" t="s">
        <v>995</v>
      </c>
      <c r="H49" s="4" t="s">
        <v>830</v>
      </c>
    </row>
    <row r="50" spans="1:8" ht="15.5">
      <c r="A50" s="8">
        <v>49</v>
      </c>
      <c r="B50" s="12" t="s">
        <v>34</v>
      </c>
      <c r="C50" s="12" t="s">
        <v>840</v>
      </c>
      <c r="D50" s="12" t="s">
        <v>817</v>
      </c>
      <c r="E50" s="15" t="s">
        <v>996</v>
      </c>
      <c r="F50" s="15" t="s">
        <v>997</v>
      </c>
      <c r="G50" s="15" t="s">
        <v>998</v>
      </c>
      <c r="H50" s="4" t="s">
        <v>938</v>
      </c>
    </row>
    <row r="51" spans="1:8" ht="15.5">
      <c r="A51" s="8">
        <v>50</v>
      </c>
      <c r="B51" s="12" t="s">
        <v>999</v>
      </c>
      <c r="C51" s="12" t="s">
        <v>1000</v>
      </c>
      <c r="D51" s="12" t="s">
        <v>835</v>
      </c>
      <c r="E51" s="15" t="s">
        <v>1001</v>
      </c>
      <c r="F51" s="15" t="s">
        <v>1002</v>
      </c>
      <c r="G51" s="15" t="s">
        <v>1003</v>
      </c>
    </row>
    <row r="52" spans="1:8" ht="15.5">
      <c r="A52" s="8">
        <v>51</v>
      </c>
      <c r="B52" s="12" t="s">
        <v>252</v>
      </c>
      <c r="C52" s="12" t="s">
        <v>1004</v>
      </c>
      <c r="D52" s="12" t="s">
        <v>817</v>
      </c>
      <c r="E52" s="15" t="s">
        <v>1005</v>
      </c>
      <c r="F52" s="15" t="s">
        <v>1006</v>
      </c>
      <c r="G52" s="15" t="s">
        <v>1007</v>
      </c>
      <c r="H52" s="4" t="s">
        <v>821</v>
      </c>
    </row>
    <row r="53" spans="1:8" ht="15.5">
      <c r="A53" s="8">
        <v>52</v>
      </c>
      <c r="B53" s="12" t="s">
        <v>75</v>
      </c>
      <c r="C53" s="12" t="s">
        <v>827</v>
      </c>
      <c r="D53" s="12" t="s">
        <v>817</v>
      </c>
      <c r="E53" s="15" t="s">
        <v>1008</v>
      </c>
      <c r="F53" s="15" t="s">
        <v>1009</v>
      </c>
      <c r="G53" s="15" t="s">
        <v>1010</v>
      </c>
      <c r="H53" s="4" t="s">
        <v>899</v>
      </c>
    </row>
    <row r="54" spans="1:8" ht="15.5">
      <c r="A54" s="8">
        <v>53</v>
      </c>
      <c r="B54" s="12" t="s">
        <v>62</v>
      </c>
      <c r="C54" s="12" t="s">
        <v>827</v>
      </c>
      <c r="D54" s="12" t="s">
        <v>817</v>
      </c>
      <c r="E54" s="15" t="s">
        <v>1011</v>
      </c>
      <c r="F54" s="15" t="s">
        <v>1012</v>
      </c>
      <c r="G54" s="15" t="s">
        <v>1010</v>
      </c>
      <c r="H54" s="4" t="s">
        <v>938</v>
      </c>
    </row>
    <row r="55" spans="1:8" ht="15.5">
      <c r="A55" s="8">
        <v>54</v>
      </c>
      <c r="B55" s="12" t="s">
        <v>279</v>
      </c>
      <c r="C55" s="12" t="s">
        <v>831</v>
      </c>
      <c r="D55" s="12" t="s">
        <v>817</v>
      </c>
      <c r="E55" s="15" t="s">
        <v>1013</v>
      </c>
      <c r="F55" s="15" t="s">
        <v>1014</v>
      </c>
      <c r="G55" s="15" t="s">
        <v>1015</v>
      </c>
      <c r="H55" s="4" t="s">
        <v>899</v>
      </c>
    </row>
    <row r="56" spans="1:8" ht="15.5">
      <c r="A56" s="8">
        <v>55</v>
      </c>
      <c r="B56" s="12" t="s">
        <v>1016</v>
      </c>
      <c r="C56" s="12" t="s">
        <v>943</v>
      </c>
      <c r="D56" s="12" t="s">
        <v>835</v>
      </c>
      <c r="E56" s="15" t="s">
        <v>1017</v>
      </c>
      <c r="F56" s="15" t="s">
        <v>1018</v>
      </c>
      <c r="G56" s="15" t="s">
        <v>1019</v>
      </c>
      <c r="H56" s="4"/>
    </row>
    <row r="57" spans="1:8" ht="15.5">
      <c r="A57" s="8">
        <v>56</v>
      </c>
      <c r="B57" s="12" t="s">
        <v>380</v>
      </c>
      <c r="C57" s="12" t="s">
        <v>840</v>
      </c>
      <c r="D57" s="12" t="s">
        <v>817</v>
      </c>
      <c r="E57" s="15" t="s">
        <v>1020</v>
      </c>
      <c r="F57" s="15" t="s">
        <v>1021</v>
      </c>
      <c r="G57" s="15" t="s">
        <v>1022</v>
      </c>
      <c r="H57" s="4" t="s">
        <v>821</v>
      </c>
    </row>
    <row r="58" spans="1:8" ht="15.5">
      <c r="A58" s="8">
        <v>57</v>
      </c>
      <c r="B58" s="12" t="s">
        <v>217</v>
      </c>
      <c r="C58" s="12" t="s">
        <v>822</v>
      </c>
      <c r="D58" s="12" t="s">
        <v>835</v>
      </c>
      <c r="E58" s="15" t="s">
        <v>1023</v>
      </c>
      <c r="F58" s="15" t="s">
        <v>1024</v>
      </c>
      <c r="G58" s="15" t="s">
        <v>1025</v>
      </c>
      <c r="H58" s="4"/>
    </row>
    <row r="59" spans="1:8" ht="15.5">
      <c r="A59" s="8">
        <v>58</v>
      </c>
      <c r="B59" s="12" t="s">
        <v>44</v>
      </c>
      <c r="C59" s="12" t="s">
        <v>844</v>
      </c>
      <c r="D59" s="12" t="s">
        <v>817</v>
      </c>
      <c r="E59" s="15" t="s">
        <v>1026</v>
      </c>
      <c r="F59" s="15" t="s">
        <v>1027</v>
      </c>
      <c r="G59" s="15" t="s">
        <v>1028</v>
      </c>
      <c r="H59" s="4" t="s">
        <v>826</v>
      </c>
    </row>
    <row r="60" spans="1:8" ht="15.5">
      <c r="A60" s="8">
        <v>59</v>
      </c>
      <c r="B60" s="12" t="s">
        <v>142</v>
      </c>
      <c r="C60" s="12" t="s">
        <v>827</v>
      </c>
      <c r="D60" s="12" t="s">
        <v>817</v>
      </c>
      <c r="E60" s="15" t="s">
        <v>1029</v>
      </c>
      <c r="F60" s="15" t="s">
        <v>1030</v>
      </c>
      <c r="G60" s="15" t="s">
        <v>1031</v>
      </c>
      <c r="H60" s="4" t="s">
        <v>899</v>
      </c>
    </row>
    <row r="61" spans="1:8" ht="15.5">
      <c r="A61" s="8">
        <v>60</v>
      </c>
      <c r="B61" s="12" t="s">
        <v>471</v>
      </c>
      <c r="C61" s="12" t="s">
        <v>844</v>
      </c>
      <c r="D61" s="12" t="s">
        <v>817</v>
      </c>
      <c r="E61" s="15" t="s">
        <v>1032</v>
      </c>
      <c r="F61" s="15" t="s">
        <v>1033</v>
      </c>
      <c r="G61" s="15" t="s">
        <v>1034</v>
      </c>
      <c r="H61" s="4" t="s">
        <v>920</v>
      </c>
    </row>
    <row r="62" spans="1:8" ht="15.5">
      <c r="A62" s="8">
        <v>61</v>
      </c>
      <c r="B62" s="12" t="s">
        <v>225</v>
      </c>
      <c r="C62" s="12" t="s">
        <v>822</v>
      </c>
      <c r="D62" s="12" t="s">
        <v>817</v>
      </c>
      <c r="E62" s="15" t="s">
        <v>1035</v>
      </c>
      <c r="F62" s="15" t="s">
        <v>1036</v>
      </c>
      <c r="G62" s="15" t="s">
        <v>1037</v>
      </c>
      <c r="H62" s="4" t="s">
        <v>938</v>
      </c>
    </row>
    <row r="63" spans="1:8" ht="15.5">
      <c r="A63" s="8">
        <v>62</v>
      </c>
      <c r="B63" s="12" t="s">
        <v>86</v>
      </c>
      <c r="C63" s="12" t="s">
        <v>939</v>
      </c>
      <c r="D63" s="12" t="s">
        <v>835</v>
      </c>
      <c r="E63" s="15" t="s">
        <v>1038</v>
      </c>
      <c r="F63" s="15" t="s">
        <v>1039</v>
      </c>
      <c r="G63" s="15" t="s">
        <v>1040</v>
      </c>
      <c r="H63" s="4"/>
    </row>
    <row r="64" spans="1:8" ht="15.5">
      <c r="A64" s="8">
        <v>63</v>
      </c>
      <c r="B64" s="12" t="s">
        <v>29</v>
      </c>
      <c r="C64" s="12" t="s">
        <v>971</v>
      </c>
      <c r="D64" s="12" t="s">
        <v>835</v>
      </c>
      <c r="E64" s="15" t="s">
        <v>1041</v>
      </c>
      <c r="F64" s="15" t="s">
        <v>1042</v>
      </c>
      <c r="G64" s="15" t="s">
        <v>1043</v>
      </c>
      <c r="H64" s="4"/>
    </row>
    <row r="65" spans="1:8" ht="15.5">
      <c r="A65" s="8">
        <v>64</v>
      </c>
      <c r="B65" s="12" t="s">
        <v>245</v>
      </c>
      <c r="C65" s="12" t="s">
        <v>844</v>
      </c>
      <c r="D65" s="12" t="s">
        <v>817</v>
      </c>
      <c r="E65" s="15" t="s">
        <v>1044</v>
      </c>
      <c r="F65" s="15" t="s">
        <v>1045</v>
      </c>
      <c r="G65" s="15" t="s">
        <v>1046</v>
      </c>
      <c r="H65" s="4" t="s">
        <v>899</v>
      </c>
    </row>
    <row r="66" spans="1:8" ht="15.5">
      <c r="A66" s="8">
        <v>65</v>
      </c>
      <c r="B66" s="12" t="s">
        <v>108</v>
      </c>
      <c r="C66" s="12" t="s">
        <v>910</v>
      </c>
      <c r="D66" s="12" t="s">
        <v>835</v>
      </c>
      <c r="E66" s="15" t="s">
        <v>1047</v>
      </c>
      <c r="F66" s="15" t="s">
        <v>1048</v>
      </c>
      <c r="G66" s="15" t="s">
        <v>1049</v>
      </c>
      <c r="H66" s="4"/>
    </row>
    <row r="67" spans="1:8" ht="15.5">
      <c r="A67" s="8">
        <v>66</v>
      </c>
      <c r="B67" s="12" t="s">
        <v>386</v>
      </c>
      <c r="C67" s="12" t="s">
        <v>840</v>
      </c>
      <c r="D67" s="12" t="s">
        <v>817</v>
      </c>
      <c r="E67" s="15" t="s">
        <v>1050</v>
      </c>
      <c r="F67" s="15" t="s">
        <v>1051</v>
      </c>
      <c r="G67" s="15" t="s">
        <v>1052</v>
      </c>
      <c r="H67" s="4" t="s">
        <v>826</v>
      </c>
    </row>
    <row r="68" spans="1:8" ht="15.5">
      <c r="A68" s="8">
        <v>67</v>
      </c>
      <c r="B68" s="12" t="s">
        <v>100</v>
      </c>
      <c r="C68" s="12" t="s">
        <v>934</v>
      </c>
      <c r="D68" s="12" t="s">
        <v>817</v>
      </c>
      <c r="E68" s="15" t="s">
        <v>1053</v>
      </c>
      <c r="F68" s="15" t="s">
        <v>1054</v>
      </c>
      <c r="G68" s="15" t="s">
        <v>1055</v>
      </c>
      <c r="H68" s="4" t="s">
        <v>920</v>
      </c>
    </row>
    <row r="69" spans="1:8" ht="15.5">
      <c r="A69" s="8">
        <v>68</v>
      </c>
      <c r="B69" s="12" t="s">
        <v>1056</v>
      </c>
      <c r="C69" s="12" t="s">
        <v>889</v>
      </c>
      <c r="D69" s="12" t="s">
        <v>835</v>
      </c>
      <c r="E69" s="15" t="s">
        <v>1057</v>
      </c>
      <c r="F69" s="15" t="s">
        <v>1058</v>
      </c>
      <c r="G69" s="15" t="s">
        <v>1059</v>
      </c>
      <c r="H69" s="4"/>
    </row>
    <row r="70" spans="1:8" ht="15.5">
      <c r="A70" s="8">
        <v>69</v>
      </c>
      <c r="B70" s="12" t="s">
        <v>1060</v>
      </c>
      <c r="C70" s="12" t="s">
        <v>827</v>
      </c>
      <c r="D70" s="12" t="s">
        <v>817</v>
      </c>
      <c r="E70" s="15" t="s">
        <v>1061</v>
      </c>
      <c r="F70" s="15" t="s">
        <v>1062</v>
      </c>
      <c r="G70" s="15"/>
      <c r="H70" s="4"/>
    </row>
    <row r="71" spans="1:8" ht="15.5">
      <c r="A71" s="8">
        <v>70</v>
      </c>
      <c r="B71" s="12" t="s">
        <v>1063</v>
      </c>
      <c r="C71" s="12" t="s">
        <v>851</v>
      </c>
      <c r="D71" s="12" t="s">
        <v>835</v>
      </c>
      <c r="E71" s="15" t="s">
        <v>1064</v>
      </c>
      <c r="F71" s="15" t="s">
        <v>1065</v>
      </c>
      <c r="G71" s="15" t="s">
        <v>1066</v>
      </c>
      <c r="H71" s="4"/>
    </row>
    <row r="72" spans="1:8" ht="15.5">
      <c r="A72" s="8">
        <v>71</v>
      </c>
      <c r="B72" s="12" t="s">
        <v>1067</v>
      </c>
      <c r="C72" s="12" t="s">
        <v>831</v>
      </c>
      <c r="D72" s="12" t="s">
        <v>817</v>
      </c>
      <c r="E72" s="15" t="s">
        <v>1068</v>
      </c>
      <c r="F72" s="15" t="s">
        <v>1069</v>
      </c>
      <c r="G72" s="15" t="s">
        <v>1070</v>
      </c>
      <c r="H72" s="4" t="s">
        <v>821</v>
      </c>
    </row>
    <row r="73" spans="1:8" ht="15.5">
      <c r="A73" s="8">
        <v>72</v>
      </c>
      <c r="B73" s="12" t="s">
        <v>411</v>
      </c>
      <c r="C73" s="12" t="s">
        <v>844</v>
      </c>
      <c r="D73" s="12" t="s">
        <v>817</v>
      </c>
      <c r="E73" s="15" t="s">
        <v>1071</v>
      </c>
      <c r="F73" s="15" t="s">
        <v>1072</v>
      </c>
      <c r="G73" s="15" t="s">
        <v>1073</v>
      </c>
      <c r="H73" s="4" t="s">
        <v>899</v>
      </c>
    </row>
    <row r="74" spans="1:8" ht="15.5">
      <c r="A74" s="8">
        <v>73</v>
      </c>
      <c r="B74" s="12" t="s">
        <v>133</v>
      </c>
      <c r="C74" s="12" t="s">
        <v>827</v>
      </c>
      <c r="D74" s="12" t="s">
        <v>817</v>
      </c>
      <c r="E74" s="15" t="s">
        <v>1074</v>
      </c>
      <c r="F74" s="15" t="s">
        <v>1075</v>
      </c>
      <c r="G74" s="15" t="s">
        <v>1076</v>
      </c>
      <c r="H74" s="4" t="s">
        <v>821</v>
      </c>
    </row>
    <row r="75" spans="1:8" ht="15.5">
      <c r="A75" s="8">
        <v>74</v>
      </c>
      <c r="B75" s="12" t="s">
        <v>1077</v>
      </c>
      <c r="C75" s="12" t="s">
        <v>840</v>
      </c>
      <c r="D75" s="12" t="s">
        <v>835</v>
      </c>
      <c r="E75" s="15" t="s">
        <v>1078</v>
      </c>
      <c r="F75" s="15" t="s">
        <v>1079</v>
      </c>
      <c r="G75" s="15" t="s">
        <v>1080</v>
      </c>
      <c r="H75" s="4"/>
    </row>
    <row r="76" spans="1:8" ht="15.5">
      <c r="A76" s="8">
        <v>75</v>
      </c>
      <c r="B76" s="12" t="s">
        <v>1081</v>
      </c>
      <c r="C76" s="12" t="s">
        <v>1082</v>
      </c>
      <c r="D76" s="12" t="s">
        <v>835</v>
      </c>
      <c r="E76" s="15" t="s">
        <v>1083</v>
      </c>
      <c r="F76" s="15" t="s">
        <v>1084</v>
      </c>
      <c r="G76" s="15" t="s">
        <v>1085</v>
      </c>
      <c r="H76" s="4"/>
    </row>
    <row r="77" spans="1:8" ht="15.5">
      <c r="A77" s="8">
        <v>76</v>
      </c>
      <c r="B77" s="12" t="s">
        <v>1086</v>
      </c>
      <c r="C77" s="12" t="s">
        <v>840</v>
      </c>
      <c r="D77" s="12" t="s">
        <v>835</v>
      </c>
      <c r="E77" s="15" t="s">
        <v>1087</v>
      </c>
      <c r="F77" s="15" t="s">
        <v>1088</v>
      </c>
      <c r="G77" s="15" t="s">
        <v>1089</v>
      </c>
      <c r="H77" s="4"/>
    </row>
    <row r="78" spans="1:8" ht="15.5">
      <c r="A78" s="8">
        <v>77</v>
      </c>
      <c r="B78" s="12" t="s">
        <v>148</v>
      </c>
      <c r="C78" s="12" t="s">
        <v>822</v>
      </c>
      <c r="D78" s="12" t="s">
        <v>835</v>
      </c>
      <c r="E78" s="15" t="s">
        <v>1090</v>
      </c>
      <c r="F78" s="15" t="s">
        <v>1091</v>
      </c>
      <c r="G78" s="15" t="s">
        <v>1092</v>
      </c>
      <c r="H78" s="4"/>
    </row>
    <row r="79" spans="1:8" ht="15.5">
      <c r="A79" s="8">
        <v>78</v>
      </c>
      <c r="B79" s="12" t="s">
        <v>1093</v>
      </c>
      <c r="C79" s="12" t="s">
        <v>840</v>
      </c>
      <c r="D79" s="12" t="s">
        <v>817</v>
      </c>
      <c r="E79" s="15" t="s">
        <v>1094</v>
      </c>
      <c r="F79" s="15" t="s">
        <v>1095</v>
      </c>
      <c r="G79" s="15" t="s">
        <v>1096</v>
      </c>
      <c r="H79" s="4" t="s">
        <v>826</v>
      </c>
    </row>
    <row r="80" spans="1:8" ht="15.5">
      <c r="A80" s="8">
        <v>79</v>
      </c>
      <c r="B80" s="12" t="s">
        <v>1097</v>
      </c>
      <c r="C80" s="12" t="s">
        <v>816</v>
      </c>
      <c r="D80" s="12" t="s">
        <v>835</v>
      </c>
      <c r="E80" s="15" t="s">
        <v>1098</v>
      </c>
      <c r="F80" s="15" t="s">
        <v>1099</v>
      </c>
      <c r="G80" s="15" t="s">
        <v>1100</v>
      </c>
      <c r="H80" s="4"/>
    </row>
    <row r="81" spans="1:8" ht="15.5">
      <c r="A81" s="8">
        <v>80</v>
      </c>
      <c r="B81" s="12" t="s">
        <v>399</v>
      </c>
      <c r="C81" s="12" t="s">
        <v>906</v>
      </c>
      <c r="D81" s="12" t="s">
        <v>817</v>
      </c>
      <c r="E81" s="15" t="s">
        <v>1101</v>
      </c>
      <c r="F81" s="15" t="s">
        <v>1102</v>
      </c>
      <c r="G81" s="15" t="s">
        <v>1103</v>
      </c>
      <c r="H81" s="4" t="s">
        <v>899</v>
      </c>
    </row>
    <row r="82" spans="1:8" ht="15.5">
      <c r="A82" s="8">
        <v>81</v>
      </c>
      <c r="B82" s="12" t="s">
        <v>396</v>
      </c>
      <c r="C82" s="12" t="s">
        <v>1104</v>
      </c>
      <c r="D82" s="12" t="s">
        <v>817</v>
      </c>
      <c r="E82" s="15" t="s">
        <v>1105</v>
      </c>
      <c r="F82" s="15" t="s">
        <v>1106</v>
      </c>
      <c r="G82" s="15" t="s">
        <v>1107</v>
      </c>
      <c r="H82" s="4" t="s">
        <v>830</v>
      </c>
    </row>
    <row r="83" spans="1:8" ht="15.5">
      <c r="A83" s="8">
        <v>82</v>
      </c>
      <c r="B83" s="12" t="s">
        <v>1108</v>
      </c>
      <c r="C83" s="12" t="s">
        <v>910</v>
      </c>
      <c r="D83" s="12" t="s">
        <v>817</v>
      </c>
      <c r="E83" s="15" t="s">
        <v>1109</v>
      </c>
      <c r="F83" s="15" t="s">
        <v>1110</v>
      </c>
      <c r="G83" s="15" t="s">
        <v>1111</v>
      </c>
      <c r="H83" s="4" t="s">
        <v>899</v>
      </c>
    </row>
    <row r="84" spans="1:8" ht="15.5">
      <c r="A84" s="8">
        <v>83</v>
      </c>
      <c r="B84" s="12" t="s">
        <v>1112</v>
      </c>
      <c r="C84" s="12" t="s">
        <v>943</v>
      </c>
      <c r="D84" s="12" t="s">
        <v>835</v>
      </c>
      <c r="E84" s="15" t="s">
        <v>1113</v>
      </c>
      <c r="F84" s="15" t="s">
        <v>1114</v>
      </c>
      <c r="G84" s="15" t="s">
        <v>1115</v>
      </c>
      <c r="H84" s="4"/>
    </row>
    <row r="85" spans="1:8" ht="15.5">
      <c r="A85" s="8">
        <v>84</v>
      </c>
      <c r="B85" s="12" t="s">
        <v>1116</v>
      </c>
      <c r="C85" s="12" t="s">
        <v>840</v>
      </c>
      <c r="D85" s="12" t="s">
        <v>835</v>
      </c>
      <c r="E85" s="15" t="s">
        <v>1117</v>
      </c>
      <c r="F85" s="15" t="s">
        <v>1118</v>
      </c>
      <c r="G85" s="15" t="s">
        <v>1119</v>
      </c>
      <c r="H85" s="4"/>
    </row>
    <row r="86" spans="1:8" ht="15.5">
      <c r="A86" s="8">
        <v>85</v>
      </c>
      <c r="B86" s="12" t="s">
        <v>120</v>
      </c>
      <c r="C86" s="12" t="s">
        <v>831</v>
      </c>
      <c r="D86" s="12" t="s">
        <v>835</v>
      </c>
      <c r="E86" s="15" t="s">
        <v>1120</v>
      </c>
      <c r="F86" s="15" t="s">
        <v>1121</v>
      </c>
      <c r="G86" s="15" t="s">
        <v>1122</v>
      </c>
      <c r="H86" s="4"/>
    </row>
    <row r="87" spans="1:8" ht="15.5">
      <c r="A87" s="8">
        <v>86</v>
      </c>
      <c r="B87" s="12" t="s">
        <v>1123</v>
      </c>
      <c r="C87" s="12" t="s">
        <v>1124</v>
      </c>
      <c r="D87" s="12" t="s">
        <v>835</v>
      </c>
      <c r="E87" s="15" t="s">
        <v>1125</v>
      </c>
      <c r="F87" s="15" t="s">
        <v>1126</v>
      </c>
      <c r="G87" s="15" t="s">
        <v>1127</v>
      </c>
      <c r="H87" s="4"/>
    </row>
    <row r="88" spans="1:8" ht="15.5">
      <c r="A88" s="8">
        <v>87</v>
      </c>
      <c r="B88" s="12" t="s">
        <v>271</v>
      </c>
      <c r="C88" s="12" t="s">
        <v>844</v>
      </c>
      <c r="D88" s="12" t="s">
        <v>817</v>
      </c>
      <c r="E88" s="15" t="s">
        <v>1128</v>
      </c>
      <c r="F88" s="15" t="s">
        <v>1129</v>
      </c>
      <c r="G88" s="15" t="s">
        <v>1130</v>
      </c>
      <c r="H88" s="4" t="s">
        <v>830</v>
      </c>
    </row>
    <row r="89" spans="1:8" ht="15.5">
      <c r="A89" s="8">
        <v>88</v>
      </c>
      <c r="B89" s="12" t="s">
        <v>236</v>
      </c>
      <c r="C89" s="12" t="s">
        <v>889</v>
      </c>
      <c r="D89" s="12" t="s">
        <v>817</v>
      </c>
      <c r="E89" s="15" t="s">
        <v>1131</v>
      </c>
      <c r="F89" s="15" t="s">
        <v>1132</v>
      </c>
      <c r="G89" s="15" t="s">
        <v>1133</v>
      </c>
      <c r="H89" s="4" t="s">
        <v>830</v>
      </c>
    </row>
    <row r="90" spans="1:8" ht="15.5">
      <c r="A90" s="8">
        <v>89</v>
      </c>
      <c r="B90" s="12" t="s">
        <v>248</v>
      </c>
      <c r="C90" s="12" t="s">
        <v>822</v>
      </c>
      <c r="D90" s="12" t="s">
        <v>835</v>
      </c>
      <c r="E90" s="15" t="s">
        <v>1134</v>
      </c>
      <c r="F90" s="15" t="s">
        <v>1135</v>
      </c>
      <c r="G90" s="15" t="s">
        <v>1136</v>
      </c>
      <c r="H90" s="4"/>
    </row>
    <row r="91" spans="1:8" ht="15.5">
      <c r="A91" s="8">
        <v>90</v>
      </c>
      <c r="B91" s="12" t="s">
        <v>38</v>
      </c>
      <c r="C91" s="12" t="s">
        <v>922</v>
      </c>
      <c r="D91" s="12" t="s">
        <v>835</v>
      </c>
      <c r="E91" s="15" t="s">
        <v>1137</v>
      </c>
      <c r="F91" s="15" t="s">
        <v>1138</v>
      </c>
      <c r="G91" s="15" t="s">
        <v>1139</v>
      </c>
      <c r="H91" s="4"/>
    </row>
    <row r="92" spans="1:8" ht="15.5">
      <c r="A92" s="8">
        <v>91</v>
      </c>
      <c r="B92" s="12" t="s">
        <v>88</v>
      </c>
      <c r="C92" s="12" t="s">
        <v>840</v>
      </c>
      <c r="D92" s="12" t="s">
        <v>817</v>
      </c>
      <c r="E92" s="15" t="s">
        <v>1140</v>
      </c>
      <c r="F92" s="15" t="s">
        <v>1141</v>
      </c>
      <c r="G92" s="15" t="s">
        <v>1142</v>
      </c>
      <c r="H92" s="4" t="s">
        <v>920</v>
      </c>
    </row>
    <row r="93" spans="1:8" ht="15.5">
      <c r="A93" s="8">
        <v>92</v>
      </c>
      <c r="B93" s="12" t="s">
        <v>1143</v>
      </c>
      <c r="C93" s="12" t="s">
        <v>971</v>
      </c>
      <c r="D93" s="12" t="s">
        <v>835</v>
      </c>
      <c r="E93" s="15" t="s">
        <v>1144</v>
      </c>
      <c r="F93" s="15" t="s">
        <v>1145</v>
      </c>
      <c r="G93" s="15" t="s">
        <v>1146</v>
      </c>
      <c r="H93" s="4"/>
    </row>
    <row r="94" spans="1:8" ht="15.5">
      <c r="A94" s="8">
        <v>93</v>
      </c>
      <c r="B94" s="12" t="s">
        <v>307</v>
      </c>
      <c r="C94" s="12" t="s">
        <v>844</v>
      </c>
      <c r="D94" s="12" t="s">
        <v>817</v>
      </c>
      <c r="E94" s="15" t="s">
        <v>1147</v>
      </c>
      <c r="F94" s="15" t="s">
        <v>1148</v>
      </c>
      <c r="G94" s="15" t="s">
        <v>1149</v>
      </c>
      <c r="H94" s="4" t="s">
        <v>899</v>
      </c>
    </row>
    <row r="95" spans="1:8" ht="15.5">
      <c r="A95" s="8">
        <v>94</v>
      </c>
      <c r="B95" s="12" t="s">
        <v>1150</v>
      </c>
      <c r="C95" s="12" t="s">
        <v>950</v>
      </c>
      <c r="D95" s="12" t="s">
        <v>835</v>
      </c>
      <c r="E95" s="15" t="s">
        <v>1151</v>
      </c>
      <c r="F95" s="15" t="s">
        <v>1152</v>
      </c>
      <c r="G95" s="15" t="s">
        <v>1153</v>
      </c>
      <c r="H95" s="4"/>
    </row>
    <row r="96" spans="1:8" ht="15.5">
      <c r="A96" s="8">
        <v>95</v>
      </c>
      <c r="B96" s="12" t="s">
        <v>1154</v>
      </c>
      <c r="C96" s="12" t="s">
        <v>851</v>
      </c>
      <c r="D96" s="12" t="s">
        <v>817</v>
      </c>
      <c r="E96" s="15" t="s">
        <v>1155</v>
      </c>
      <c r="F96" s="15" t="s">
        <v>1156</v>
      </c>
      <c r="G96" s="15" t="s">
        <v>1157</v>
      </c>
      <c r="H96" s="4" t="s">
        <v>830</v>
      </c>
    </row>
    <row r="97" spans="1:8" ht="15.5">
      <c r="A97" s="8">
        <v>96</v>
      </c>
      <c r="B97" s="12" t="s">
        <v>370</v>
      </c>
      <c r="C97" s="12" t="s">
        <v>827</v>
      </c>
      <c r="D97" s="12" t="s">
        <v>817</v>
      </c>
      <c r="E97" s="15" t="s">
        <v>1158</v>
      </c>
      <c r="F97" s="15" t="s">
        <v>1159</v>
      </c>
      <c r="G97" s="15" t="s">
        <v>1160</v>
      </c>
      <c r="H97" s="4" t="s">
        <v>899</v>
      </c>
    </row>
    <row r="98" spans="1:8" ht="15.5">
      <c r="A98" s="8">
        <v>97</v>
      </c>
      <c r="B98" s="12" t="s">
        <v>127</v>
      </c>
      <c r="C98" s="12" t="s">
        <v>822</v>
      </c>
      <c r="D98" s="12" t="s">
        <v>835</v>
      </c>
      <c r="E98" s="15" t="s">
        <v>1161</v>
      </c>
      <c r="F98" s="15" t="s">
        <v>1162</v>
      </c>
      <c r="G98" s="15" t="s">
        <v>1163</v>
      </c>
      <c r="H98" s="4"/>
    </row>
    <row r="99" spans="1:8" ht="15.5">
      <c r="A99" s="8">
        <v>98</v>
      </c>
      <c r="B99" s="12" t="s">
        <v>153</v>
      </c>
      <c r="C99" s="12" t="s">
        <v>1164</v>
      </c>
      <c r="D99" s="12" t="s">
        <v>835</v>
      </c>
      <c r="E99" s="15" t="s">
        <v>1165</v>
      </c>
      <c r="F99" s="15" t="s">
        <v>1166</v>
      </c>
      <c r="G99" s="15" t="s">
        <v>1167</v>
      </c>
      <c r="H99" s="4"/>
    </row>
    <row r="100" spans="1:8" ht="15.5">
      <c r="A100" s="8">
        <v>99</v>
      </c>
      <c r="B100" s="12" t="s">
        <v>201</v>
      </c>
      <c r="C100" s="12" t="s">
        <v>851</v>
      </c>
      <c r="D100" s="12" t="s">
        <v>817</v>
      </c>
      <c r="E100" s="15" t="s">
        <v>1168</v>
      </c>
      <c r="F100" s="15" t="s">
        <v>1169</v>
      </c>
      <c r="G100" s="15" t="s">
        <v>1170</v>
      </c>
      <c r="H100" s="4" t="s">
        <v>821</v>
      </c>
    </row>
    <row r="101" spans="1:8" ht="15.5">
      <c r="A101" s="8">
        <v>100</v>
      </c>
      <c r="B101" s="12" t="s">
        <v>247</v>
      </c>
      <c r="C101" s="12" t="s">
        <v>822</v>
      </c>
      <c r="D101" s="12" t="s">
        <v>835</v>
      </c>
      <c r="E101" s="15" t="s">
        <v>1171</v>
      </c>
      <c r="F101" s="15" t="s">
        <v>1172</v>
      </c>
      <c r="G101" s="15" t="s">
        <v>1173</v>
      </c>
    </row>
    <row r="102" spans="1:8" ht="15.5">
      <c r="A102" s="8">
        <v>101</v>
      </c>
      <c r="B102" s="12" t="s">
        <v>244</v>
      </c>
      <c r="C102" s="12" t="s">
        <v>943</v>
      </c>
      <c r="D102" s="12" t="s">
        <v>817</v>
      </c>
      <c r="E102" s="15" t="s">
        <v>1174</v>
      </c>
      <c r="F102" s="15" t="s">
        <v>1175</v>
      </c>
      <c r="G102" s="15" t="s">
        <v>1176</v>
      </c>
      <c r="H102" s="4" t="s">
        <v>938</v>
      </c>
    </row>
    <row r="103" spans="1:8" ht="15.5">
      <c r="A103" s="8">
        <v>102</v>
      </c>
      <c r="B103" s="12" t="s">
        <v>301</v>
      </c>
      <c r="C103" s="12" t="s">
        <v>840</v>
      </c>
      <c r="D103" s="12" t="s">
        <v>817</v>
      </c>
      <c r="E103" s="15" t="s">
        <v>1177</v>
      </c>
      <c r="F103" s="15" t="s">
        <v>1178</v>
      </c>
      <c r="G103" s="15" t="s">
        <v>1092</v>
      </c>
      <c r="H103" s="4" t="s">
        <v>899</v>
      </c>
    </row>
    <row r="104" spans="1:8" ht="15.5">
      <c r="A104" s="8">
        <v>103</v>
      </c>
      <c r="B104" s="12" t="s">
        <v>417</v>
      </c>
      <c r="C104" s="12" t="s">
        <v>827</v>
      </c>
      <c r="D104" s="12" t="s">
        <v>817</v>
      </c>
      <c r="E104" s="15" t="s">
        <v>1179</v>
      </c>
      <c r="F104" s="15" t="s">
        <v>1180</v>
      </c>
      <c r="G104" s="15" t="s">
        <v>1181</v>
      </c>
      <c r="H104" s="4" t="s">
        <v>899</v>
      </c>
    </row>
    <row r="105" spans="1:8" ht="15.5">
      <c r="A105" s="8">
        <v>104</v>
      </c>
      <c r="B105" s="12" t="s">
        <v>1182</v>
      </c>
      <c r="C105" s="12" t="s">
        <v>1183</v>
      </c>
      <c r="D105" s="12" t="s">
        <v>835</v>
      </c>
      <c r="E105" s="15" t="s">
        <v>1184</v>
      </c>
      <c r="F105" s="15" t="s">
        <v>1185</v>
      </c>
      <c r="G105" s="15" t="s">
        <v>1186</v>
      </c>
      <c r="H105" s="4"/>
    </row>
    <row r="106" spans="1:8" ht="15.5">
      <c r="A106" s="8">
        <v>105</v>
      </c>
      <c r="B106" s="12" t="s">
        <v>199</v>
      </c>
      <c r="C106" s="12" t="s">
        <v>827</v>
      </c>
      <c r="D106" s="12" t="s">
        <v>817</v>
      </c>
      <c r="E106" s="15" t="s">
        <v>1187</v>
      </c>
      <c r="F106" s="15" t="s">
        <v>1188</v>
      </c>
      <c r="G106" s="15" t="s">
        <v>1189</v>
      </c>
      <c r="H106" s="4" t="s">
        <v>938</v>
      </c>
    </row>
    <row r="107" spans="1:8" ht="15.5">
      <c r="A107" s="8">
        <v>106</v>
      </c>
      <c r="B107" s="12" t="s">
        <v>283</v>
      </c>
      <c r="C107" s="12" t="s">
        <v>822</v>
      </c>
      <c r="D107" s="12" t="s">
        <v>817</v>
      </c>
      <c r="E107" s="15" t="s">
        <v>1190</v>
      </c>
      <c r="F107" s="15" t="s">
        <v>1191</v>
      </c>
      <c r="G107" s="15" t="s">
        <v>1170</v>
      </c>
      <c r="H107" s="4" t="s">
        <v>920</v>
      </c>
    </row>
    <row r="108" spans="1:8" ht="15.5">
      <c r="A108" s="8">
        <v>107</v>
      </c>
      <c r="B108" s="12" t="s">
        <v>105</v>
      </c>
      <c r="C108" s="12" t="s">
        <v>910</v>
      </c>
      <c r="D108" s="12" t="s">
        <v>835</v>
      </c>
      <c r="E108" s="15" t="s">
        <v>1192</v>
      </c>
      <c r="F108" s="15" t="s">
        <v>1193</v>
      </c>
      <c r="G108" s="15" t="s">
        <v>1194</v>
      </c>
      <c r="H108" s="4"/>
    </row>
    <row r="109" spans="1:8" ht="15.5">
      <c r="A109" s="8">
        <v>108</v>
      </c>
      <c r="B109" s="12" t="s">
        <v>111</v>
      </c>
      <c r="C109" s="12" t="s">
        <v>840</v>
      </c>
      <c r="D109" s="12" t="s">
        <v>817</v>
      </c>
      <c r="E109" s="15" t="s">
        <v>1195</v>
      </c>
      <c r="F109" s="15" t="s">
        <v>1196</v>
      </c>
      <c r="G109" s="15" t="s">
        <v>1197</v>
      </c>
      <c r="H109" s="4" t="s">
        <v>920</v>
      </c>
    </row>
    <row r="110" spans="1:8" ht="15.5">
      <c r="A110" s="8">
        <v>109</v>
      </c>
      <c r="B110" s="12" t="s">
        <v>1198</v>
      </c>
      <c r="C110" s="12" t="s">
        <v>1199</v>
      </c>
      <c r="D110" s="12" t="s">
        <v>835</v>
      </c>
      <c r="E110" s="15" t="s">
        <v>1200</v>
      </c>
      <c r="F110" s="15" t="s">
        <v>1201</v>
      </c>
      <c r="G110" s="15" t="s">
        <v>1202</v>
      </c>
      <c r="H110" s="4"/>
    </row>
    <row r="111" spans="1:8" ht="15.5">
      <c r="A111" s="8">
        <v>110</v>
      </c>
      <c r="B111" s="12" t="s">
        <v>129</v>
      </c>
      <c r="C111" s="12" t="s">
        <v>910</v>
      </c>
      <c r="D111" s="12" t="s">
        <v>835</v>
      </c>
      <c r="E111" s="15" t="s">
        <v>1203</v>
      </c>
      <c r="F111" s="15" t="s">
        <v>1204</v>
      </c>
      <c r="G111" s="15" t="s">
        <v>1205</v>
      </c>
      <c r="H111" s="4"/>
    </row>
    <row r="112" spans="1:8" ht="15.5">
      <c r="A112" s="8">
        <v>111</v>
      </c>
      <c r="B112" s="12" t="s">
        <v>419</v>
      </c>
      <c r="C112" s="12" t="s">
        <v>1183</v>
      </c>
      <c r="D112" s="12" t="s">
        <v>817</v>
      </c>
      <c r="E112" s="15" t="s">
        <v>1206</v>
      </c>
      <c r="F112" s="15" t="s">
        <v>1207</v>
      </c>
      <c r="G112" s="15" t="s">
        <v>1208</v>
      </c>
      <c r="H112" s="4" t="s">
        <v>899</v>
      </c>
    </row>
    <row r="113" spans="1:8" ht="15.5">
      <c r="A113" s="8">
        <v>112</v>
      </c>
      <c r="B113" s="12" t="s">
        <v>1209</v>
      </c>
      <c r="C113" s="12" t="s">
        <v>1199</v>
      </c>
      <c r="D113" s="12" t="s">
        <v>835</v>
      </c>
      <c r="E113" s="15" t="s">
        <v>1210</v>
      </c>
      <c r="F113" s="15" t="s">
        <v>1211</v>
      </c>
      <c r="G113" s="15" t="s">
        <v>1212</v>
      </c>
      <c r="H113" s="4"/>
    </row>
    <row r="114" spans="1:8" ht="15.5">
      <c r="A114" s="8">
        <v>113</v>
      </c>
      <c r="B114" s="12" t="s">
        <v>1213</v>
      </c>
      <c r="C114" s="12" t="s">
        <v>1214</v>
      </c>
      <c r="D114" s="12" t="s">
        <v>835</v>
      </c>
      <c r="E114" s="15" t="s">
        <v>1215</v>
      </c>
      <c r="F114" s="15" t="s">
        <v>1216</v>
      </c>
      <c r="G114" s="15" t="s">
        <v>1217</v>
      </c>
      <c r="H114" s="4"/>
    </row>
    <row r="115" spans="1:8" ht="15.5">
      <c r="A115" s="8">
        <v>114</v>
      </c>
      <c r="B115" s="12" t="s">
        <v>203</v>
      </c>
      <c r="C115" s="12" t="s">
        <v>1000</v>
      </c>
      <c r="D115" s="12" t="s">
        <v>817</v>
      </c>
      <c r="E115" s="15" t="s">
        <v>1218</v>
      </c>
      <c r="F115" s="15" t="s">
        <v>1219</v>
      </c>
      <c r="G115" s="15" t="s">
        <v>1220</v>
      </c>
      <c r="H115" s="4" t="s">
        <v>1221</v>
      </c>
    </row>
    <row r="116" spans="1:8" ht="15.5">
      <c r="A116" s="8">
        <v>115</v>
      </c>
      <c r="B116" s="12" t="s">
        <v>121</v>
      </c>
      <c r="C116" s="12" t="s">
        <v>851</v>
      </c>
      <c r="D116" s="12" t="s">
        <v>835</v>
      </c>
      <c r="E116" s="15" t="s">
        <v>1222</v>
      </c>
      <c r="F116" s="15" t="s">
        <v>1223</v>
      </c>
      <c r="G116" s="15" t="s">
        <v>1224</v>
      </c>
      <c r="H116" s="4"/>
    </row>
    <row r="117" spans="1:8" ht="15.5">
      <c r="A117" s="8">
        <v>116</v>
      </c>
      <c r="B117" s="12" t="s">
        <v>1225</v>
      </c>
      <c r="C117" s="12" t="s">
        <v>926</v>
      </c>
      <c r="D117" s="12" t="s">
        <v>835</v>
      </c>
      <c r="E117" s="15" t="s">
        <v>1226</v>
      </c>
      <c r="F117" s="15" t="s">
        <v>1227</v>
      </c>
      <c r="G117" s="15" t="s">
        <v>1228</v>
      </c>
      <c r="H117" s="4"/>
    </row>
    <row r="118" spans="1:8" ht="15.5">
      <c r="A118" s="8">
        <v>117</v>
      </c>
      <c r="B118" s="12" t="s">
        <v>173</v>
      </c>
      <c r="C118" s="12" t="s">
        <v>1229</v>
      </c>
      <c r="D118" s="12" t="s">
        <v>835</v>
      </c>
      <c r="E118" s="15" t="s">
        <v>1230</v>
      </c>
      <c r="F118" s="15" t="s">
        <v>1231</v>
      </c>
      <c r="G118" s="15" t="s">
        <v>1224</v>
      </c>
      <c r="H118" s="4"/>
    </row>
    <row r="119" spans="1:8" ht="15.5">
      <c r="A119" s="8">
        <v>118</v>
      </c>
      <c r="B119" s="12" t="s">
        <v>163</v>
      </c>
      <c r="C119" s="12" t="s">
        <v>840</v>
      </c>
      <c r="D119" s="12" t="s">
        <v>817</v>
      </c>
      <c r="E119" s="15" t="s">
        <v>1232</v>
      </c>
      <c r="F119" s="15" t="s">
        <v>1233</v>
      </c>
      <c r="G119" s="15" t="s">
        <v>1234</v>
      </c>
      <c r="H119" s="4" t="s">
        <v>1235</v>
      </c>
    </row>
    <row r="120" spans="1:8" ht="15.5">
      <c r="A120" s="8">
        <v>119</v>
      </c>
      <c r="B120" s="12" t="s">
        <v>81</v>
      </c>
      <c r="C120" s="12" t="s">
        <v>1236</v>
      </c>
      <c r="D120" s="12" t="s">
        <v>835</v>
      </c>
      <c r="E120" s="15" t="s">
        <v>1237</v>
      </c>
      <c r="F120" s="15" t="s">
        <v>1238</v>
      </c>
      <c r="G120" s="15" t="s">
        <v>1239</v>
      </c>
      <c r="H120" s="4"/>
    </row>
    <row r="121" spans="1:8" ht="15.5">
      <c r="A121" s="8">
        <v>120</v>
      </c>
      <c r="B121" s="12" t="s">
        <v>1240</v>
      </c>
      <c r="C121" s="12" t="s">
        <v>840</v>
      </c>
      <c r="D121" s="12" t="s">
        <v>835</v>
      </c>
      <c r="E121" s="15" t="s">
        <v>1241</v>
      </c>
      <c r="F121" s="15" t="s">
        <v>1242</v>
      </c>
      <c r="G121" s="15" t="s">
        <v>1243</v>
      </c>
      <c r="H121" s="4"/>
    </row>
    <row r="122" spans="1:8" ht="15.5">
      <c r="A122" s="8">
        <v>121</v>
      </c>
      <c r="B122" s="12" t="s">
        <v>517</v>
      </c>
      <c r="C122" s="12" t="s">
        <v>872</v>
      </c>
      <c r="D122" s="12" t="s">
        <v>817</v>
      </c>
      <c r="E122" s="15" t="s">
        <v>1244</v>
      </c>
      <c r="F122" s="15" t="s">
        <v>1245</v>
      </c>
      <c r="G122" s="15" t="s">
        <v>1246</v>
      </c>
      <c r="H122" s="4" t="s">
        <v>920</v>
      </c>
    </row>
    <row r="123" spans="1:8" ht="15.5">
      <c r="A123" s="8">
        <v>122</v>
      </c>
      <c r="B123" s="12" t="s">
        <v>422</v>
      </c>
      <c r="C123" s="12" t="s">
        <v>840</v>
      </c>
      <c r="D123" s="12" t="s">
        <v>817</v>
      </c>
      <c r="E123" s="15" t="s">
        <v>1247</v>
      </c>
      <c r="F123" s="15" t="s">
        <v>1248</v>
      </c>
      <c r="G123" s="15" t="s">
        <v>1239</v>
      </c>
      <c r="H123" s="4" t="s">
        <v>938</v>
      </c>
    </row>
    <row r="124" spans="1:8" ht="15.5">
      <c r="A124" s="8">
        <v>123</v>
      </c>
      <c r="B124" s="12" t="s">
        <v>1249</v>
      </c>
      <c r="C124" s="12" t="s">
        <v>816</v>
      </c>
      <c r="D124" s="12" t="s">
        <v>835</v>
      </c>
      <c r="E124" s="15" t="s">
        <v>1250</v>
      </c>
      <c r="F124" s="15" t="s">
        <v>1251</v>
      </c>
      <c r="G124" s="15" t="s">
        <v>1252</v>
      </c>
      <c r="H124" s="4"/>
    </row>
    <row r="125" spans="1:8" ht="15.5">
      <c r="A125" s="8">
        <v>124</v>
      </c>
      <c r="B125" s="12" t="s">
        <v>175</v>
      </c>
      <c r="C125" s="12" t="s">
        <v>840</v>
      </c>
      <c r="D125" s="12" t="s">
        <v>817</v>
      </c>
      <c r="E125" s="15" t="s">
        <v>1253</v>
      </c>
      <c r="F125" s="15" t="s">
        <v>1254</v>
      </c>
      <c r="G125" s="15" t="s">
        <v>1255</v>
      </c>
      <c r="H125" s="4" t="s">
        <v>1235</v>
      </c>
    </row>
    <row r="126" spans="1:8" ht="15.5">
      <c r="A126" s="8">
        <v>125</v>
      </c>
      <c r="B126" s="12" t="s">
        <v>290</v>
      </c>
      <c r="C126" s="12" t="s">
        <v>822</v>
      </c>
      <c r="D126" s="12" t="s">
        <v>817</v>
      </c>
      <c r="E126" s="15" t="s">
        <v>1256</v>
      </c>
      <c r="F126" s="15" t="s">
        <v>1257</v>
      </c>
      <c r="G126" s="15" t="s">
        <v>1258</v>
      </c>
      <c r="H126" s="4" t="s">
        <v>920</v>
      </c>
    </row>
    <row r="127" spans="1:8" ht="15.5">
      <c r="A127" s="8">
        <v>126</v>
      </c>
      <c r="B127" s="12" t="s">
        <v>1259</v>
      </c>
      <c r="C127" s="12" t="s">
        <v>851</v>
      </c>
      <c r="D127" s="12" t="s">
        <v>835</v>
      </c>
      <c r="E127" s="15" t="s">
        <v>1260</v>
      </c>
      <c r="F127" s="15" t="s">
        <v>1261</v>
      </c>
      <c r="G127" s="15" t="s">
        <v>1262</v>
      </c>
      <c r="H127" s="4"/>
    </row>
    <row r="128" spans="1:8" ht="15.5">
      <c r="A128" s="8">
        <v>127</v>
      </c>
      <c r="B128" s="12" t="s">
        <v>135</v>
      </c>
      <c r="C128" s="12" t="s">
        <v>1263</v>
      </c>
      <c r="D128" s="12" t="s">
        <v>835</v>
      </c>
      <c r="E128" s="15" t="s">
        <v>1264</v>
      </c>
      <c r="F128" s="15" t="s">
        <v>1265</v>
      </c>
      <c r="G128" s="15" t="s">
        <v>1266</v>
      </c>
      <c r="H128" s="4"/>
    </row>
    <row r="129" spans="1:8" ht="15.5">
      <c r="A129" s="8">
        <v>128</v>
      </c>
      <c r="B129" s="12" t="s">
        <v>1267</v>
      </c>
      <c r="C129" s="12" t="s">
        <v>827</v>
      </c>
      <c r="D129" s="12" t="s">
        <v>835</v>
      </c>
      <c r="E129" s="15" t="s">
        <v>1268</v>
      </c>
      <c r="F129" s="15" t="s">
        <v>1269</v>
      </c>
      <c r="G129" s="15" t="s">
        <v>1270</v>
      </c>
      <c r="H129" s="4"/>
    </row>
    <row r="130" spans="1:8" ht="15.5">
      <c r="A130" s="8">
        <v>129</v>
      </c>
      <c r="B130" s="12" t="s">
        <v>347</v>
      </c>
      <c r="C130" s="12" t="s">
        <v>844</v>
      </c>
      <c r="D130" s="12" t="s">
        <v>817</v>
      </c>
      <c r="E130" s="15" t="s">
        <v>1271</v>
      </c>
      <c r="F130" s="15" t="s">
        <v>1272</v>
      </c>
      <c r="G130" s="15" t="s">
        <v>1273</v>
      </c>
      <c r="H130" s="4" t="s">
        <v>938</v>
      </c>
    </row>
    <row r="131" spans="1:8" ht="15.5">
      <c r="A131" s="8">
        <v>130</v>
      </c>
      <c r="B131" s="12" t="s">
        <v>1274</v>
      </c>
      <c r="C131" s="12" t="s">
        <v>840</v>
      </c>
      <c r="D131" s="12" t="s">
        <v>835</v>
      </c>
      <c r="E131" s="15" t="s">
        <v>1275</v>
      </c>
      <c r="F131" s="15" t="s">
        <v>1276</v>
      </c>
      <c r="G131" s="15" t="s">
        <v>1277</v>
      </c>
      <c r="H131" s="4"/>
    </row>
    <row r="132" spans="1:8" ht="15.5">
      <c r="A132" s="8">
        <v>131</v>
      </c>
      <c r="B132" s="12" t="s">
        <v>1278</v>
      </c>
      <c r="C132" s="12" t="s">
        <v>858</v>
      </c>
      <c r="D132" s="12" t="s">
        <v>835</v>
      </c>
      <c r="E132" s="15" t="s">
        <v>1279</v>
      </c>
      <c r="F132" s="15" t="s">
        <v>1280</v>
      </c>
      <c r="G132" s="15" t="s">
        <v>1281</v>
      </c>
      <c r="H132" s="4"/>
    </row>
    <row r="133" spans="1:8" ht="15.5">
      <c r="A133" s="8">
        <v>132</v>
      </c>
      <c r="B133" s="12" t="s">
        <v>316</v>
      </c>
      <c r="C133" s="12" t="s">
        <v>822</v>
      </c>
      <c r="D133" s="12" t="s">
        <v>817</v>
      </c>
      <c r="E133" s="15" t="s">
        <v>1282</v>
      </c>
      <c r="F133" s="15" t="s">
        <v>1283</v>
      </c>
      <c r="G133" s="15" t="s">
        <v>1284</v>
      </c>
      <c r="H133" s="4" t="s">
        <v>920</v>
      </c>
    </row>
    <row r="134" spans="1:8" ht="15.5">
      <c r="A134" s="8">
        <v>133</v>
      </c>
      <c r="B134" s="12" t="s">
        <v>526</v>
      </c>
      <c r="C134" s="12" t="s">
        <v>1236</v>
      </c>
      <c r="D134" s="12" t="s">
        <v>817</v>
      </c>
      <c r="E134" s="15" t="s">
        <v>1285</v>
      </c>
      <c r="F134" s="15" t="s">
        <v>1286</v>
      </c>
      <c r="G134" s="15" t="s">
        <v>1287</v>
      </c>
      <c r="H134" s="4" t="s">
        <v>1221</v>
      </c>
    </row>
    <row r="135" spans="1:8" ht="15.5">
      <c r="A135" s="8">
        <v>134</v>
      </c>
      <c r="B135" s="12" t="s">
        <v>1288</v>
      </c>
      <c r="C135" s="12" t="s">
        <v>840</v>
      </c>
      <c r="D135" s="12" t="s">
        <v>835</v>
      </c>
      <c r="E135" s="15" t="s">
        <v>1289</v>
      </c>
      <c r="F135" s="15" t="s">
        <v>1290</v>
      </c>
      <c r="G135" s="15" t="s">
        <v>1291</v>
      </c>
      <c r="H135" s="4"/>
    </row>
    <row r="136" spans="1:8" ht="15.5">
      <c r="A136" s="8">
        <v>135</v>
      </c>
      <c r="B136" s="12" t="s">
        <v>269</v>
      </c>
      <c r="C136" s="12" t="s">
        <v>827</v>
      </c>
      <c r="D136" s="12" t="s">
        <v>817</v>
      </c>
      <c r="E136" s="15" t="s">
        <v>1292</v>
      </c>
      <c r="F136" s="15" t="s">
        <v>1293</v>
      </c>
      <c r="G136" s="15" t="s">
        <v>1294</v>
      </c>
      <c r="H136" s="4" t="s">
        <v>821</v>
      </c>
    </row>
    <row r="137" spans="1:8" ht="15.5">
      <c r="A137" s="8">
        <v>136</v>
      </c>
      <c r="B137" s="12" t="s">
        <v>253</v>
      </c>
      <c r="C137" s="12" t="s">
        <v>943</v>
      </c>
      <c r="D137" s="12" t="s">
        <v>835</v>
      </c>
      <c r="E137" s="15" t="s">
        <v>1295</v>
      </c>
      <c r="F137" s="15" t="s">
        <v>1296</v>
      </c>
      <c r="G137" s="15" t="s">
        <v>1085</v>
      </c>
      <c r="H137" s="4"/>
    </row>
    <row r="138" spans="1:8" ht="15.5">
      <c r="A138" s="8">
        <v>137</v>
      </c>
      <c r="B138" s="12" t="s">
        <v>197</v>
      </c>
      <c r="C138" s="12" t="s">
        <v>822</v>
      </c>
      <c r="D138" s="12" t="s">
        <v>835</v>
      </c>
      <c r="E138" s="15" t="s">
        <v>1297</v>
      </c>
      <c r="F138" s="15" t="s">
        <v>1298</v>
      </c>
      <c r="G138" s="15" t="s">
        <v>1299</v>
      </c>
      <c r="H138" s="4"/>
    </row>
    <row r="139" spans="1:8" ht="15.5">
      <c r="A139" s="8">
        <v>138</v>
      </c>
      <c r="B139" s="12" t="s">
        <v>146</v>
      </c>
      <c r="C139" s="12" t="s">
        <v>910</v>
      </c>
      <c r="D139" s="12" t="s">
        <v>835</v>
      </c>
      <c r="E139" s="15" t="s">
        <v>1300</v>
      </c>
      <c r="F139" s="15" t="s">
        <v>1301</v>
      </c>
      <c r="G139" s="15" t="s">
        <v>1302</v>
      </c>
      <c r="H139" s="4"/>
    </row>
    <row r="140" spans="1:8" ht="15.5">
      <c r="A140" s="8">
        <v>139</v>
      </c>
      <c r="B140" s="12" t="s">
        <v>144</v>
      </c>
      <c r="C140" s="12" t="s">
        <v>1303</v>
      </c>
      <c r="D140" s="12" t="s">
        <v>835</v>
      </c>
      <c r="E140" s="15" t="s">
        <v>1304</v>
      </c>
      <c r="F140" s="15" t="s">
        <v>1305</v>
      </c>
      <c r="G140" s="15" t="s">
        <v>1228</v>
      </c>
      <c r="H140" s="4"/>
    </row>
    <row r="141" spans="1:8" ht="15.5">
      <c r="A141" s="8">
        <v>140</v>
      </c>
      <c r="B141" s="12" t="s">
        <v>366</v>
      </c>
      <c r="C141" s="12" t="s">
        <v>1124</v>
      </c>
      <c r="D141" s="12" t="s">
        <v>817</v>
      </c>
      <c r="E141" s="15" t="s">
        <v>1306</v>
      </c>
      <c r="F141" s="15" t="s">
        <v>1307</v>
      </c>
      <c r="G141" s="15" t="s">
        <v>1308</v>
      </c>
      <c r="H141" s="4" t="s">
        <v>899</v>
      </c>
    </row>
    <row r="142" spans="1:8" ht="15.5">
      <c r="A142" s="8">
        <v>141</v>
      </c>
      <c r="B142" s="12" t="s">
        <v>160</v>
      </c>
      <c r="C142" s="12" t="s">
        <v>934</v>
      </c>
      <c r="D142" s="12" t="s">
        <v>817</v>
      </c>
      <c r="E142" s="15" t="s">
        <v>1309</v>
      </c>
      <c r="F142" s="15" t="s">
        <v>1310</v>
      </c>
      <c r="G142" s="15" t="s">
        <v>1311</v>
      </c>
      <c r="H142" s="4" t="s">
        <v>920</v>
      </c>
    </row>
    <row r="143" spans="1:8" ht="15.5">
      <c r="A143" s="8">
        <v>142</v>
      </c>
      <c r="B143" s="12" t="s">
        <v>1312</v>
      </c>
      <c r="C143" s="12" t="s">
        <v>872</v>
      </c>
      <c r="D143" s="12" t="s">
        <v>835</v>
      </c>
      <c r="E143" s="15" t="s">
        <v>1313</v>
      </c>
      <c r="F143" s="15" t="s">
        <v>1314</v>
      </c>
      <c r="G143" s="15" t="s">
        <v>1243</v>
      </c>
      <c r="H143" s="4"/>
    </row>
    <row r="144" spans="1:8" ht="15.5">
      <c r="A144" s="8">
        <v>143</v>
      </c>
      <c r="B144" s="12" t="s">
        <v>72</v>
      </c>
      <c r="C144" s="12" t="s">
        <v>844</v>
      </c>
      <c r="D144" s="12" t="s">
        <v>835</v>
      </c>
      <c r="E144" s="15" t="s">
        <v>1315</v>
      </c>
      <c r="F144" s="15" t="s">
        <v>1295</v>
      </c>
      <c r="G144" s="15" t="s">
        <v>1316</v>
      </c>
      <c r="H144" s="4"/>
    </row>
    <row r="145" spans="1:8" ht="15.5">
      <c r="A145" s="8">
        <v>144</v>
      </c>
      <c r="B145" s="12" t="s">
        <v>106</v>
      </c>
      <c r="C145" s="12" t="s">
        <v>979</v>
      </c>
      <c r="D145" s="12" t="s">
        <v>835</v>
      </c>
      <c r="E145" s="15" t="s">
        <v>1317</v>
      </c>
      <c r="F145" s="15" t="s">
        <v>1318</v>
      </c>
      <c r="G145" s="15" t="s">
        <v>1239</v>
      </c>
      <c r="H145" s="4"/>
    </row>
    <row r="146" spans="1:8" ht="15.5">
      <c r="A146" s="8">
        <v>145</v>
      </c>
      <c r="B146" s="12" t="s">
        <v>322</v>
      </c>
      <c r="C146" s="12" t="s">
        <v>906</v>
      </c>
      <c r="D146" s="12" t="s">
        <v>817</v>
      </c>
      <c r="E146" s="15" t="s">
        <v>1319</v>
      </c>
      <c r="F146" s="15" t="s">
        <v>1320</v>
      </c>
      <c r="G146" s="15" t="s">
        <v>1321</v>
      </c>
      <c r="H146" s="4" t="s">
        <v>899</v>
      </c>
    </row>
    <row r="147" spans="1:8" ht="15.5">
      <c r="A147" s="8">
        <v>146</v>
      </c>
      <c r="B147" s="12" t="s">
        <v>150</v>
      </c>
      <c r="C147" s="12" t="s">
        <v>844</v>
      </c>
      <c r="D147" s="12" t="s">
        <v>817</v>
      </c>
      <c r="E147" s="15" t="s">
        <v>1322</v>
      </c>
      <c r="F147" s="15" t="s">
        <v>1323</v>
      </c>
      <c r="G147" s="15" t="s">
        <v>1324</v>
      </c>
      <c r="H147" s="4" t="s">
        <v>1235</v>
      </c>
    </row>
    <row r="148" spans="1:8" ht="15.5">
      <c r="A148" s="8">
        <v>147</v>
      </c>
      <c r="B148" s="12" t="s">
        <v>176</v>
      </c>
      <c r="C148" s="12" t="s">
        <v>1303</v>
      </c>
      <c r="D148" s="12" t="s">
        <v>817</v>
      </c>
      <c r="E148" s="15" t="s">
        <v>1325</v>
      </c>
      <c r="F148" s="15" t="s">
        <v>1326</v>
      </c>
      <c r="G148" s="15" t="s">
        <v>1327</v>
      </c>
      <c r="H148" s="4" t="s">
        <v>830</v>
      </c>
    </row>
    <row r="149" spans="1:8" ht="15.5">
      <c r="A149" s="8">
        <v>148</v>
      </c>
      <c r="B149" s="12" t="s">
        <v>113</v>
      </c>
      <c r="C149" s="12" t="s">
        <v>1236</v>
      </c>
      <c r="D149" s="12" t="s">
        <v>835</v>
      </c>
      <c r="E149" s="15" t="s">
        <v>1328</v>
      </c>
      <c r="F149" s="15" t="s">
        <v>1329</v>
      </c>
      <c r="G149" s="15" t="s">
        <v>1228</v>
      </c>
      <c r="H149" s="4"/>
    </row>
    <row r="150" spans="1:8" ht="15.5">
      <c r="A150" s="8">
        <v>149</v>
      </c>
      <c r="B150" s="12" t="s">
        <v>374</v>
      </c>
      <c r="C150" s="12" t="s">
        <v>1164</v>
      </c>
      <c r="D150" s="12" t="s">
        <v>817</v>
      </c>
      <c r="E150" s="15" t="s">
        <v>1330</v>
      </c>
      <c r="F150" s="15" t="s">
        <v>1331</v>
      </c>
      <c r="G150" s="15" t="s">
        <v>1332</v>
      </c>
      <c r="H150" s="4" t="s">
        <v>938</v>
      </c>
    </row>
    <row r="151" spans="1:8" ht="15.5">
      <c r="A151" s="8">
        <v>150</v>
      </c>
      <c r="B151" s="12" t="s">
        <v>379</v>
      </c>
      <c r="C151" s="12" t="s">
        <v>816</v>
      </c>
      <c r="D151" s="12" t="s">
        <v>817</v>
      </c>
      <c r="E151" s="15" t="s">
        <v>1333</v>
      </c>
      <c r="F151" s="15" t="s">
        <v>1334</v>
      </c>
      <c r="G151" s="15" t="s">
        <v>1335</v>
      </c>
      <c r="H151" s="4" t="s">
        <v>1336</v>
      </c>
    </row>
    <row r="152" spans="1:8" ht="15.5">
      <c r="A152" s="8">
        <v>151</v>
      </c>
      <c r="B152" s="12" t="s">
        <v>134</v>
      </c>
      <c r="C152" s="12" t="s">
        <v>1428</v>
      </c>
      <c r="D152" s="12" t="s">
        <v>835</v>
      </c>
      <c r="E152" s="15" t="s">
        <v>1485</v>
      </c>
      <c r="F152" s="15" t="s">
        <v>1365</v>
      </c>
      <c r="G152" s="15" t="s">
        <v>1486</v>
      </c>
    </row>
    <row r="153" spans="1:8" ht="15.5">
      <c r="A153" s="8">
        <v>152</v>
      </c>
      <c r="B153" s="12" t="s">
        <v>186</v>
      </c>
      <c r="C153" s="12" t="s">
        <v>851</v>
      </c>
      <c r="D153" s="12" t="s">
        <v>817</v>
      </c>
      <c r="E153" s="15" t="s">
        <v>1337</v>
      </c>
      <c r="F153" s="15" t="s">
        <v>1338</v>
      </c>
      <c r="G153" s="15" t="s">
        <v>1224</v>
      </c>
      <c r="H153" s="4" t="s">
        <v>821</v>
      </c>
    </row>
    <row r="154" spans="1:8" ht="15.5">
      <c r="A154" s="8">
        <v>153</v>
      </c>
      <c r="B154" s="12" t="s">
        <v>402</v>
      </c>
      <c r="C154" s="12" t="s">
        <v>979</v>
      </c>
      <c r="D154" s="12" t="s">
        <v>817</v>
      </c>
      <c r="E154" s="15" t="s">
        <v>1339</v>
      </c>
      <c r="F154" s="15" t="s">
        <v>1340</v>
      </c>
      <c r="G154" s="15" t="s">
        <v>1341</v>
      </c>
      <c r="H154" s="4" t="s">
        <v>920</v>
      </c>
    </row>
    <row r="155" spans="1:8" ht="15.5">
      <c r="A155" s="8">
        <v>154</v>
      </c>
      <c r="B155" s="12" t="s">
        <v>95</v>
      </c>
      <c r="C155" s="12" t="s">
        <v>1104</v>
      </c>
      <c r="D155" s="12" t="s">
        <v>835</v>
      </c>
      <c r="E155" s="15" t="s">
        <v>1342</v>
      </c>
      <c r="F155" s="15" t="s">
        <v>1343</v>
      </c>
      <c r="G155" s="15" t="s">
        <v>1139</v>
      </c>
      <c r="H155" s="4"/>
    </row>
    <row r="156" spans="1:8" ht="15.5">
      <c r="A156" s="8">
        <v>155</v>
      </c>
      <c r="B156" s="12" t="s">
        <v>94</v>
      </c>
      <c r="C156" s="12" t="s">
        <v>1104</v>
      </c>
      <c r="D156" s="12" t="s">
        <v>835</v>
      </c>
      <c r="E156" s="15" t="s">
        <v>1344</v>
      </c>
      <c r="F156" s="15" t="s">
        <v>1345</v>
      </c>
      <c r="G156" s="15" t="s">
        <v>1346</v>
      </c>
      <c r="H156" s="4"/>
    </row>
    <row r="157" spans="1:8" ht="15.5">
      <c r="A157" s="8">
        <v>156</v>
      </c>
      <c r="B157" s="12" t="s">
        <v>1347</v>
      </c>
      <c r="C157" s="12" t="s">
        <v>840</v>
      </c>
      <c r="D157" s="12" t="s">
        <v>835</v>
      </c>
      <c r="E157" s="15" t="s">
        <v>1242</v>
      </c>
      <c r="F157" s="15" t="s">
        <v>1348</v>
      </c>
      <c r="G157" s="15" t="s">
        <v>1349</v>
      </c>
      <c r="H157" s="4"/>
    </row>
    <row r="158" spans="1:8" ht="15.5">
      <c r="A158" s="8">
        <v>157</v>
      </c>
      <c r="B158" s="12" t="s">
        <v>209</v>
      </c>
      <c r="C158" s="12" t="s">
        <v>1183</v>
      </c>
      <c r="D158" s="12" t="s">
        <v>817</v>
      </c>
      <c r="E158" s="15" t="s">
        <v>1350</v>
      </c>
      <c r="F158" s="15" t="s">
        <v>1351</v>
      </c>
      <c r="G158" s="15" t="s">
        <v>1119</v>
      </c>
      <c r="H158" s="4" t="s">
        <v>920</v>
      </c>
    </row>
    <row r="159" spans="1:8" ht="15.5">
      <c r="A159" s="8">
        <v>158</v>
      </c>
      <c r="B159" s="12" t="s">
        <v>188</v>
      </c>
      <c r="C159" s="12" t="s">
        <v>1352</v>
      </c>
      <c r="D159" s="12" t="s">
        <v>835</v>
      </c>
      <c r="E159" s="15" t="s">
        <v>1353</v>
      </c>
      <c r="F159" s="15" t="s">
        <v>1354</v>
      </c>
      <c r="G159" s="15" t="s">
        <v>1355</v>
      </c>
      <c r="H159" s="4"/>
    </row>
    <row r="160" spans="1:8" ht="15.5">
      <c r="A160" s="8">
        <v>159</v>
      </c>
      <c r="B160" s="12" t="s">
        <v>364</v>
      </c>
      <c r="C160" s="12" t="s">
        <v>889</v>
      </c>
      <c r="D160" s="12" t="s">
        <v>817</v>
      </c>
      <c r="E160" s="15" t="s">
        <v>1356</v>
      </c>
      <c r="F160" s="15" t="s">
        <v>1357</v>
      </c>
      <c r="G160" s="15" t="s">
        <v>1194</v>
      </c>
      <c r="H160" s="4" t="s">
        <v>920</v>
      </c>
    </row>
    <row r="161" spans="1:8" ht="15.5">
      <c r="A161" s="8">
        <v>160</v>
      </c>
      <c r="B161" s="12" t="s">
        <v>124</v>
      </c>
      <c r="C161" s="12" t="s">
        <v>1358</v>
      </c>
      <c r="D161" s="12" t="s">
        <v>835</v>
      </c>
      <c r="E161" s="15" t="s">
        <v>1359</v>
      </c>
      <c r="F161" s="15" t="s">
        <v>1360</v>
      </c>
      <c r="G161" s="15" t="s">
        <v>1361</v>
      </c>
      <c r="H161" s="4"/>
    </row>
    <row r="162" spans="1:8" ht="15.5">
      <c r="A162" s="8">
        <v>161</v>
      </c>
      <c r="B162" s="12" t="s">
        <v>431</v>
      </c>
      <c r="C162" s="12" t="s">
        <v>831</v>
      </c>
      <c r="D162" s="12" t="s">
        <v>817</v>
      </c>
      <c r="E162" s="15" t="s">
        <v>1362</v>
      </c>
      <c r="F162" s="15" t="s">
        <v>1363</v>
      </c>
      <c r="G162" s="15" t="s">
        <v>1167</v>
      </c>
      <c r="H162" s="4" t="s">
        <v>920</v>
      </c>
    </row>
    <row r="163" spans="1:8" ht="15.5">
      <c r="A163" s="8">
        <v>162</v>
      </c>
      <c r="B163" s="12" t="s">
        <v>240</v>
      </c>
      <c r="C163" s="12" t="s">
        <v>926</v>
      </c>
      <c r="D163" s="12" t="s">
        <v>817</v>
      </c>
      <c r="E163" s="15" t="s">
        <v>1364</v>
      </c>
      <c r="F163" s="15" t="s">
        <v>973</v>
      </c>
      <c r="G163" s="15" t="s">
        <v>1243</v>
      </c>
      <c r="H163" s="4" t="s">
        <v>920</v>
      </c>
    </row>
    <row r="164" spans="1:8" ht="15.5">
      <c r="A164" s="8">
        <v>163</v>
      </c>
      <c r="B164" s="12" t="s">
        <v>141</v>
      </c>
      <c r="C164" s="12" t="s">
        <v>1164</v>
      </c>
      <c r="D164" s="12" t="s">
        <v>835</v>
      </c>
      <c r="E164" s="15" t="s">
        <v>1365</v>
      </c>
      <c r="F164" s="15" t="s">
        <v>1366</v>
      </c>
      <c r="G164" s="15" t="s">
        <v>1367</v>
      </c>
      <c r="H164" s="4"/>
    </row>
    <row r="165" spans="1:8" ht="15.5">
      <c r="A165" s="8">
        <v>164</v>
      </c>
      <c r="B165" s="12" t="s">
        <v>1368</v>
      </c>
      <c r="C165" s="12" t="s">
        <v>840</v>
      </c>
      <c r="D165" s="12" t="s">
        <v>835</v>
      </c>
      <c r="E165" s="15" t="s">
        <v>1369</v>
      </c>
      <c r="F165" s="15" t="s">
        <v>1370</v>
      </c>
      <c r="G165" s="15" t="s">
        <v>1371</v>
      </c>
      <c r="H165" s="4"/>
    </row>
    <row r="166" spans="1:8" ht="15.5">
      <c r="A166" s="8">
        <v>165</v>
      </c>
      <c r="B166" s="12" t="s">
        <v>286</v>
      </c>
      <c r="C166" s="12" t="s">
        <v>822</v>
      </c>
      <c r="D166" s="12" t="s">
        <v>817</v>
      </c>
      <c r="E166" s="15" t="s">
        <v>1372</v>
      </c>
      <c r="F166" s="15" t="s">
        <v>1373</v>
      </c>
      <c r="G166" s="15" t="s">
        <v>1374</v>
      </c>
      <c r="H166" s="4" t="s">
        <v>1235</v>
      </c>
    </row>
    <row r="167" spans="1:8" ht="15.5">
      <c r="A167" s="8">
        <v>166</v>
      </c>
      <c r="B167" s="12" t="s">
        <v>260</v>
      </c>
      <c r="C167" s="12" t="s">
        <v>827</v>
      </c>
      <c r="D167" s="12" t="s">
        <v>817</v>
      </c>
      <c r="E167" s="15" t="s">
        <v>1375</v>
      </c>
      <c r="F167" s="15" t="s">
        <v>1376</v>
      </c>
      <c r="G167" s="15" t="s">
        <v>1377</v>
      </c>
      <c r="H167" s="4" t="s">
        <v>1221</v>
      </c>
    </row>
    <row r="168" spans="1:8" ht="15.5">
      <c r="A168" s="8">
        <v>167</v>
      </c>
      <c r="B168" s="12" t="s">
        <v>1378</v>
      </c>
      <c r="C168" s="12" t="s">
        <v>1379</v>
      </c>
      <c r="D168" s="12" t="s">
        <v>835</v>
      </c>
      <c r="E168" s="15" t="s">
        <v>1380</v>
      </c>
      <c r="F168" s="15" t="s">
        <v>1381</v>
      </c>
      <c r="G168" s="15" t="s">
        <v>1382</v>
      </c>
      <c r="H168" s="4"/>
    </row>
    <row r="169" spans="1:8" ht="15.5">
      <c r="A169" s="8">
        <v>168</v>
      </c>
      <c r="B169" s="12" t="s">
        <v>333</v>
      </c>
      <c r="C169" s="12" t="s">
        <v>822</v>
      </c>
      <c r="D169" s="12" t="s">
        <v>835</v>
      </c>
      <c r="E169" s="15" t="s">
        <v>1383</v>
      </c>
      <c r="F169" s="15" t="s">
        <v>1384</v>
      </c>
      <c r="G169" s="15" t="s">
        <v>1228</v>
      </c>
      <c r="H169" s="4"/>
    </row>
    <row r="170" spans="1:8" ht="15.5">
      <c r="A170" s="8">
        <v>169</v>
      </c>
      <c r="B170" s="12" t="s">
        <v>272</v>
      </c>
      <c r="C170" s="12" t="s">
        <v>1124</v>
      </c>
      <c r="D170" s="12" t="s">
        <v>817</v>
      </c>
      <c r="E170" s="15" t="s">
        <v>1385</v>
      </c>
      <c r="F170" s="15" t="s">
        <v>1386</v>
      </c>
      <c r="G170" s="15" t="s">
        <v>1387</v>
      </c>
      <c r="H170" s="4" t="s">
        <v>938</v>
      </c>
    </row>
    <row r="171" spans="1:8" ht="15.5">
      <c r="A171" s="8">
        <v>170</v>
      </c>
      <c r="B171" s="12" t="s">
        <v>443</v>
      </c>
      <c r="C171" s="12" t="s">
        <v>971</v>
      </c>
      <c r="D171" s="12" t="s">
        <v>817</v>
      </c>
      <c r="E171" s="15" t="s">
        <v>1388</v>
      </c>
      <c r="F171" s="15" t="s">
        <v>1389</v>
      </c>
      <c r="G171" s="15" t="s">
        <v>1390</v>
      </c>
      <c r="H171" s="4" t="s">
        <v>920</v>
      </c>
    </row>
    <row r="172" spans="1:8" ht="15.5">
      <c r="A172" s="8">
        <v>171</v>
      </c>
      <c r="B172" s="12" t="s">
        <v>167</v>
      </c>
      <c r="C172" s="12" t="s">
        <v>1214</v>
      </c>
      <c r="D172" s="12" t="s">
        <v>835</v>
      </c>
      <c r="E172" s="15" t="s">
        <v>1391</v>
      </c>
      <c r="F172" s="15" t="s">
        <v>1392</v>
      </c>
      <c r="G172" s="15" t="s">
        <v>1393</v>
      </c>
      <c r="H172" s="4"/>
    </row>
    <row r="173" spans="1:8" ht="15.5">
      <c r="A173" s="8">
        <v>172</v>
      </c>
      <c r="B173" s="12" t="s">
        <v>1394</v>
      </c>
      <c r="C173" s="12" t="s">
        <v>1395</v>
      </c>
      <c r="D173" s="12" t="s">
        <v>835</v>
      </c>
      <c r="E173" s="15" t="s">
        <v>1396</v>
      </c>
      <c r="F173" s="15" t="s">
        <v>1397</v>
      </c>
      <c r="G173" s="15" t="s">
        <v>1398</v>
      </c>
      <c r="H173" s="4"/>
    </row>
    <row r="174" spans="1:8" ht="15.5">
      <c r="A174" s="8">
        <v>173</v>
      </c>
      <c r="B174" s="12" t="s">
        <v>1399</v>
      </c>
      <c r="C174" s="12" t="s">
        <v>840</v>
      </c>
      <c r="D174" s="12" t="s">
        <v>817</v>
      </c>
      <c r="E174" s="15" t="s">
        <v>1400</v>
      </c>
      <c r="F174" s="15" t="s">
        <v>1401</v>
      </c>
      <c r="G174" s="15" t="s">
        <v>1402</v>
      </c>
      <c r="H174" s="4" t="s">
        <v>1235</v>
      </c>
    </row>
    <row r="175" spans="1:8" ht="15.5">
      <c r="A175" s="8">
        <v>174</v>
      </c>
      <c r="B175" s="12" t="s">
        <v>332</v>
      </c>
      <c r="C175" s="12" t="s">
        <v>862</v>
      </c>
      <c r="D175" s="12" t="s">
        <v>835</v>
      </c>
      <c r="E175" s="15" t="s">
        <v>1403</v>
      </c>
      <c r="F175" s="15" t="s">
        <v>1404</v>
      </c>
      <c r="G175" s="15" t="s">
        <v>1361</v>
      </c>
      <c r="H175" s="4"/>
    </row>
    <row r="176" spans="1:8" ht="15.5">
      <c r="A176" s="8">
        <v>175</v>
      </c>
      <c r="B176" s="12" t="s">
        <v>547</v>
      </c>
      <c r="C176" s="12" t="s">
        <v>822</v>
      </c>
      <c r="D176" s="12" t="s">
        <v>817</v>
      </c>
      <c r="E176" s="15" t="s">
        <v>1405</v>
      </c>
      <c r="F176" s="15" t="s">
        <v>1211</v>
      </c>
      <c r="G176" s="15" t="s">
        <v>1406</v>
      </c>
      <c r="H176" s="4" t="s">
        <v>1235</v>
      </c>
    </row>
    <row r="177" spans="1:8" ht="15.5">
      <c r="A177" s="8">
        <v>176</v>
      </c>
      <c r="B177" s="12" t="s">
        <v>523</v>
      </c>
      <c r="C177" s="12" t="s">
        <v>840</v>
      </c>
      <c r="D177" s="12" t="s">
        <v>817</v>
      </c>
      <c r="E177" s="15" t="s">
        <v>1407</v>
      </c>
      <c r="F177" s="15" t="s">
        <v>1408</v>
      </c>
      <c r="G177" s="15" t="s">
        <v>1409</v>
      </c>
      <c r="H177" s="4" t="s">
        <v>920</v>
      </c>
    </row>
    <row r="178" spans="1:8" ht="15.5">
      <c r="A178" s="8">
        <v>177</v>
      </c>
      <c r="B178" s="12" t="s">
        <v>354</v>
      </c>
      <c r="C178" s="12" t="s">
        <v>1236</v>
      </c>
      <c r="D178" s="12" t="s">
        <v>817</v>
      </c>
      <c r="E178" s="15" t="s">
        <v>1410</v>
      </c>
      <c r="F178" s="15" t="s">
        <v>1411</v>
      </c>
      <c r="G178" s="15" t="s">
        <v>1412</v>
      </c>
      <c r="H178" s="4" t="s">
        <v>938</v>
      </c>
    </row>
    <row r="179" spans="1:8" ht="15.5">
      <c r="A179" s="8">
        <v>178</v>
      </c>
      <c r="B179" s="12" t="s">
        <v>554</v>
      </c>
      <c r="C179" s="12" t="s">
        <v>922</v>
      </c>
      <c r="D179" s="12" t="s">
        <v>817</v>
      </c>
      <c r="E179" s="15" t="s">
        <v>1413</v>
      </c>
      <c r="F179" s="15" t="s">
        <v>1414</v>
      </c>
      <c r="G179" s="15" t="s">
        <v>1415</v>
      </c>
      <c r="H179" s="4" t="s">
        <v>920</v>
      </c>
    </row>
    <row r="180" spans="1:8" ht="15.5">
      <c r="A180" s="8">
        <v>179</v>
      </c>
      <c r="B180" s="12" t="s">
        <v>311</v>
      </c>
      <c r="C180" s="12" t="s">
        <v>1416</v>
      </c>
      <c r="D180" s="12" t="s">
        <v>817</v>
      </c>
      <c r="E180" s="15" t="s">
        <v>1417</v>
      </c>
      <c r="F180" s="15" t="s">
        <v>1418</v>
      </c>
      <c r="G180" s="15" t="s">
        <v>1419</v>
      </c>
      <c r="H180" s="4" t="s">
        <v>920</v>
      </c>
    </row>
    <row r="181" spans="1:8" ht="15.5">
      <c r="A181" s="8">
        <v>180</v>
      </c>
      <c r="B181" s="12" t="s">
        <v>285</v>
      </c>
      <c r="C181" s="12" t="s">
        <v>844</v>
      </c>
      <c r="D181" s="12" t="s">
        <v>817</v>
      </c>
      <c r="E181" s="15" t="s">
        <v>1420</v>
      </c>
      <c r="F181" s="15" t="s">
        <v>1421</v>
      </c>
      <c r="G181" s="15" t="s">
        <v>1202</v>
      </c>
      <c r="H181" s="4" t="s">
        <v>826</v>
      </c>
    </row>
    <row r="182" spans="1:8" ht="15.5">
      <c r="A182" s="8">
        <v>181</v>
      </c>
      <c r="B182" s="12" t="s">
        <v>157</v>
      </c>
      <c r="C182" s="12" t="s">
        <v>1004</v>
      </c>
      <c r="D182" s="12" t="s">
        <v>835</v>
      </c>
      <c r="E182" s="15" t="s">
        <v>1422</v>
      </c>
      <c r="F182" s="15" t="s">
        <v>1423</v>
      </c>
      <c r="G182" s="15" t="s">
        <v>1424</v>
      </c>
      <c r="H182" s="4"/>
    </row>
    <row r="183" spans="1:8" ht="15.5">
      <c r="A183" s="8">
        <v>182</v>
      </c>
      <c r="B183" s="12" t="s">
        <v>1425</v>
      </c>
      <c r="C183" s="12" t="s">
        <v>1229</v>
      </c>
      <c r="D183" s="12" t="s">
        <v>835</v>
      </c>
      <c r="E183" s="15" t="s">
        <v>1426</v>
      </c>
      <c r="F183" s="15" t="s">
        <v>1427</v>
      </c>
      <c r="G183" s="15" t="s">
        <v>1277</v>
      </c>
      <c r="H183" s="4"/>
    </row>
    <row r="184" spans="1:8" ht="15.5">
      <c r="A184" s="8">
        <v>183</v>
      </c>
      <c r="B184" s="12" t="s">
        <v>204</v>
      </c>
      <c r="C184" s="12" t="s">
        <v>1428</v>
      </c>
      <c r="D184" s="12" t="s">
        <v>835</v>
      </c>
      <c r="E184" s="15" t="s">
        <v>1429</v>
      </c>
      <c r="F184" s="15" t="s">
        <v>1430</v>
      </c>
      <c r="G184" s="15" t="s">
        <v>1355</v>
      </c>
      <c r="H184" s="4"/>
    </row>
    <row r="185" spans="1:8" ht="15.5">
      <c r="A185" s="8">
        <v>184</v>
      </c>
      <c r="B185" s="12" t="s">
        <v>362</v>
      </c>
      <c r="C185" s="12" t="s">
        <v>822</v>
      </c>
      <c r="D185" s="12" t="s">
        <v>817</v>
      </c>
      <c r="E185" s="15" t="s">
        <v>1431</v>
      </c>
      <c r="F185" s="15" t="s">
        <v>1432</v>
      </c>
      <c r="G185" s="15" t="s">
        <v>1433</v>
      </c>
      <c r="H185" s="4" t="s">
        <v>899</v>
      </c>
    </row>
    <row r="186" spans="1:8" ht="15.5">
      <c r="A186" s="8">
        <v>185</v>
      </c>
      <c r="B186" s="12" t="s">
        <v>335</v>
      </c>
      <c r="C186" s="12" t="s">
        <v>822</v>
      </c>
      <c r="D186" s="12" t="s">
        <v>835</v>
      </c>
      <c r="E186" s="15" t="s">
        <v>1434</v>
      </c>
      <c r="F186" s="15" t="s">
        <v>1435</v>
      </c>
      <c r="G186" s="15" t="s">
        <v>1371</v>
      </c>
      <c r="H186" s="4"/>
    </row>
    <row r="187" spans="1:8" ht="15.5">
      <c r="A187" s="8">
        <v>186</v>
      </c>
      <c r="B187" s="12" t="s">
        <v>418</v>
      </c>
      <c r="C187" s="12" t="s">
        <v>827</v>
      </c>
      <c r="D187" s="12" t="s">
        <v>817</v>
      </c>
      <c r="E187" s="15" t="s">
        <v>1436</v>
      </c>
      <c r="F187" s="15" t="s">
        <v>1437</v>
      </c>
      <c r="G187" s="15" t="s">
        <v>1438</v>
      </c>
      <c r="H187" s="4" t="s">
        <v>1221</v>
      </c>
    </row>
    <row r="188" spans="1:8" ht="15.5">
      <c r="A188" s="8">
        <v>187</v>
      </c>
      <c r="B188" s="12" t="s">
        <v>115</v>
      </c>
      <c r="C188" s="12" t="s">
        <v>822</v>
      </c>
      <c r="D188" s="12" t="s">
        <v>835</v>
      </c>
      <c r="E188" s="15" t="s">
        <v>1439</v>
      </c>
      <c r="F188" s="15" t="s">
        <v>1440</v>
      </c>
      <c r="G188" s="15" t="s">
        <v>1441</v>
      </c>
      <c r="H188" s="4"/>
    </row>
    <row r="189" spans="1:8" ht="15.5">
      <c r="A189" s="8">
        <v>188</v>
      </c>
      <c r="B189" s="12" t="s">
        <v>215</v>
      </c>
      <c r="C189" s="12" t="s">
        <v>910</v>
      </c>
      <c r="D189" s="12" t="s">
        <v>835</v>
      </c>
      <c r="E189" s="15" t="s">
        <v>1442</v>
      </c>
      <c r="F189" s="15" t="s">
        <v>1443</v>
      </c>
      <c r="G189" s="15" t="s">
        <v>1444</v>
      </c>
      <c r="H189" s="4"/>
    </row>
    <row r="190" spans="1:8" ht="15.5">
      <c r="A190" s="8">
        <v>189</v>
      </c>
      <c r="B190" s="12" t="s">
        <v>229</v>
      </c>
      <c r="C190" s="12" t="s">
        <v>1445</v>
      </c>
      <c r="D190" s="12" t="s">
        <v>835</v>
      </c>
      <c r="E190" s="15" t="s">
        <v>1446</v>
      </c>
      <c r="F190" s="15" t="s">
        <v>1447</v>
      </c>
      <c r="G190" s="15" t="s">
        <v>1448</v>
      </c>
      <c r="H190" s="4"/>
    </row>
    <row r="191" spans="1:8" ht="15.5">
      <c r="A191" s="8">
        <v>190</v>
      </c>
      <c r="B191" s="12" t="s">
        <v>561</v>
      </c>
      <c r="C191" s="12" t="s">
        <v>1164</v>
      </c>
      <c r="D191" s="12" t="s">
        <v>817</v>
      </c>
      <c r="E191" s="15" t="s">
        <v>1449</v>
      </c>
      <c r="F191" s="15" t="s">
        <v>1450</v>
      </c>
      <c r="G191" s="15" t="s">
        <v>1451</v>
      </c>
      <c r="H191" s="4" t="s">
        <v>920</v>
      </c>
    </row>
    <row r="192" spans="1:8" ht="15.5">
      <c r="A192" s="8">
        <v>191</v>
      </c>
      <c r="B192" s="12" t="s">
        <v>1452</v>
      </c>
      <c r="C192" s="12" t="s">
        <v>1416</v>
      </c>
      <c r="D192" s="12" t="s">
        <v>835</v>
      </c>
      <c r="E192" s="15" t="s">
        <v>1453</v>
      </c>
      <c r="F192" s="15" t="s">
        <v>1454</v>
      </c>
      <c r="G192" s="15" t="s">
        <v>1455</v>
      </c>
      <c r="H192" s="4"/>
    </row>
    <row r="193" spans="1:8" ht="15.5">
      <c r="A193" s="8">
        <v>192</v>
      </c>
      <c r="B193" s="12" t="s">
        <v>149</v>
      </c>
      <c r="C193" s="12" t="s">
        <v>844</v>
      </c>
      <c r="D193" s="12" t="s">
        <v>835</v>
      </c>
      <c r="E193" s="15" t="s">
        <v>1456</v>
      </c>
      <c r="F193" s="15" t="s">
        <v>1457</v>
      </c>
      <c r="G193" s="15" t="s">
        <v>1458</v>
      </c>
      <c r="H193" s="4"/>
    </row>
    <row r="194" spans="1:8" ht="15.5">
      <c r="A194" s="8">
        <v>193</v>
      </c>
      <c r="B194" s="12" t="s">
        <v>276</v>
      </c>
      <c r="C194" s="12" t="s">
        <v>816</v>
      </c>
      <c r="D194" s="12" t="s">
        <v>835</v>
      </c>
      <c r="E194" s="15" t="s">
        <v>1459</v>
      </c>
      <c r="F194" s="15" t="s">
        <v>1460</v>
      </c>
      <c r="G194" s="15" t="s">
        <v>1461</v>
      </c>
      <c r="H194" s="4"/>
    </row>
    <row r="195" spans="1:8" ht="15.5">
      <c r="A195" s="8">
        <v>194</v>
      </c>
      <c r="B195" s="12" t="s">
        <v>534</v>
      </c>
      <c r="C195" s="12" t="s">
        <v>943</v>
      </c>
      <c r="D195" s="12" t="s">
        <v>835</v>
      </c>
      <c r="E195" s="15" t="s">
        <v>1462</v>
      </c>
      <c r="F195" s="15" t="s">
        <v>1463</v>
      </c>
      <c r="G195" s="15" t="s">
        <v>1464</v>
      </c>
      <c r="H195" s="4"/>
    </row>
    <row r="196" spans="1:8" ht="15.5">
      <c r="A196" s="8">
        <v>195</v>
      </c>
      <c r="B196" s="12" t="s">
        <v>462</v>
      </c>
      <c r="C196" s="12" t="s">
        <v>840</v>
      </c>
      <c r="D196" s="12" t="s">
        <v>817</v>
      </c>
      <c r="E196" s="15" t="s">
        <v>1465</v>
      </c>
      <c r="F196" s="15" t="s">
        <v>1466</v>
      </c>
      <c r="G196" s="15" t="s">
        <v>1467</v>
      </c>
      <c r="H196" s="4" t="s">
        <v>1221</v>
      </c>
    </row>
    <row r="197" spans="1:8" ht="15.5">
      <c r="A197" s="8">
        <v>196</v>
      </c>
      <c r="B197" s="12" t="s">
        <v>1468</v>
      </c>
      <c r="C197" s="12" t="s">
        <v>844</v>
      </c>
      <c r="D197" s="12" t="s">
        <v>835</v>
      </c>
      <c r="E197" s="15" t="s">
        <v>1469</v>
      </c>
      <c r="F197" s="15" t="s">
        <v>1470</v>
      </c>
      <c r="G197" s="15"/>
      <c r="H197" s="4"/>
    </row>
    <row r="198" spans="1:8" ht="15.5">
      <c r="A198" s="8">
        <v>197</v>
      </c>
      <c r="B198" s="12" t="s">
        <v>320</v>
      </c>
      <c r="C198" s="12" t="s">
        <v>1124</v>
      </c>
      <c r="D198" s="12" t="s">
        <v>817</v>
      </c>
      <c r="E198" s="15" t="s">
        <v>1471</v>
      </c>
      <c r="F198" s="15" t="s">
        <v>1472</v>
      </c>
      <c r="G198" s="15" t="s">
        <v>1473</v>
      </c>
      <c r="H198" s="4" t="s">
        <v>938</v>
      </c>
    </row>
    <row r="199" spans="1:8" ht="15.5">
      <c r="A199" s="8">
        <v>198</v>
      </c>
      <c r="B199" s="12" t="s">
        <v>1474</v>
      </c>
      <c r="C199" s="12" t="s">
        <v>1124</v>
      </c>
      <c r="D199" s="12" t="s">
        <v>835</v>
      </c>
      <c r="E199" s="15" t="s">
        <v>1475</v>
      </c>
      <c r="F199" s="15" t="s">
        <v>1476</v>
      </c>
      <c r="G199" s="15" t="s">
        <v>1477</v>
      </c>
      <c r="H199" s="4"/>
    </row>
    <row r="200" spans="1:8" ht="15.5">
      <c r="A200" s="8">
        <v>199</v>
      </c>
      <c r="B200" s="12" t="s">
        <v>1478</v>
      </c>
      <c r="C200" s="12" t="s">
        <v>840</v>
      </c>
      <c r="D200" s="12" t="s">
        <v>835</v>
      </c>
      <c r="E200" s="15" t="s">
        <v>1479</v>
      </c>
      <c r="F200" s="15" t="s">
        <v>1480</v>
      </c>
      <c r="G200" s="15" t="s">
        <v>1481</v>
      </c>
      <c r="H200" s="4"/>
    </row>
    <row r="201" spans="1:8" ht="15.5">
      <c r="A201" s="8">
        <v>200</v>
      </c>
      <c r="B201" s="12" t="s">
        <v>304</v>
      </c>
      <c r="C201" s="12" t="s">
        <v>822</v>
      </c>
      <c r="D201" s="12" t="s">
        <v>817</v>
      </c>
      <c r="E201" s="15" t="s">
        <v>1482</v>
      </c>
      <c r="F201" s="15" t="s">
        <v>1483</v>
      </c>
      <c r="G201" s="15" t="s">
        <v>1484</v>
      </c>
      <c r="H201" s="4" t="s">
        <v>938</v>
      </c>
    </row>
    <row r="202" spans="1:8" ht="15.5">
      <c r="A202" s="8">
        <v>201</v>
      </c>
      <c r="B202" s="12" t="s">
        <v>1487</v>
      </c>
      <c r="C202" s="12" t="s">
        <v>1164</v>
      </c>
      <c r="D202" s="12" t="s">
        <v>835</v>
      </c>
      <c r="E202" s="15" t="s">
        <v>1488</v>
      </c>
      <c r="F202" s="15" t="s">
        <v>1489</v>
      </c>
      <c r="G202" s="15" t="s">
        <v>1490</v>
      </c>
      <c r="H202" s="4"/>
    </row>
    <row r="203" spans="1:8" ht="15.5">
      <c r="A203" s="8">
        <v>202</v>
      </c>
      <c r="B203" s="12" t="s">
        <v>1491</v>
      </c>
      <c r="C203" s="12" t="s">
        <v>840</v>
      </c>
      <c r="D203" s="12" t="s">
        <v>817</v>
      </c>
      <c r="E203" s="15" t="s">
        <v>1492</v>
      </c>
      <c r="F203" s="15" t="s">
        <v>1493</v>
      </c>
      <c r="G203" s="15" t="s">
        <v>1494</v>
      </c>
      <c r="H203" s="4" t="s">
        <v>1336</v>
      </c>
    </row>
    <row r="204" spans="1:8" ht="15.5">
      <c r="A204" s="8">
        <v>203</v>
      </c>
      <c r="B204" s="12" t="s">
        <v>508</v>
      </c>
      <c r="C204" s="12" t="s">
        <v>922</v>
      </c>
      <c r="D204" s="12" t="s">
        <v>817</v>
      </c>
      <c r="E204" s="15" t="s">
        <v>1495</v>
      </c>
      <c r="F204" s="15" t="s">
        <v>1496</v>
      </c>
      <c r="G204" s="15" t="s">
        <v>1497</v>
      </c>
      <c r="H204" s="4" t="s">
        <v>1498</v>
      </c>
    </row>
    <row r="205" spans="1:8" ht="15.5">
      <c r="A205" s="8">
        <v>204</v>
      </c>
      <c r="B205" s="12" t="s">
        <v>264</v>
      </c>
      <c r="C205" s="12" t="s">
        <v>822</v>
      </c>
      <c r="D205" s="12" t="s">
        <v>835</v>
      </c>
      <c r="E205" s="15" t="s">
        <v>1499</v>
      </c>
      <c r="F205" s="15" t="s">
        <v>1500</v>
      </c>
      <c r="G205" s="15" t="s">
        <v>1441</v>
      </c>
      <c r="H205" s="4"/>
    </row>
    <row r="206" spans="1:8" ht="15.5">
      <c r="A206" s="8">
        <v>205</v>
      </c>
      <c r="B206" s="12" t="s">
        <v>192</v>
      </c>
      <c r="C206" s="12" t="s">
        <v>851</v>
      </c>
      <c r="D206" s="12" t="s">
        <v>835</v>
      </c>
      <c r="E206" s="15" t="s">
        <v>1501</v>
      </c>
      <c r="F206" s="15" t="s">
        <v>1502</v>
      </c>
      <c r="G206" s="15" t="s">
        <v>1167</v>
      </c>
      <c r="H206" s="4"/>
    </row>
    <row r="207" spans="1:8" ht="15.5">
      <c r="A207" s="8">
        <v>206</v>
      </c>
      <c r="B207" s="12" t="s">
        <v>519</v>
      </c>
      <c r="C207" s="12" t="s">
        <v>922</v>
      </c>
      <c r="D207" s="12" t="s">
        <v>817</v>
      </c>
      <c r="E207" s="15" t="s">
        <v>1503</v>
      </c>
      <c r="F207" s="15" t="s">
        <v>1504</v>
      </c>
      <c r="G207" s="15" t="s">
        <v>1284</v>
      </c>
      <c r="H207" s="4" t="s">
        <v>1336</v>
      </c>
    </row>
    <row r="208" spans="1:8" ht="15.5">
      <c r="A208" s="8">
        <v>207</v>
      </c>
      <c r="B208" s="12" t="s">
        <v>208</v>
      </c>
      <c r="C208" s="12" t="s">
        <v>822</v>
      </c>
      <c r="D208" s="12" t="s">
        <v>835</v>
      </c>
      <c r="E208" s="15" t="s">
        <v>1505</v>
      </c>
      <c r="F208" s="15" t="s">
        <v>1506</v>
      </c>
      <c r="G208" s="15" t="s">
        <v>1146</v>
      </c>
      <c r="H208" s="4"/>
    </row>
    <row r="209" spans="1:8" ht="15.5">
      <c r="A209" s="8">
        <v>208</v>
      </c>
      <c r="B209" s="12" t="s">
        <v>410</v>
      </c>
      <c r="C209" s="12" t="s">
        <v>883</v>
      </c>
      <c r="D209" s="12" t="s">
        <v>817</v>
      </c>
      <c r="E209" s="15" t="s">
        <v>1507</v>
      </c>
      <c r="F209" s="15" t="s">
        <v>1508</v>
      </c>
      <c r="G209" s="15" t="s">
        <v>1509</v>
      </c>
      <c r="H209" s="4" t="s">
        <v>938</v>
      </c>
    </row>
    <row r="210" spans="1:8" ht="15.5">
      <c r="A210" s="8">
        <v>209</v>
      </c>
      <c r="B210" s="12" t="s">
        <v>140</v>
      </c>
      <c r="C210" s="12" t="s">
        <v>851</v>
      </c>
      <c r="D210" s="12" t="s">
        <v>835</v>
      </c>
      <c r="E210" s="15" t="s">
        <v>1510</v>
      </c>
      <c r="F210" s="15" t="s">
        <v>1511</v>
      </c>
      <c r="G210" s="15" t="s">
        <v>1512</v>
      </c>
      <c r="H210" s="4"/>
    </row>
    <row r="211" spans="1:8" ht="15.5">
      <c r="A211" s="8">
        <v>210</v>
      </c>
      <c r="B211" s="12" t="s">
        <v>190</v>
      </c>
      <c r="C211" s="12" t="s">
        <v>862</v>
      </c>
      <c r="D211" s="12" t="s">
        <v>835</v>
      </c>
      <c r="E211" s="15" t="s">
        <v>1513</v>
      </c>
      <c r="F211" s="15" t="s">
        <v>1514</v>
      </c>
      <c r="G211" s="15" t="s">
        <v>1316</v>
      </c>
      <c r="H211" s="4"/>
    </row>
    <row r="212" spans="1:8" ht="15.5">
      <c r="A212" s="8">
        <v>211</v>
      </c>
      <c r="B212" s="12" t="s">
        <v>223</v>
      </c>
      <c r="C212" s="12" t="s">
        <v>858</v>
      </c>
      <c r="D212" s="12" t="s">
        <v>817</v>
      </c>
      <c r="E212" s="15" t="s">
        <v>1515</v>
      </c>
      <c r="F212" s="15" t="s">
        <v>1516</v>
      </c>
      <c r="G212" s="15" t="s">
        <v>1107</v>
      </c>
      <c r="H212" s="4" t="s">
        <v>1221</v>
      </c>
    </row>
    <row r="213" spans="1:8" ht="15.5">
      <c r="A213" s="8">
        <v>212</v>
      </c>
      <c r="B213" s="12" t="s">
        <v>1517</v>
      </c>
      <c r="C213" s="12" t="s">
        <v>979</v>
      </c>
      <c r="D213" s="12" t="s">
        <v>835</v>
      </c>
      <c r="E213" s="15" t="s">
        <v>1518</v>
      </c>
      <c r="F213" s="15" t="s">
        <v>1519</v>
      </c>
      <c r="G213" s="15" t="s">
        <v>1467</v>
      </c>
      <c r="H213" s="4"/>
    </row>
    <row r="214" spans="1:8" ht="15.5">
      <c r="A214" s="8">
        <v>213</v>
      </c>
      <c r="B214" s="12" t="s">
        <v>309</v>
      </c>
      <c r="C214" s="12" t="s">
        <v>922</v>
      </c>
      <c r="D214" s="12" t="s">
        <v>817</v>
      </c>
      <c r="E214" s="15" t="s">
        <v>1520</v>
      </c>
      <c r="F214" s="15" t="s">
        <v>1521</v>
      </c>
      <c r="G214" s="15" t="s">
        <v>1522</v>
      </c>
      <c r="H214" s="4" t="s">
        <v>920</v>
      </c>
    </row>
    <row r="215" spans="1:8" ht="15.5">
      <c r="A215" s="8">
        <v>214</v>
      </c>
      <c r="B215" s="12" t="s">
        <v>491</v>
      </c>
      <c r="C215" s="12" t="s">
        <v>971</v>
      </c>
      <c r="D215" s="12" t="s">
        <v>817</v>
      </c>
      <c r="E215" s="15" t="s">
        <v>1523</v>
      </c>
      <c r="F215" s="15" t="s">
        <v>1524</v>
      </c>
      <c r="G215" s="15" t="s">
        <v>1142</v>
      </c>
      <c r="H215" s="4" t="s">
        <v>899</v>
      </c>
    </row>
    <row r="216" spans="1:8" ht="15.5">
      <c r="A216" s="8">
        <v>215</v>
      </c>
      <c r="B216" s="12" t="s">
        <v>262</v>
      </c>
      <c r="C216" s="12" t="s">
        <v>979</v>
      </c>
      <c r="D216" s="12" t="s">
        <v>835</v>
      </c>
      <c r="E216" s="15" t="s">
        <v>1525</v>
      </c>
      <c r="F216" s="15" t="s">
        <v>1526</v>
      </c>
      <c r="G216" s="15" t="s">
        <v>1527</v>
      </c>
      <c r="H216" s="4"/>
    </row>
    <row r="217" spans="1:8" ht="15.5">
      <c r="A217" s="8">
        <v>216</v>
      </c>
      <c r="B217" s="12" t="s">
        <v>476</v>
      </c>
      <c r="C217" s="12" t="s">
        <v>1229</v>
      </c>
      <c r="D217" s="12" t="s">
        <v>817</v>
      </c>
      <c r="E217" s="15" t="s">
        <v>1528</v>
      </c>
      <c r="F217" s="15" t="s">
        <v>1529</v>
      </c>
      <c r="G217" s="15" t="s">
        <v>1530</v>
      </c>
      <c r="H217" s="4" t="s">
        <v>899</v>
      </c>
    </row>
    <row r="218" spans="1:8" ht="15.5">
      <c r="A218" s="8">
        <v>217</v>
      </c>
      <c r="B218" s="12" t="s">
        <v>238</v>
      </c>
      <c r="C218" s="12" t="s">
        <v>1531</v>
      </c>
      <c r="D218" s="12" t="s">
        <v>835</v>
      </c>
      <c r="E218" s="15" t="s">
        <v>1532</v>
      </c>
      <c r="F218" s="15" t="s">
        <v>1533</v>
      </c>
      <c r="G218" s="15" t="s">
        <v>1534</v>
      </c>
      <c r="H218" s="4"/>
    </row>
    <row r="219" spans="1:8" ht="15.5">
      <c r="A219" s="8">
        <v>218</v>
      </c>
      <c r="B219" s="12" t="s">
        <v>637</v>
      </c>
      <c r="C219" s="12" t="s">
        <v>822</v>
      </c>
      <c r="D219" s="12" t="s">
        <v>817</v>
      </c>
      <c r="E219" s="15" t="s">
        <v>1535</v>
      </c>
      <c r="F219" s="15" t="s">
        <v>1536</v>
      </c>
      <c r="G219" s="15" t="s">
        <v>1537</v>
      </c>
      <c r="H219" s="4" t="s">
        <v>830</v>
      </c>
    </row>
    <row r="220" spans="1:8" ht="15.5">
      <c r="A220" s="8">
        <v>219</v>
      </c>
      <c r="B220" s="12" t="s">
        <v>207</v>
      </c>
      <c r="C220" s="12" t="s">
        <v>858</v>
      </c>
      <c r="D220" s="12" t="s">
        <v>817</v>
      </c>
      <c r="E220" s="15" t="s">
        <v>1538</v>
      </c>
      <c r="F220" s="15" t="s">
        <v>1539</v>
      </c>
      <c r="G220" s="15" t="s">
        <v>1540</v>
      </c>
      <c r="H220" s="4" t="s">
        <v>1336</v>
      </c>
    </row>
    <row r="221" spans="1:8" ht="15.5">
      <c r="A221" s="8">
        <v>220</v>
      </c>
      <c r="B221" s="12" t="s">
        <v>328</v>
      </c>
      <c r="C221" s="12" t="s">
        <v>851</v>
      </c>
      <c r="D221" s="12" t="s">
        <v>817</v>
      </c>
      <c r="E221" s="15" t="s">
        <v>1541</v>
      </c>
      <c r="F221" s="15" t="s">
        <v>1542</v>
      </c>
      <c r="G221" s="15" t="s">
        <v>1543</v>
      </c>
      <c r="H221" s="4" t="s">
        <v>826</v>
      </c>
    </row>
    <row r="222" spans="1:8" ht="15.5">
      <c r="A222" s="8">
        <v>221</v>
      </c>
      <c r="B222" s="12" t="s">
        <v>313</v>
      </c>
      <c r="C222" s="12" t="s">
        <v>816</v>
      </c>
      <c r="D222" s="12" t="s">
        <v>817</v>
      </c>
      <c r="E222" s="15" t="s">
        <v>1544</v>
      </c>
      <c r="F222" s="15" t="s">
        <v>1545</v>
      </c>
      <c r="G222" s="15" t="s">
        <v>1546</v>
      </c>
      <c r="H222" s="4" t="s">
        <v>1235</v>
      </c>
    </row>
    <row r="223" spans="1:8" ht="15.5">
      <c r="A223" s="8">
        <v>222</v>
      </c>
      <c r="B223" s="12" t="s">
        <v>280</v>
      </c>
      <c r="C223" s="12" t="s">
        <v>1082</v>
      </c>
      <c r="D223" s="12" t="s">
        <v>817</v>
      </c>
      <c r="E223" s="15" t="s">
        <v>1547</v>
      </c>
      <c r="F223" s="15" t="s">
        <v>1548</v>
      </c>
      <c r="G223" s="15" t="s">
        <v>1549</v>
      </c>
      <c r="H223" s="4" t="s">
        <v>821</v>
      </c>
    </row>
    <row r="224" spans="1:8" ht="15.5">
      <c r="A224" s="8">
        <v>223</v>
      </c>
      <c r="B224" s="12" t="s">
        <v>439</v>
      </c>
      <c r="C224" s="12" t="s">
        <v>1104</v>
      </c>
      <c r="D224" s="12" t="s">
        <v>817</v>
      </c>
      <c r="E224" s="15" t="s">
        <v>1550</v>
      </c>
      <c r="F224" s="15" t="s">
        <v>1551</v>
      </c>
      <c r="G224" s="15" t="s">
        <v>1270</v>
      </c>
      <c r="H224" s="4" t="s">
        <v>1235</v>
      </c>
    </row>
    <row r="225" spans="1:8" ht="15.5">
      <c r="A225" s="8">
        <v>224</v>
      </c>
      <c r="B225" s="12" t="s">
        <v>1552</v>
      </c>
      <c r="C225" s="12" t="s">
        <v>858</v>
      </c>
      <c r="D225" s="12" t="s">
        <v>817</v>
      </c>
      <c r="E225" s="15" t="s">
        <v>1553</v>
      </c>
      <c r="F225" s="15" t="s">
        <v>1554</v>
      </c>
      <c r="G225" s="15" t="s">
        <v>1555</v>
      </c>
      <c r="H225" s="4" t="s">
        <v>821</v>
      </c>
    </row>
    <row r="226" spans="1:8" ht="15.5">
      <c r="A226" s="8">
        <v>225</v>
      </c>
      <c r="B226" s="12" t="s">
        <v>1556</v>
      </c>
      <c r="C226" s="12" t="s">
        <v>889</v>
      </c>
      <c r="D226" s="12" t="s">
        <v>835</v>
      </c>
      <c r="E226" s="15" t="s">
        <v>1557</v>
      </c>
      <c r="F226" s="15" t="s">
        <v>1558</v>
      </c>
      <c r="G226" s="15" t="s">
        <v>1361</v>
      </c>
      <c r="H226" s="4"/>
    </row>
    <row r="227" spans="1:8" ht="15.5">
      <c r="A227" s="8">
        <v>226</v>
      </c>
      <c r="B227" s="12" t="s">
        <v>1559</v>
      </c>
      <c r="C227" s="12" t="s">
        <v>910</v>
      </c>
      <c r="D227" s="12" t="s">
        <v>817</v>
      </c>
      <c r="E227" s="15" t="s">
        <v>1560</v>
      </c>
      <c r="F227" s="15" t="s">
        <v>1561</v>
      </c>
      <c r="G227" s="15" t="s">
        <v>1562</v>
      </c>
      <c r="H227" s="4" t="s">
        <v>938</v>
      </c>
    </row>
    <row r="228" spans="1:8" ht="15.5">
      <c r="A228" s="8">
        <v>227</v>
      </c>
      <c r="B228" s="12" t="s">
        <v>360</v>
      </c>
      <c r="C228" s="12" t="s">
        <v>822</v>
      </c>
      <c r="D228" s="12" t="s">
        <v>835</v>
      </c>
      <c r="E228" s="15" t="s">
        <v>1563</v>
      </c>
      <c r="F228" s="15" t="s">
        <v>1564</v>
      </c>
      <c r="G228" s="15" t="s">
        <v>1565</v>
      </c>
      <c r="H228" s="4"/>
    </row>
    <row r="229" spans="1:8" ht="15.5">
      <c r="A229" s="8">
        <v>228</v>
      </c>
      <c r="B229" s="12" t="s">
        <v>103</v>
      </c>
      <c r="C229" s="12" t="s">
        <v>943</v>
      </c>
      <c r="D229" s="12" t="s">
        <v>835</v>
      </c>
      <c r="E229" s="15" t="s">
        <v>1566</v>
      </c>
      <c r="F229" s="15" t="s">
        <v>1567</v>
      </c>
      <c r="G229" s="15" t="s">
        <v>1246</v>
      </c>
      <c r="H229" s="4"/>
    </row>
    <row r="230" spans="1:8" ht="15.5">
      <c r="A230" s="8">
        <v>229</v>
      </c>
      <c r="B230" s="12" t="s">
        <v>461</v>
      </c>
      <c r="C230" s="12" t="s">
        <v>971</v>
      </c>
      <c r="D230" s="12" t="s">
        <v>817</v>
      </c>
      <c r="E230" s="15" t="s">
        <v>1568</v>
      </c>
      <c r="F230" s="15" t="s">
        <v>1569</v>
      </c>
      <c r="G230" s="15" t="s">
        <v>1570</v>
      </c>
      <c r="H230" s="4" t="s">
        <v>1221</v>
      </c>
    </row>
    <row r="231" spans="1:8" ht="15.5">
      <c r="A231" s="8">
        <v>230</v>
      </c>
      <c r="B231" s="12" t="s">
        <v>405</v>
      </c>
      <c r="C231" s="12" t="s">
        <v>858</v>
      </c>
      <c r="D231" s="12" t="s">
        <v>817</v>
      </c>
      <c r="E231" s="15" t="s">
        <v>1571</v>
      </c>
      <c r="F231" s="15" t="s">
        <v>1572</v>
      </c>
      <c r="G231" s="15" t="s">
        <v>1573</v>
      </c>
      <c r="H231" s="4" t="s">
        <v>1336</v>
      </c>
    </row>
    <row r="232" spans="1:8" ht="15.5">
      <c r="A232" s="8">
        <v>231</v>
      </c>
      <c r="B232" s="12" t="s">
        <v>339</v>
      </c>
      <c r="C232" s="12" t="s">
        <v>1183</v>
      </c>
      <c r="D232" s="12" t="s">
        <v>835</v>
      </c>
      <c r="E232" s="15" t="s">
        <v>1185</v>
      </c>
      <c r="F232" s="15" t="s">
        <v>1574</v>
      </c>
      <c r="G232" s="15" t="s">
        <v>1575</v>
      </c>
      <c r="H232" s="4"/>
    </row>
    <row r="233" spans="1:8" ht="15.5">
      <c r="A233" s="8">
        <v>232</v>
      </c>
      <c r="B233" s="12" t="s">
        <v>529</v>
      </c>
      <c r="C233" s="12" t="s">
        <v>1082</v>
      </c>
      <c r="D233" s="12" t="s">
        <v>817</v>
      </c>
      <c r="E233" s="15" t="s">
        <v>1576</v>
      </c>
      <c r="F233" s="15" t="s">
        <v>1577</v>
      </c>
      <c r="G233" s="15" t="s">
        <v>1578</v>
      </c>
      <c r="H233" s="4" t="s">
        <v>899</v>
      </c>
    </row>
    <row r="234" spans="1:8" ht="15.5">
      <c r="A234" s="8">
        <v>233</v>
      </c>
      <c r="B234" s="12" t="s">
        <v>496</v>
      </c>
      <c r="C234" s="12" t="s">
        <v>979</v>
      </c>
      <c r="D234" s="12" t="s">
        <v>817</v>
      </c>
      <c r="E234" s="15" t="s">
        <v>1579</v>
      </c>
      <c r="F234" s="15" t="s">
        <v>1580</v>
      </c>
      <c r="G234" s="15" t="s">
        <v>1581</v>
      </c>
      <c r="H234" s="4" t="s">
        <v>1498</v>
      </c>
    </row>
    <row r="235" spans="1:8" ht="15.5">
      <c r="A235" s="8">
        <v>234</v>
      </c>
      <c r="B235" s="12" t="s">
        <v>277</v>
      </c>
      <c r="C235" s="12" t="s">
        <v>1582</v>
      </c>
      <c r="D235" s="12" t="s">
        <v>835</v>
      </c>
      <c r="E235" s="15" t="s">
        <v>1583</v>
      </c>
      <c r="F235" s="15" t="s">
        <v>1584</v>
      </c>
      <c r="G235" s="15" t="s">
        <v>1585</v>
      </c>
      <c r="H235" s="4"/>
    </row>
    <row r="236" spans="1:8" ht="15.5">
      <c r="A236" s="8">
        <v>235</v>
      </c>
      <c r="B236" s="12" t="s">
        <v>1586</v>
      </c>
      <c r="C236" s="12" t="s">
        <v>822</v>
      </c>
      <c r="D236" s="12" t="s">
        <v>835</v>
      </c>
      <c r="E236" s="15" t="s">
        <v>1587</v>
      </c>
      <c r="F236" s="15" t="s">
        <v>1588</v>
      </c>
      <c r="G236" s="15" t="s">
        <v>1589</v>
      </c>
      <c r="H236" s="4"/>
    </row>
    <row r="237" spans="1:8" ht="15.5">
      <c r="A237" s="8">
        <v>236</v>
      </c>
      <c r="B237" s="12" t="s">
        <v>170</v>
      </c>
      <c r="C237" s="12" t="s">
        <v>1590</v>
      </c>
      <c r="D237" s="12" t="s">
        <v>835</v>
      </c>
      <c r="E237" s="15" t="s">
        <v>1591</v>
      </c>
      <c r="F237" s="15" t="s">
        <v>1592</v>
      </c>
      <c r="G237" s="15" t="s">
        <v>1173</v>
      </c>
      <c r="H237" s="4"/>
    </row>
    <row r="238" spans="1:8" ht="15.5">
      <c r="A238" s="8">
        <v>237</v>
      </c>
      <c r="B238" s="12" t="s">
        <v>159</v>
      </c>
      <c r="C238" s="12" t="s">
        <v>950</v>
      </c>
      <c r="D238" s="12" t="s">
        <v>835</v>
      </c>
      <c r="E238" s="15" t="s">
        <v>1593</v>
      </c>
      <c r="F238" s="15" t="s">
        <v>1594</v>
      </c>
      <c r="G238" s="15" t="s">
        <v>1595</v>
      </c>
      <c r="H238" s="4"/>
    </row>
    <row r="239" spans="1:8" ht="15.5">
      <c r="A239" s="8">
        <v>238</v>
      </c>
      <c r="B239" s="12" t="s">
        <v>161</v>
      </c>
      <c r="C239" s="12" t="s">
        <v>1124</v>
      </c>
      <c r="D239" s="12" t="s">
        <v>817</v>
      </c>
      <c r="E239" s="15" t="s">
        <v>1596</v>
      </c>
      <c r="F239" s="15" t="s">
        <v>1597</v>
      </c>
      <c r="G239" s="15" t="s">
        <v>1598</v>
      </c>
      <c r="H239" s="4" t="s">
        <v>899</v>
      </c>
    </row>
    <row r="240" spans="1:8" ht="15.5">
      <c r="A240" s="8">
        <v>239</v>
      </c>
      <c r="B240" s="12" t="s">
        <v>1599</v>
      </c>
      <c r="C240" s="12" t="s">
        <v>840</v>
      </c>
      <c r="D240" s="12" t="s">
        <v>817</v>
      </c>
      <c r="E240" s="15" t="s">
        <v>1600</v>
      </c>
      <c r="F240" s="15" t="s">
        <v>1601</v>
      </c>
      <c r="G240" s="15" t="s">
        <v>1602</v>
      </c>
      <c r="H240" s="4" t="s">
        <v>920</v>
      </c>
    </row>
    <row r="241" spans="1:8" ht="15.5">
      <c r="A241" s="8">
        <v>240</v>
      </c>
      <c r="B241" s="12" t="s">
        <v>459</v>
      </c>
      <c r="C241" s="12" t="s">
        <v>844</v>
      </c>
      <c r="D241" s="12" t="s">
        <v>817</v>
      </c>
      <c r="E241" s="15" t="s">
        <v>1603</v>
      </c>
      <c r="F241" s="15" t="s">
        <v>1604</v>
      </c>
      <c r="G241" s="15" t="s">
        <v>1605</v>
      </c>
      <c r="H241" s="4" t="s">
        <v>920</v>
      </c>
    </row>
    <row r="242" spans="1:8" ht="15.5">
      <c r="A242" s="8">
        <v>241</v>
      </c>
      <c r="B242" s="12" t="s">
        <v>164</v>
      </c>
      <c r="C242" s="12" t="s">
        <v>943</v>
      </c>
      <c r="D242" s="12" t="s">
        <v>835</v>
      </c>
      <c r="E242" s="15" t="s">
        <v>1606</v>
      </c>
      <c r="F242" s="15" t="s">
        <v>1607</v>
      </c>
      <c r="G242" s="15" t="s">
        <v>1608</v>
      </c>
      <c r="H242" s="4"/>
    </row>
    <row r="243" spans="1:8" ht="15.5">
      <c r="A243" s="8">
        <v>242</v>
      </c>
      <c r="B243" s="12" t="s">
        <v>246</v>
      </c>
      <c r="C243" s="12" t="s">
        <v>858</v>
      </c>
      <c r="D243" s="12" t="s">
        <v>817</v>
      </c>
      <c r="E243" s="15" t="s">
        <v>1609</v>
      </c>
      <c r="F243" s="15" t="s">
        <v>1610</v>
      </c>
      <c r="G243" s="15" t="s">
        <v>1611</v>
      </c>
      <c r="H243" s="4" t="s">
        <v>1235</v>
      </c>
    </row>
    <row r="244" spans="1:8" ht="15.5">
      <c r="A244" s="8">
        <v>243</v>
      </c>
      <c r="B244" s="12" t="s">
        <v>425</v>
      </c>
      <c r="C244" s="12" t="s">
        <v>840</v>
      </c>
      <c r="D244" s="12" t="s">
        <v>817</v>
      </c>
      <c r="E244" s="15" t="s">
        <v>1612</v>
      </c>
      <c r="F244" s="15" t="s">
        <v>1613</v>
      </c>
      <c r="G244" s="15" t="s">
        <v>1614</v>
      </c>
      <c r="H244" s="4" t="s">
        <v>1235</v>
      </c>
    </row>
    <row r="245" spans="1:8" ht="15.5">
      <c r="A245" s="8">
        <v>244</v>
      </c>
      <c r="B245" s="12" t="s">
        <v>317</v>
      </c>
      <c r="C245" s="12" t="s">
        <v>827</v>
      </c>
      <c r="D245" s="12" t="s">
        <v>817</v>
      </c>
      <c r="E245" s="15" t="s">
        <v>1615</v>
      </c>
      <c r="F245" s="15" t="s">
        <v>1616</v>
      </c>
      <c r="G245" s="15" t="s">
        <v>1617</v>
      </c>
      <c r="H245" s="4" t="s">
        <v>938</v>
      </c>
    </row>
    <row r="246" spans="1:8" ht="15.5">
      <c r="A246" s="8">
        <v>245</v>
      </c>
      <c r="B246" s="12" t="s">
        <v>151</v>
      </c>
      <c r="C246" s="12" t="s">
        <v>1124</v>
      </c>
      <c r="D246" s="12" t="s">
        <v>835</v>
      </c>
      <c r="E246" s="15" t="s">
        <v>1618</v>
      </c>
      <c r="F246" s="15" t="s">
        <v>1619</v>
      </c>
      <c r="G246" s="15" t="s">
        <v>1617</v>
      </c>
      <c r="H246" s="4"/>
    </row>
    <row r="247" spans="1:8" ht="15.5">
      <c r="A247" s="8">
        <v>246</v>
      </c>
      <c r="B247" s="12" t="s">
        <v>294</v>
      </c>
      <c r="C247" s="12" t="s">
        <v>827</v>
      </c>
      <c r="D247" s="12" t="s">
        <v>835</v>
      </c>
      <c r="E247" s="15" t="s">
        <v>1620</v>
      </c>
      <c r="F247" s="15" t="s">
        <v>1621</v>
      </c>
      <c r="G247" s="15" t="s">
        <v>1451</v>
      </c>
      <c r="H247" s="4"/>
    </row>
    <row r="248" spans="1:8" ht="15.5">
      <c r="A248" s="8">
        <v>247</v>
      </c>
      <c r="B248" s="12" t="s">
        <v>408</v>
      </c>
      <c r="C248" s="12" t="s">
        <v>910</v>
      </c>
      <c r="D248" s="12" t="s">
        <v>835</v>
      </c>
      <c r="E248" s="15" t="s">
        <v>1622</v>
      </c>
      <c r="F248" s="15" t="s">
        <v>1623</v>
      </c>
      <c r="G248" s="15" t="s">
        <v>1624</v>
      </c>
      <c r="H248" s="4"/>
    </row>
    <row r="249" spans="1:8" ht="15.5">
      <c r="A249" s="8">
        <v>248</v>
      </c>
      <c r="B249" s="12" t="s">
        <v>345</v>
      </c>
      <c r="C249" s="12" t="s">
        <v>979</v>
      </c>
      <c r="D249" s="12" t="s">
        <v>817</v>
      </c>
      <c r="E249" s="15" t="s">
        <v>1625</v>
      </c>
      <c r="F249" s="15" t="s">
        <v>1626</v>
      </c>
      <c r="G249" s="15" t="s">
        <v>1627</v>
      </c>
      <c r="H249" s="4" t="s">
        <v>1235</v>
      </c>
    </row>
    <row r="250" spans="1:8" ht="15.5">
      <c r="A250" s="8">
        <v>249</v>
      </c>
      <c r="B250" s="12" t="s">
        <v>438</v>
      </c>
      <c r="C250" s="12" t="s">
        <v>822</v>
      </c>
      <c r="D250" s="12" t="s">
        <v>817</v>
      </c>
      <c r="E250" s="15" t="s">
        <v>1628</v>
      </c>
      <c r="F250" s="15" t="s">
        <v>1629</v>
      </c>
      <c r="G250" s="15" t="s">
        <v>1630</v>
      </c>
      <c r="H250" s="4" t="s">
        <v>899</v>
      </c>
    </row>
    <row r="251" spans="1:8" ht="15.5">
      <c r="A251" s="8">
        <v>250</v>
      </c>
      <c r="B251" s="12" t="s">
        <v>196</v>
      </c>
      <c r="C251" s="12" t="s">
        <v>1531</v>
      </c>
      <c r="D251" s="12" t="s">
        <v>835</v>
      </c>
      <c r="E251" s="15" t="s">
        <v>1631</v>
      </c>
      <c r="F251" s="15" t="s">
        <v>1632</v>
      </c>
      <c r="G251" s="15" t="s">
        <v>1633</v>
      </c>
    </row>
    <row r="252" spans="1:8" ht="15.5">
      <c r="A252" s="8">
        <v>251</v>
      </c>
      <c r="B252" s="12" t="s">
        <v>483</v>
      </c>
      <c r="C252" s="12" t="s">
        <v>926</v>
      </c>
      <c r="D252" s="12" t="s">
        <v>835</v>
      </c>
      <c r="E252" s="15" t="s">
        <v>1634</v>
      </c>
      <c r="F252" s="15" t="s">
        <v>1635</v>
      </c>
      <c r="G252" s="15" t="s">
        <v>1636</v>
      </c>
      <c r="H252" s="4"/>
    </row>
    <row r="253" spans="1:8" ht="15.5">
      <c r="A253" s="8">
        <v>252</v>
      </c>
      <c r="B253" s="12" t="s">
        <v>230</v>
      </c>
      <c r="C253" s="12" t="s">
        <v>1358</v>
      </c>
      <c r="D253" s="12" t="s">
        <v>835</v>
      </c>
      <c r="E253" s="15" t="s">
        <v>1637</v>
      </c>
      <c r="F253" s="15" t="s">
        <v>1638</v>
      </c>
      <c r="G253" s="15" t="s">
        <v>1639</v>
      </c>
      <c r="H253" s="4"/>
    </row>
    <row r="254" spans="1:8" ht="15.5">
      <c r="A254" s="8">
        <v>253</v>
      </c>
      <c r="B254" s="12" t="s">
        <v>1640</v>
      </c>
      <c r="C254" s="12" t="s">
        <v>851</v>
      </c>
      <c r="D254" s="12" t="s">
        <v>835</v>
      </c>
      <c r="E254" s="15" t="s">
        <v>1641</v>
      </c>
      <c r="F254" s="15" t="s">
        <v>1642</v>
      </c>
      <c r="G254" s="15" t="s">
        <v>1643</v>
      </c>
      <c r="H254" s="4"/>
    </row>
    <row r="255" spans="1:8" ht="15.5">
      <c r="A255" s="8">
        <v>254</v>
      </c>
      <c r="B255" s="12" t="s">
        <v>314</v>
      </c>
      <c r="C255" s="12" t="s">
        <v>858</v>
      </c>
      <c r="D255" s="12" t="s">
        <v>835</v>
      </c>
      <c r="E255" s="15" t="s">
        <v>1644</v>
      </c>
      <c r="F255" s="15" t="s">
        <v>1645</v>
      </c>
      <c r="G255" s="15" t="s">
        <v>1646</v>
      </c>
      <c r="H255" s="4"/>
    </row>
    <row r="256" spans="1:8" ht="15.5">
      <c r="A256" s="8">
        <v>255</v>
      </c>
      <c r="B256" s="12" t="s">
        <v>303</v>
      </c>
      <c r="C256" s="12" t="s">
        <v>822</v>
      </c>
      <c r="D256" s="12" t="s">
        <v>835</v>
      </c>
      <c r="E256" s="15" t="s">
        <v>1647</v>
      </c>
      <c r="F256" s="15" t="s">
        <v>1648</v>
      </c>
      <c r="G256" s="15" t="s">
        <v>1649</v>
      </c>
      <c r="H256" s="4"/>
    </row>
    <row r="257" spans="1:8" ht="15.5">
      <c r="A257" s="8">
        <v>256</v>
      </c>
      <c r="B257" s="12" t="s">
        <v>259</v>
      </c>
      <c r="C257" s="12" t="s">
        <v>889</v>
      </c>
      <c r="D257" s="12" t="s">
        <v>835</v>
      </c>
      <c r="E257" s="15" t="s">
        <v>1650</v>
      </c>
      <c r="F257" s="15" t="s">
        <v>1651</v>
      </c>
      <c r="G257" s="15" t="s">
        <v>1652</v>
      </c>
      <c r="H257" s="4"/>
    </row>
    <row r="258" spans="1:8" ht="15.5">
      <c r="A258" s="8">
        <v>257</v>
      </c>
      <c r="B258" s="12" t="s">
        <v>1653</v>
      </c>
      <c r="C258" s="12" t="s">
        <v>827</v>
      </c>
      <c r="D258" s="12" t="s">
        <v>817</v>
      </c>
      <c r="E258" s="15" t="s">
        <v>1654</v>
      </c>
      <c r="F258" s="15" t="s">
        <v>1502</v>
      </c>
      <c r="G258" s="15" t="s">
        <v>1324</v>
      </c>
      <c r="H258" s="4" t="s">
        <v>920</v>
      </c>
    </row>
    <row r="259" spans="1:8" ht="15.5">
      <c r="A259" s="8">
        <v>258</v>
      </c>
      <c r="B259" s="12" t="s">
        <v>489</v>
      </c>
      <c r="C259" s="12" t="s">
        <v>862</v>
      </c>
      <c r="D259" s="12" t="s">
        <v>835</v>
      </c>
      <c r="E259" s="15" t="s">
        <v>1655</v>
      </c>
      <c r="F259" s="15" t="s">
        <v>1106</v>
      </c>
      <c r="G259" s="15" t="s">
        <v>1656</v>
      </c>
      <c r="H259" s="4"/>
    </row>
    <row r="260" spans="1:8" ht="15.5">
      <c r="A260" s="8">
        <v>259</v>
      </c>
      <c r="B260" s="12" t="s">
        <v>1657</v>
      </c>
      <c r="C260" s="12" t="s">
        <v>1000</v>
      </c>
      <c r="D260" s="12" t="s">
        <v>835</v>
      </c>
      <c r="E260" s="15" t="s">
        <v>1658</v>
      </c>
      <c r="F260" s="15" t="s">
        <v>1659</v>
      </c>
      <c r="G260" s="15" t="s">
        <v>1660</v>
      </c>
      <c r="H260" s="4"/>
    </row>
    <row r="261" spans="1:8" ht="15.5">
      <c r="A261" s="8">
        <v>260</v>
      </c>
      <c r="B261" s="12" t="s">
        <v>466</v>
      </c>
      <c r="C261" s="12" t="s">
        <v>922</v>
      </c>
      <c r="D261" s="12" t="s">
        <v>817</v>
      </c>
      <c r="E261" s="15" t="s">
        <v>1661</v>
      </c>
      <c r="F261" s="15" t="s">
        <v>1662</v>
      </c>
      <c r="G261" s="15" t="s">
        <v>1663</v>
      </c>
      <c r="H261" s="4" t="s">
        <v>1221</v>
      </c>
    </row>
    <row r="262" spans="1:8" ht="15.5">
      <c r="A262" s="8">
        <v>261</v>
      </c>
      <c r="B262" s="12" t="s">
        <v>537</v>
      </c>
      <c r="C262" s="12" t="s">
        <v>883</v>
      </c>
      <c r="D262" s="12" t="s">
        <v>817</v>
      </c>
      <c r="E262" s="15" t="s">
        <v>1664</v>
      </c>
      <c r="F262" s="15" t="s">
        <v>1665</v>
      </c>
      <c r="G262" s="15" t="s">
        <v>1220</v>
      </c>
      <c r="H262" s="4" t="s">
        <v>1221</v>
      </c>
    </row>
    <row r="263" spans="1:8" ht="15.5">
      <c r="A263" s="8">
        <v>262</v>
      </c>
      <c r="B263" s="12" t="s">
        <v>1666</v>
      </c>
      <c r="C263" s="12" t="s">
        <v>872</v>
      </c>
      <c r="D263" s="12" t="s">
        <v>817</v>
      </c>
      <c r="E263" s="15" t="s">
        <v>1667</v>
      </c>
      <c r="F263" s="15" t="s">
        <v>1668</v>
      </c>
      <c r="G263" s="15" t="s">
        <v>1546</v>
      </c>
      <c r="H263" s="4" t="s">
        <v>899</v>
      </c>
    </row>
    <row r="264" spans="1:8" ht="15.5">
      <c r="A264" s="8">
        <v>263</v>
      </c>
      <c r="B264" s="12" t="s">
        <v>369</v>
      </c>
      <c r="C264" s="12" t="s">
        <v>1236</v>
      </c>
      <c r="D264" s="12" t="s">
        <v>817</v>
      </c>
      <c r="E264" s="15" t="s">
        <v>1669</v>
      </c>
      <c r="F264" s="15" t="s">
        <v>1670</v>
      </c>
      <c r="G264" s="15" t="s">
        <v>1671</v>
      </c>
      <c r="H264" s="4" t="s">
        <v>899</v>
      </c>
    </row>
    <row r="265" spans="1:8" ht="15.5">
      <c r="A265" s="8">
        <v>264</v>
      </c>
      <c r="B265" s="12" t="s">
        <v>464</v>
      </c>
      <c r="C265" s="12" t="s">
        <v>822</v>
      </c>
      <c r="D265" s="12" t="s">
        <v>817</v>
      </c>
      <c r="E265" s="15" t="s">
        <v>1672</v>
      </c>
      <c r="F265" s="15" t="s">
        <v>1673</v>
      </c>
      <c r="G265" s="15" t="s">
        <v>1674</v>
      </c>
      <c r="H265" s="4" t="s">
        <v>899</v>
      </c>
    </row>
    <row r="266" spans="1:8" ht="15.5">
      <c r="A266" s="8">
        <v>265</v>
      </c>
      <c r="B266" s="12" t="s">
        <v>231</v>
      </c>
      <c r="C266" s="12" t="s">
        <v>926</v>
      </c>
      <c r="D266" s="12" t="s">
        <v>835</v>
      </c>
      <c r="E266" s="15" t="s">
        <v>1675</v>
      </c>
      <c r="F266" s="15" t="s">
        <v>1676</v>
      </c>
      <c r="G266" s="15" t="s">
        <v>1677</v>
      </c>
      <c r="H266" s="4"/>
    </row>
    <row r="267" spans="1:8" ht="15.5">
      <c r="A267" s="8">
        <v>266</v>
      </c>
      <c r="B267" s="12" t="s">
        <v>371</v>
      </c>
      <c r="C267" s="12" t="s">
        <v>1678</v>
      </c>
      <c r="D267" s="12" t="s">
        <v>835</v>
      </c>
      <c r="E267" s="15" t="s">
        <v>1679</v>
      </c>
      <c r="F267" s="15" t="s">
        <v>1680</v>
      </c>
      <c r="G267" s="15" t="s">
        <v>1605</v>
      </c>
      <c r="H267" s="4"/>
    </row>
    <row r="268" spans="1:8" ht="15.5">
      <c r="A268" s="8">
        <v>267</v>
      </c>
      <c r="B268" s="12" t="s">
        <v>181</v>
      </c>
      <c r="C268" s="12" t="s">
        <v>922</v>
      </c>
      <c r="D268" s="12" t="s">
        <v>835</v>
      </c>
      <c r="E268" s="15" t="s">
        <v>1681</v>
      </c>
      <c r="F268" s="15" t="s">
        <v>894</v>
      </c>
      <c r="G268" s="15" t="s">
        <v>1682</v>
      </c>
      <c r="H268" s="4"/>
    </row>
    <row r="269" spans="1:8" ht="15.5">
      <c r="A269" s="8">
        <v>268</v>
      </c>
      <c r="B269" s="12" t="s">
        <v>1683</v>
      </c>
      <c r="C269" s="12" t="s">
        <v>816</v>
      </c>
      <c r="D269" s="12" t="s">
        <v>835</v>
      </c>
      <c r="E269" s="15" t="s">
        <v>1684</v>
      </c>
      <c r="F269" s="15" t="s">
        <v>1685</v>
      </c>
      <c r="G269" s="15" t="s">
        <v>1686</v>
      </c>
      <c r="H269" s="4"/>
    </row>
    <row r="270" spans="1:8" ht="15.5">
      <c r="A270" s="8">
        <v>269</v>
      </c>
      <c r="B270" s="12" t="s">
        <v>390</v>
      </c>
      <c r="C270" s="12" t="s">
        <v>1082</v>
      </c>
      <c r="D270" s="12" t="s">
        <v>817</v>
      </c>
      <c r="E270" s="15" t="s">
        <v>1687</v>
      </c>
      <c r="F270" s="15" t="s">
        <v>1688</v>
      </c>
      <c r="G270" s="15" t="s">
        <v>1059</v>
      </c>
      <c r="H270" s="4" t="s">
        <v>899</v>
      </c>
    </row>
    <row r="271" spans="1:8" ht="15.5">
      <c r="A271" s="8">
        <v>270</v>
      </c>
      <c r="B271" s="12" t="s">
        <v>548</v>
      </c>
      <c r="C271" s="12" t="s">
        <v>1124</v>
      </c>
      <c r="D271" s="12" t="s">
        <v>817</v>
      </c>
      <c r="E271" s="15" t="s">
        <v>1689</v>
      </c>
      <c r="F271" s="15" t="s">
        <v>1690</v>
      </c>
      <c r="G271" s="15" t="s">
        <v>1092</v>
      </c>
      <c r="H271" s="4" t="s">
        <v>938</v>
      </c>
    </row>
    <row r="272" spans="1:8" ht="15.5">
      <c r="A272" s="8">
        <v>271</v>
      </c>
      <c r="B272" s="12" t="s">
        <v>455</v>
      </c>
      <c r="C272" s="12" t="s">
        <v>840</v>
      </c>
      <c r="D272" s="12" t="s">
        <v>817</v>
      </c>
      <c r="E272" s="15" t="s">
        <v>1691</v>
      </c>
      <c r="F272" s="15" t="s">
        <v>1692</v>
      </c>
      <c r="G272" s="15" t="s">
        <v>1663</v>
      </c>
      <c r="H272" s="4" t="s">
        <v>1235</v>
      </c>
    </row>
    <row r="273" spans="1:8" ht="15.5">
      <c r="A273" s="8">
        <v>272</v>
      </c>
      <c r="B273" s="12" t="s">
        <v>1693</v>
      </c>
      <c r="C273" s="12" t="s">
        <v>851</v>
      </c>
      <c r="D273" s="12" t="s">
        <v>835</v>
      </c>
      <c r="E273" s="15" t="s">
        <v>1694</v>
      </c>
      <c r="F273" s="15" t="s">
        <v>1695</v>
      </c>
      <c r="G273" s="15" t="s">
        <v>1696</v>
      </c>
      <c r="H273" s="4"/>
    </row>
    <row r="274" spans="1:8" ht="15.5">
      <c r="A274" s="8">
        <v>273</v>
      </c>
      <c r="B274" s="12" t="s">
        <v>270</v>
      </c>
      <c r="C274" s="12" t="s">
        <v>934</v>
      </c>
      <c r="D274" s="12" t="s">
        <v>817</v>
      </c>
      <c r="E274" s="15" t="s">
        <v>1697</v>
      </c>
      <c r="F274" s="15" t="s">
        <v>1698</v>
      </c>
      <c r="G274" s="15" t="s">
        <v>1111</v>
      </c>
      <c r="H274" s="4" t="s">
        <v>830</v>
      </c>
    </row>
    <row r="275" spans="1:8" ht="15.5">
      <c r="A275" s="8">
        <v>274</v>
      </c>
      <c r="B275" s="12" t="s">
        <v>179</v>
      </c>
      <c r="C275" s="12" t="s">
        <v>1229</v>
      </c>
      <c r="D275" s="12" t="s">
        <v>835</v>
      </c>
      <c r="E275" s="15" t="s">
        <v>1699</v>
      </c>
      <c r="F275" s="15" t="s">
        <v>1700</v>
      </c>
      <c r="G275" s="15" t="s">
        <v>1701</v>
      </c>
      <c r="H275" s="4"/>
    </row>
    <row r="276" spans="1:8" ht="15.5">
      <c r="A276" s="8">
        <v>275</v>
      </c>
      <c r="B276" s="12" t="s">
        <v>287</v>
      </c>
      <c r="C276" s="12" t="s">
        <v>1582</v>
      </c>
      <c r="D276" s="12" t="s">
        <v>835</v>
      </c>
      <c r="E276" s="15" t="s">
        <v>1702</v>
      </c>
      <c r="F276" s="15" t="s">
        <v>1703</v>
      </c>
      <c r="G276" s="15" t="s">
        <v>1704</v>
      </c>
      <c r="H276" s="4"/>
    </row>
    <row r="277" spans="1:8" ht="15.5">
      <c r="A277" s="8">
        <v>276</v>
      </c>
      <c r="B277" s="12" t="s">
        <v>449</v>
      </c>
      <c r="C277" s="12" t="s">
        <v>822</v>
      </c>
      <c r="D277" s="12" t="s">
        <v>817</v>
      </c>
      <c r="E277" s="15" t="s">
        <v>1705</v>
      </c>
      <c r="F277" s="15" t="s">
        <v>1706</v>
      </c>
      <c r="G277" s="15" t="s">
        <v>1677</v>
      </c>
      <c r="H277" s="4" t="s">
        <v>1498</v>
      </c>
    </row>
    <row r="278" spans="1:8" ht="15.5">
      <c r="A278" s="8">
        <v>277</v>
      </c>
      <c r="B278" s="12" t="s">
        <v>221</v>
      </c>
      <c r="C278" s="12" t="s">
        <v>1707</v>
      </c>
      <c r="D278" s="12" t="s">
        <v>835</v>
      </c>
      <c r="E278" s="15" t="s">
        <v>1708</v>
      </c>
      <c r="F278" s="15" t="s">
        <v>1709</v>
      </c>
      <c r="G278" s="15" t="s">
        <v>1617</v>
      </c>
      <c r="H278" s="4"/>
    </row>
    <row r="279" spans="1:8" ht="15.5">
      <c r="A279" s="8">
        <v>278</v>
      </c>
      <c r="B279" s="12" t="s">
        <v>255</v>
      </c>
      <c r="C279" s="12" t="s">
        <v>827</v>
      </c>
      <c r="D279" s="12" t="s">
        <v>835</v>
      </c>
      <c r="E279" s="15" t="s">
        <v>1710</v>
      </c>
      <c r="F279" s="15" t="s">
        <v>1711</v>
      </c>
      <c r="G279" s="15" t="s">
        <v>1712</v>
      </c>
      <c r="H279" s="4"/>
    </row>
    <row r="280" spans="1:8" ht="15.5">
      <c r="A280" s="8">
        <v>279</v>
      </c>
      <c r="B280" s="12" t="s">
        <v>535</v>
      </c>
      <c r="C280" s="12" t="s">
        <v>822</v>
      </c>
      <c r="D280" s="12" t="s">
        <v>817</v>
      </c>
      <c r="E280" s="15" t="s">
        <v>1713</v>
      </c>
      <c r="F280" s="15" t="s">
        <v>1714</v>
      </c>
      <c r="G280" s="15" t="s">
        <v>1715</v>
      </c>
      <c r="H280" s="4" t="s">
        <v>1235</v>
      </c>
    </row>
    <row r="281" spans="1:8" ht="15.5">
      <c r="A281" s="8">
        <v>280</v>
      </c>
      <c r="B281" s="12" t="s">
        <v>1716</v>
      </c>
      <c r="C281" s="12" t="s">
        <v>851</v>
      </c>
      <c r="D281" s="12" t="s">
        <v>835</v>
      </c>
      <c r="E281" s="15" t="s">
        <v>1717</v>
      </c>
      <c r="F281" s="15" t="s">
        <v>1718</v>
      </c>
      <c r="G281" s="15" t="s">
        <v>1719</v>
      </c>
      <c r="H281" s="4"/>
    </row>
    <row r="282" spans="1:8" ht="15.5">
      <c r="A282" s="8">
        <v>281</v>
      </c>
      <c r="B282" s="12" t="s">
        <v>226</v>
      </c>
      <c r="C282" s="12" t="s">
        <v>1720</v>
      </c>
      <c r="D282" s="12" t="s">
        <v>835</v>
      </c>
      <c r="E282" s="15" t="s">
        <v>1721</v>
      </c>
      <c r="F282" s="15" t="s">
        <v>1722</v>
      </c>
      <c r="G282" s="15" t="s">
        <v>1139</v>
      </c>
      <c r="H282" s="4"/>
    </row>
    <row r="283" spans="1:8" ht="15.5">
      <c r="A283" s="8">
        <v>282</v>
      </c>
      <c r="B283" s="12" t="s">
        <v>652</v>
      </c>
      <c r="C283" s="12" t="s">
        <v>816</v>
      </c>
      <c r="D283" s="12" t="s">
        <v>817</v>
      </c>
      <c r="E283" s="15" t="s">
        <v>1723</v>
      </c>
      <c r="F283" s="15" t="s">
        <v>1724</v>
      </c>
      <c r="G283" s="15" t="s">
        <v>1725</v>
      </c>
      <c r="H283" s="4" t="s">
        <v>1498</v>
      </c>
    </row>
    <row r="284" spans="1:8" ht="15.5">
      <c r="A284" s="8">
        <v>283</v>
      </c>
      <c r="B284" s="12" t="s">
        <v>533</v>
      </c>
      <c r="C284" s="12" t="s">
        <v>1183</v>
      </c>
      <c r="D284" s="12" t="s">
        <v>817</v>
      </c>
      <c r="E284" s="15" t="s">
        <v>1726</v>
      </c>
      <c r="F284" s="15" t="s">
        <v>1727</v>
      </c>
      <c r="G284" s="15" t="s">
        <v>1646</v>
      </c>
      <c r="H284" s="4" t="s">
        <v>1498</v>
      </c>
    </row>
    <row r="285" spans="1:8" ht="15.5">
      <c r="A285" s="8">
        <v>284</v>
      </c>
      <c r="B285" s="12" t="s">
        <v>551</v>
      </c>
      <c r="C285" s="12" t="s">
        <v>851</v>
      </c>
      <c r="D285" s="12" t="s">
        <v>817</v>
      </c>
      <c r="E285" s="15" t="s">
        <v>1728</v>
      </c>
      <c r="F285" s="15" t="s">
        <v>1729</v>
      </c>
      <c r="G285" s="15" t="s">
        <v>1565</v>
      </c>
      <c r="H285" s="4" t="s">
        <v>821</v>
      </c>
    </row>
    <row r="286" spans="1:8" ht="15.5">
      <c r="A286" s="8">
        <v>285</v>
      </c>
      <c r="B286" s="12" t="s">
        <v>451</v>
      </c>
      <c r="C286" s="12" t="s">
        <v>939</v>
      </c>
      <c r="D286" s="12" t="s">
        <v>817</v>
      </c>
      <c r="E286" s="15" t="s">
        <v>1730</v>
      </c>
      <c r="F286" s="15" t="s">
        <v>1731</v>
      </c>
      <c r="G286" s="15" t="s">
        <v>1732</v>
      </c>
      <c r="H286" s="4" t="s">
        <v>1235</v>
      </c>
    </row>
    <row r="287" spans="1:8" ht="15.5">
      <c r="A287" s="8">
        <v>286</v>
      </c>
      <c r="B287" s="12" t="s">
        <v>212</v>
      </c>
      <c r="C287" s="12" t="s">
        <v>1379</v>
      </c>
      <c r="D287" s="12" t="s">
        <v>835</v>
      </c>
      <c r="E287" s="15" t="s">
        <v>1733</v>
      </c>
      <c r="F287" s="15" t="s">
        <v>1734</v>
      </c>
      <c r="G287" s="15" t="s">
        <v>1735</v>
      </c>
      <c r="H287" s="4"/>
    </row>
    <row r="288" spans="1:8" ht="15.5">
      <c r="A288" s="8">
        <v>287</v>
      </c>
      <c r="B288" s="12" t="s">
        <v>452</v>
      </c>
      <c r="C288" s="12" t="s">
        <v>979</v>
      </c>
      <c r="D288" s="12" t="s">
        <v>817</v>
      </c>
      <c r="E288" s="15" t="s">
        <v>1736</v>
      </c>
      <c r="F288" s="15" t="s">
        <v>1737</v>
      </c>
      <c r="G288" s="15" t="s">
        <v>1738</v>
      </c>
      <c r="H288" s="4" t="s">
        <v>899</v>
      </c>
    </row>
    <row r="289" spans="1:8" ht="15.5">
      <c r="A289" s="8">
        <v>288</v>
      </c>
      <c r="B289" s="12" t="s">
        <v>538</v>
      </c>
      <c r="C289" s="12" t="s">
        <v>844</v>
      </c>
      <c r="D289" s="12" t="s">
        <v>817</v>
      </c>
      <c r="E289" s="15" t="s">
        <v>1739</v>
      </c>
      <c r="F289" s="15" t="s">
        <v>1740</v>
      </c>
      <c r="G289" s="15" t="s">
        <v>1316</v>
      </c>
      <c r="H289" s="4" t="s">
        <v>1498</v>
      </c>
    </row>
    <row r="290" spans="1:8" ht="15.5">
      <c r="A290" s="8">
        <v>289</v>
      </c>
      <c r="B290" s="12" t="s">
        <v>321</v>
      </c>
      <c r="C290" s="12" t="s">
        <v>840</v>
      </c>
      <c r="D290" s="12" t="s">
        <v>817</v>
      </c>
      <c r="E290" s="15" t="s">
        <v>1741</v>
      </c>
      <c r="F290" s="15" t="s">
        <v>1742</v>
      </c>
      <c r="G290" s="15" t="s">
        <v>1743</v>
      </c>
      <c r="H290" s="4" t="s">
        <v>1221</v>
      </c>
    </row>
    <row r="291" spans="1:8" ht="15.5">
      <c r="A291" s="8">
        <v>290</v>
      </c>
      <c r="B291" s="12" t="s">
        <v>171</v>
      </c>
      <c r="C291" s="12" t="s">
        <v>1236</v>
      </c>
      <c r="D291" s="12" t="s">
        <v>835</v>
      </c>
      <c r="E291" s="15" t="s">
        <v>1744</v>
      </c>
      <c r="F291" s="15" t="s">
        <v>1745</v>
      </c>
      <c r="G291" s="15" t="s">
        <v>1746</v>
      </c>
      <c r="H291" s="4"/>
    </row>
    <row r="292" spans="1:8" ht="15.5">
      <c r="A292" s="8">
        <v>291</v>
      </c>
      <c r="B292" s="12" t="s">
        <v>598</v>
      </c>
      <c r="C292" s="12" t="s">
        <v>827</v>
      </c>
      <c r="D292" s="12" t="s">
        <v>817</v>
      </c>
      <c r="E292" s="15" t="s">
        <v>1747</v>
      </c>
      <c r="F292" s="15" t="s">
        <v>1748</v>
      </c>
      <c r="G292" s="15" t="s">
        <v>1749</v>
      </c>
      <c r="H292" s="4" t="s">
        <v>1235</v>
      </c>
    </row>
    <row r="293" spans="1:8" ht="15.5">
      <c r="A293" s="8">
        <v>292</v>
      </c>
      <c r="B293" s="12" t="s">
        <v>381</v>
      </c>
      <c r="C293" s="12" t="s">
        <v>844</v>
      </c>
      <c r="D293" s="12" t="s">
        <v>817</v>
      </c>
      <c r="E293" s="15" t="s">
        <v>1750</v>
      </c>
      <c r="F293" s="15" t="s">
        <v>1751</v>
      </c>
      <c r="G293" s="15" t="s">
        <v>1133</v>
      </c>
      <c r="H293" s="4" t="s">
        <v>920</v>
      </c>
    </row>
    <row r="294" spans="1:8" ht="15.5">
      <c r="A294" s="8">
        <v>293</v>
      </c>
      <c r="B294" s="12" t="s">
        <v>426</v>
      </c>
      <c r="C294" s="12" t="s">
        <v>1082</v>
      </c>
      <c r="D294" s="12" t="s">
        <v>817</v>
      </c>
      <c r="E294" s="15" t="s">
        <v>1752</v>
      </c>
      <c r="F294" s="15" t="s">
        <v>1318</v>
      </c>
      <c r="G294" s="15" t="s">
        <v>1458</v>
      </c>
      <c r="H294" s="4" t="s">
        <v>899</v>
      </c>
    </row>
    <row r="295" spans="1:8" ht="15.5">
      <c r="A295" s="8">
        <v>294</v>
      </c>
      <c r="B295" s="12" t="s">
        <v>292</v>
      </c>
      <c r="C295" s="12" t="s">
        <v>1164</v>
      </c>
      <c r="D295" s="12" t="s">
        <v>835</v>
      </c>
      <c r="E295" s="15" t="s">
        <v>1753</v>
      </c>
      <c r="F295" s="15" t="s">
        <v>1613</v>
      </c>
      <c r="G295" s="15" t="s">
        <v>1754</v>
      </c>
      <c r="H295" s="4"/>
    </row>
    <row r="296" spans="1:8" ht="15.5">
      <c r="A296" s="8">
        <v>295</v>
      </c>
      <c r="B296" s="12" t="s">
        <v>1755</v>
      </c>
      <c r="C296" s="12" t="s">
        <v>822</v>
      </c>
      <c r="D296" s="12" t="s">
        <v>835</v>
      </c>
      <c r="E296" s="15" t="s">
        <v>1756</v>
      </c>
      <c r="F296" s="15" t="s">
        <v>1757</v>
      </c>
      <c r="G296" s="15" t="s">
        <v>1361</v>
      </c>
      <c r="H296" s="4"/>
    </row>
    <row r="297" spans="1:8" ht="15.5">
      <c r="A297" s="8">
        <v>296</v>
      </c>
      <c r="B297" s="12" t="s">
        <v>1758</v>
      </c>
      <c r="C297" s="12" t="s">
        <v>822</v>
      </c>
      <c r="D297" s="12" t="s">
        <v>817</v>
      </c>
      <c r="E297" s="15" t="s">
        <v>1759</v>
      </c>
      <c r="F297" s="15" t="s">
        <v>1760</v>
      </c>
      <c r="G297" s="15" t="s">
        <v>1477</v>
      </c>
      <c r="H297" s="4" t="s">
        <v>1221</v>
      </c>
    </row>
    <row r="298" spans="1:8" ht="15.5">
      <c r="A298" s="8">
        <v>297</v>
      </c>
      <c r="B298" s="12" t="s">
        <v>227</v>
      </c>
      <c r="C298" s="12" t="s">
        <v>1199</v>
      </c>
      <c r="D298" s="12" t="s">
        <v>835</v>
      </c>
      <c r="E298" s="15" t="s">
        <v>1761</v>
      </c>
      <c r="F298" s="15" t="s">
        <v>1762</v>
      </c>
      <c r="G298" s="15" t="s">
        <v>1763</v>
      </c>
      <c r="H298" s="4"/>
    </row>
    <row r="299" spans="1:8" ht="15.5">
      <c r="A299" s="8">
        <v>298</v>
      </c>
      <c r="B299" s="12" t="s">
        <v>243</v>
      </c>
      <c r="C299" s="12" t="s">
        <v>851</v>
      </c>
      <c r="D299" s="12" t="s">
        <v>835</v>
      </c>
      <c r="E299" s="15" t="s">
        <v>1764</v>
      </c>
      <c r="F299" s="15" t="s">
        <v>1765</v>
      </c>
      <c r="G299" s="15" t="s">
        <v>1766</v>
      </c>
      <c r="H299" s="4"/>
    </row>
    <row r="300" spans="1:8" ht="15.5">
      <c r="A300" s="8">
        <v>299</v>
      </c>
      <c r="B300" s="12" t="s">
        <v>515</v>
      </c>
      <c r="C300" s="12" t="s">
        <v>816</v>
      </c>
      <c r="D300" s="12" t="s">
        <v>835</v>
      </c>
      <c r="E300" s="15" t="s">
        <v>897</v>
      </c>
      <c r="F300" s="15" t="s">
        <v>1767</v>
      </c>
      <c r="G300" s="15" t="s">
        <v>1455</v>
      </c>
      <c r="H300" s="4"/>
    </row>
    <row r="301" spans="1:8" ht="15.5">
      <c r="A301" s="8">
        <v>300</v>
      </c>
      <c r="B301" s="12" t="s">
        <v>437</v>
      </c>
      <c r="C301" s="12" t="s">
        <v>1124</v>
      </c>
      <c r="D301" s="12" t="s">
        <v>817</v>
      </c>
      <c r="E301" s="15" t="s">
        <v>1768</v>
      </c>
      <c r="F301" s="15" t="s">
        <v>1769</v>
      </c>
      <c r="G301" s="15" t="s">
        <v>1770</v>
      </c>
      <c r="H301" s="4" t="s">
        <v>1235</v>
      </c>
    </row>
    <row r="302" spans="1:8" ht="15.5">
      <c r="A302" s="8">
        <v>301</v>
      </c>
      <c r="B302" s="12" t="s">
        <v>156</v>
      </c>
      <c r="C302" s="12" t="s">
        <v>840</v>
      </c>
      <c r="D302" s="12" t="s">
        <v>817</v>
      </c>
      <c r="E302" s="15" t="s">
        <v>1771</v>
      </c>
      <c r="F302" s="15" t="s">
        <v>1772</v>
      </c>
      <c r="G302" s="15" t="s">
        <v>1773</v>
      </c>
      <c r="H302" s="4" t="s">
        <v>938</v>
      </c>
    </row>
    <row r="303" spans="1:8" ht="15.5">
      <c r="A303" s="8">
        <v>302</v>
      </c>
      <c r="B303" s="12" t="s">
        <v>305</v>
      </c>
      <c r="C303" s="12" t="s">
        <v>840</v>
      </c>
      <c r="D303" s="12" t="s">
        <v>817</v>
      </c>
      <c r="E303" s="15" t="s">
        <v>1774</v>
      </c>
      <c r="F303" s="15" t="s">
        <v>1775</v>
      </c>
      <c r="G303" s="15" t="s">
        <v>1738</v>
      </c>
      <c r="H303" s="4" t="s">
        <v>1221</v>
      </c>
    </row>
    <row r="304" spans="1:8" ht="15.5">
      <c r="A304" s="8">
        <v>303</v>
      </c>
      <c r="B304" s="12" t="s">
        <v>353</v>
      </c>
      <c r="C304" s="12" t="s">
        <v>840</v>
      </c>
      <c r="D304" s="12" t="s">
        <v>835</v>
      </c>
      <c r="E304" s="15" t="s">
        <v>1776</v>
      </c>
      <c r="F304" s="15" t="s">
        <v>1777</v>
      </c>
      <c r="G304" s="15" t="s">
        <v>1555</v>
      </c>
      <c r="H304" s="4"/>
    </row>
    <row r="305" spans="1:8" ht="15.5">
      <c r="A305" s="8">
        <v>304</v>
      </c>
      <c r="B305" s="12" t="s">
        <v>1778</v>
      </c>
      <c r="C305" s="12" t="s">
        <v>1082</v>
      </c>
      <c r="D305" s="12" t="s">
        <v>817</v>
      </c>
      <c r="E305" s="15" t="s">
        <v>1779</v>
      </c>
      <c r="F305" s="15" t="s">
        <v>1780</v>
      </c>
      <c r="G305" s="15" t="s">
        <v>1781</v>
      </c>
      <c r="H305" s="4" t="s">
        <v>920</v>
      </c>
    </row>
    <row r="306" spans="1:8" ht="15.5">
      <c r="A306" s="8">
        <v>305</v>
      </c>
      <c r="B306" s="12" t="s">
        <v>319</v>
      </c>
      <c r="C306" s="12" t="s">
        <v>1104</v>
      </c>
      <c r="D306" s="12" t="s">
        <v>835</v>
      </c>
      <c r="E306" s="15" t="s">
        <v>1782</v>
      </c>
      <c r="F306" s="15" t="s">
        <v>1783</v>
      </c>
      <c r="G306" s="15" t="s">
        <v>1784</v>
      </c>
      <c r="H306" s="4"/>
    </row>
    <row r="307" spans="1:8" ht="15.5">
      <c r="A307" s="8">
        <v>306</v>
      </c>
      <c r="B307" s="12" t="s">
        <v>1785</v>
      </c>
      <c r="C307" s="12" t="s">
        <v>840</v>
      </c>
      <c r="D307" s="12" t="s">
        <v>835</v>
      </c>
      <c r="E307" s="15" t="s">
        <v>1786</v>
      </c>
      <c r="F307" s="15" t="s">
        <v>1787</v>
      </c>
      <c r="G307" s="15" t="s">
        <v>1788</v>
      </c>
      <c r="H307" s="4"/>
    </row>
    <row r="308" spans="1:8" ht="15.5">
      <c r="A308" s="8">
        <v>307</v>
      </c>
      <c r="B308" s="12" t="s">
        <v>1789</v>
      </c>
      <c r="C308" s="12" t="s">
        <v>1214</v>
      </c>
      <c r="D308" s="12" t="s">
        <v>817</v>
      </c>
      <c r="E308" s="15" t="s">
        <v>1790</v>
      </c>
      <c r="F308" s="15" t="s">
        <v>1791</v>
      </c>
      <c r="G308" s="15" t="s">
        <v>1122</v>
      </c>
      <c r="H308" s="4" t="s">
        <v>899</v>
      </c>
    </row>
    <row r="309" spans="1:8" ht="15.5">
      <c r="A309" s="8">
        <v>308</v>
      </c>
      <c r="B309" s="12" t="s">
        <v>587</v>
      </c>
      <c r="C309" s="12" t="s">
        <v>844</v>
      </c>
      <c r="D309" s="12" t="s">
        <v>817</v>
      </c>
      <c r="E309" s="15" t="s">
        <v>1792</v>
      </c>
      <c r="F309" s="15" t="s">
        <v>1793</v>
      </c>
      <c r="G309" s="15" t="s">
        <v>1157</v>
      </c>
      <c r="H309" s="4" t="s">
        <v>1336</v>
      </c>
    </row>
    <row r="310" spans="1:8" ht="15.5">
      <c r="A310" s="8">
        <v>309</v>
      </c>
      <c r="B310" s="12" t="s">
        <v>1794</v>
      </c>
      <c r="C310" s="12" t="s">
        <v>822</v>
      </c>
      <c r="D310" s="12" t="s">
        <v>835</v>
      </c>
      <c r="E310" s="15" t="s">
        <v>1795</v>
      </c>
      <c r="F310" s="15" t="s">
        <v>1796</v>
      </c>
      <c r="G310" s="15" t="s">
        <v>1294</v>
      </c>
      <c r="H310" s="4"/>
    </row>
    <row r="311" spans="1:8" ht="15.5">
      <c r="A311" s="8">
        <v>310</v>
      </c>
      <c r="B311" s="12" t="s">
        <v>435</v>
      </c>
      <c r="C311" s="12" t="s">
        <v>862</v>
      </c>
      <c r="D311" s="12" t="s">
        <v>817</v>
      </c>
      <c r="E311" s="15" t="s">
        <v>1797</v>
      </c>
      <c r="F311" s="15" t="s">
        <v>1798</v>
      </c>
      <c r="G311" s="15" t="s">
        <v>1627</v>
      </c>
      <c r="H311" s="4" t="s">
        <v>1221</v>
      </c>
    </row>
    <row r="312" spans="1:8" ht="15.5">
      <c r="A312" s="8">
        <v>311</v>
      </c>
      <c r="B312" s="12" t="s">
        <v>363</v>
      </c>
      <c r="C312" s="12" t="s">
        <v>926</v>
      </c>
      <c r="D312" s="12" t="s">
        <v>835</v>
      </c>
      <c r="E312" s="15" t="s">
        <v>1799</v>
      </c>
      <c r="F312" s="15" t="s">
        <v>1800</v>
      </c>
      <c r="G312" s="15" t="s">
        <v>1549</v>
      </c>
      <c r="H312" s="4"/>
    </row>
    <row r="313" spans="1:8" ht="15.5">
      <c r="A313" s="8">
        <v>312</v>
      </c>
      <c r="B313" s="12" t="s">
        <v>1801</v>
      </c>
      <c r="C313" s="12" t="s">
        <v>840</v>
      </c>
      <c r="D313" s="12" t="s">
        <v>817</v>
      </c>
      <c r="E313" s="15" t="s">
        <v>1802</v>
      </c>
      <c r="F313" s="15" t="s">
        <v>1803</v>
      </c>
      <c r="G313" s="15" t="s">
        <v>1804</v>
      </c>
      <c r="H313" s="4" t="s">
        <v>1235</v>
      </c>
    </row>
    <row r="314" spans="1:8" ht="15.5">
      <c r="A314" s="8">
        <v>313</v>
      </c>
      <c r="B314" s="12" t="s">
        <v>267</v>
      </c>
      <c r="C314" s="12" t="s">
        <v>889</v>
      </c>
      <c r="D314" s="12" t="s">
        <v>835</v>
      </c>
      <c r="E314" s="15" t="s">
        <v>1805</v>
      </c>
      <c r="F314" s="15" t="s">
        <v>1806</v>
      </c>
      <c r="G314" s="15" t="s">
        <v>1807</v>
      </c>
      <c r="H314" s="4"/>
    </row>
    <row r="315" spans="1:8" ht="15.5">
      <c r="A315" s="8">
        <v>314</v>
      </c>
      <c r="B315" s="12" t="s">
        <v>681</v>
      </c>
      <c r="C315" s="12" t="s">
        <v>840</v>
      </c>
      <c r="D315" s="12" t="s">
        <v>835</v>
      </c>
      <c r="E315" s="15" t="s">
        <v>1808</v>
      </c>
      <c r="F315" s="15" t="s">
        <v>1809</v>
      </c>
      <c r="G315" s="15" t="s">
        <v>1810</v>
      </c>
      <c r="H315" s="4"/>
    </row>
    <row r="316" spans="1:8" ht="15.5">
      <c r="A316" s="8">
        <v>315</v>
      </c>
      <c r="B316" s="12" t="s">
        <v>224</v>
      </c>
      <c r="C316" s="12" t="s">
        <v>883</v>
      </c>
      <c r="D316" s="12" t="s">
        <v>835</v>
      </c>
      <c r="E316" s="15" t="s">
        <v>1811</v>
      </c>
      <c r="F316" s="15" t="s">
        <v>1812</v>
      </c>
      <c r="G316" s="15" t="s">
        <v>1813</v>
      </c>
      <c r="H316" s="4"/>
    </row>
    <row r="317" spans="1:8" ht="15.5">
      <c r="A317" s="8">
        <v>316</v>
      </c>
      <c r="B317" s="12" t="s">
        <v>1814</v>
      </c>
      <c r="C317" s="12" t="s">
        <v>827</v>
      </c>
      <c r="D317" s="12" t="s">
        <v>817</v>
      </c>
      <c r="E317" s="15" t="s">
        <v>1815</v>
      </c>
      <c r="F317" s="15" t="s">
        <v>1816</v>
      </c>
      <c r="G317" s="15" t="s">
        <v>1817</v>
      </c>
      <c r="H317" s="4" t="s">
        <v>920</v>
      </c>
    </row>
    <row r="318" spans="1:8" ht="15.5">
      <c r="A318" s="8">
        <v>317</v>
      </c>
      <c r="B318" s="12" t="s">
        <v>1818</v>
      </c>
      <c r="C318" s="12" t="s">
        <v>822</v>
      </c>
      <c r="D318" s="12" t="s">
        <v>817</v>
      </c>
      <c r="E318" s="15" t="s">
        <v>1819</v>
      </c>
      <c r="F318" s="15" t="s">
        <v>1820</v>
      </c>
      <c r="G318" s="15" t="s">
        <v>1821</v>
      </c>
      <c r="H318" s="4" t="s">
        <v>1221</v>
      </c>
    </row>
    <row r="319" spans="1:8" ht="15.5">
      <c r="A319" s="8">
        <v>318</v>
      </c>
      <c r="B319" s="12" t="s">
        <v>494</v>
      </c>
      <c r="C319" s="12" t="s">
        <v>883</v>
      </c>
      <c r="D319" s="12" t="s">
        <v>817</v>
      </c>
      <c r="E319" s="15" t="s">
        <v>1822</v>
      </c>
      <c r="F319" s="15" t="s">
        <v>1823</v>
      </c>
      <c r="G319" s="15" t="s">
        <v>1824</v>
      </c>
      <c r="H319" s="4" t="s">
        <v>1336</v>
      </c>
    </row>
    <row r="320" spans="1:8" ht="15.5">
      <c r="A320" s="8">
        <v>319</v>
      </c>
      <c r="B320" s="12" t="s">
        <v>1825</v>
      </c>
      <c r="C320" s="12" t="s">
        <v>872</v>
      </c>
      <c r="D320" s="12" t="s">
        <v>835</v>
      </c>
      <c r="E320" s="15" t="s">
        <v>1826</v>
      </c>
      <c r="F320" s="15" t="s">
        <v>1827</v>
      </c>
      <c r="G320" s="15" t="s">
        <v>1828</v>
      </c>
      <c r="H320" s="4"/>
    </row>
    <row r="321" spans="1:8" ht="15.5">
      <c r="A321" s="8">
        <v>320</v>
      </c>
      <c r="B321" s="12" t="s">
        <v>216</v>
      </c>
      <c r="C321" s="12" t="s">
        <v>922</v>
      </c>
      <c r="D321" s="12" t="s">
        <v>835</v>
      </c>
      <c r="E321" s="15" t="s">
        <v>1829</v>
      </c>
      <c r="F321" s="15" t="s">
        <v>1830</v>
      </c>
      <c r="G321" s="15" t="s">
        <v>1831</v>
      </c>
      <c r="H321" s="4"/>
    </row>
    <row r="322" spans="1:8" ht="15.5">
      <c r="A322" s="8">
        <v>321</v>
      </c>
      <c r="B322" s="12" t="s">
        <v>424</v>
      </c>
      <c r="C322" s="12" t="s">
        <v>910</v>
      </c>
      <c r="D322" s="12" t="s">
        <v>835</v>
      </c>
      <c r="E322" s="15" t="s">
        <v>1832</v>
      </c>
      <c r="F322" s="15" t="s">
        <v>1833</v>
      </c>
      <c r="G322" s="15" t="s">
        <v>1834</v>
      </c>
      <c r="H322" s="4"/>
    </row>
    <row r="323" spans="1:8" ht="15.5">
      <c r="A323" s="8">
        <v>322</v>
      </c>
      <c r="B323" s="12" t="s">
        <v>568</v>
      </c>
      <c r="C323" s="12" t="s">
        <v>1358</v>
      </c>
      <c r="D323" s="12" t="s">
        <v>817</v>
      </c>
      <c r="E323" s="15" t="s">
        <v>1835</v>
      </c>
      <c r="F323" s="15" t="s">
        <v>1836</v>
      </c>
      <c r="G323" s="15" t="s">
        <v>1837</v>
      </c>
      <c r="H323" s="4" t="s">
        <v>821</v>
      </c>
    </row>
    <row r="324" spans="1:8" ht="15.5">
      <c r="A324" s="8">
        <v>323</v>
      </c>
      <c r="B324" s="12" t="s">
        <v>1838</v>
      </c>
      <c r="C324" s="12" t="s">
        <v>822</v>
      </c>
      <c r="D324" s="12" t="s">
        <v>835</v>
      </c>
      <c r="E324" s="15" t="s">
        <v>1839</v>
      </c>
      <c r="F324" s="15" t="s">
        <v>1840</v>
      </c>
      <c r="G324" s="15" t="s">
        <v>1841</v>
      </c>
      <c r="H324" s="4"/>
    </row>
    <row r="325" spans="1:8" ht="15.5">
      <c r="A325" s="8">
        <v>324</v>
      </c>
      <c r="B325" s="12" t="s">
        <v>1842</v>
      </c>
      <c r="C325" s="12" t="s">
        <v>822</v>
      </c>
      <c r="D325" s="12" t="s">
        <v>835</v>
      </c>
      <c r="E325" s="15" t="s">
        <v>1843</v>
      </c>
      <c r="F325" s="15" t="s">
        <v>1844</v>
      </c>
      <c r="G325" s="15"/>
      <c r="H325" s="4"/>
    </row>
    <row r="326" spans="1:8" ht="15.5">
      <c r="A326" s="8">
        <v>325</v>
      </c>
      <c r="B326" s="12" t="s">
        <v>1845</v>
      </c>
      <c r="C326" s="12" t="s">
        <v>1229</v>
      </c>
      <c r="D326" s="12" t="s">
        <v>835</v>
      </c>
      <c r="E326" s="15" t="s">
        <v>1846</v>
      </c>
      <c r="F326" s="15" t="s">
        <v>1847</v>
      </c>
      <c r="G326" s="15" t="s">
        <v>1848</v>
      </c>
      <c r="H326" s="4"/>
    </row>
    <row r="327" spans="1:8" ht="15.5">
      <c r="A327" s="8">
        <v>326</v>
      </c>
      <c r="B327" s="12" t="s">
        <v>326</v>
      </c>
      <c r="C327" s="12" t="s">
        <v>910</v>
      </c>
      <c r="D327" s="12" t="s">
        <v>835</v>
      </c>
      <c r="E327" s="15" t="s">
        <v>1849</v>
      </c>
      <c r="F327" s="15" t="s">
        <v>1850</v>
      </c>
      <c r="G327" s="15" t="s">
        <v>1851</v>
      </c>
      <c r="H327" s="4"/>
    </row>
    <row r="328" spans="1:8" ht="15.5">
      <c r="A328" s="8">
        <v>327</v>
      </c>
      <c r="B328" s="12" t="s">
        <v>493</v>
      </c>
      <c r="C328" s="12" t="s">
        <v>943</v>
      </c>
      <c r="D328" s="12" t="s">
        <v>835</v>
      </c>
      <c r="E328" s="15" t="s">
        <v>1852</v>
      </c>
      <c r="F328" s="15" t="s">
        <v>1853</v>
      </c>
      <c r="G328" s="15" t="s">
        <v>1854</v>
      </c>
      <c r="H328" s="4"/>
    </row>
    <row r="329" spans="1:8" ht="15.5">
      <c r="A329" s="8">
        <v>328</v>
      </c>
      <c r="B329" s="12" t="s">
        <v>487</v>
      </c>
      <c r="C329" s="12" t="s">
        <v>851</v>
      </c>
      <c r="D329" s="12" t="s">
        <v>817</v>
      </c>
      <c r="E329" s="15" t="s">
        <v>1855</v>
      </c>
      <c r="F329" s="15" t="s">
        <v>1856</v>
      </c>
      <c r="G329" s="15" t="s">
        <v>1398</v>
      </c>
      <c r="H329" s="4" t="s">
        <v>830</v>
      </c>
    </row>
    <row r="330" spans="1:8" ht="15.5">
      <c r="A330" s="8">
        <v>329</v>
      </c>
      <c r="B330" s="12" t="s">
        <v>299</v>
      </c>
      <c r="C330" s="12" t="s">
        <v>840</v>
      </c>
      <c r="D330" s="12" t="s">
        <v>817</v>
      </c>
      <c r="E330" s="15" t="s">
        <v>1857</v>
      </c>
      <c r="F330" s="15" t="s">
        <v>1858</v>
      </c>
      <c r="G330" s="15" t="s">
        <v>1859</v>
      </c>
      <c r="H330" s="4" t="s">
        <v>821</v>
      </c>
    </row>
    <row r="331" spans="1:8" ht="15.5">
      <c r="A331" s="8">
        <v>330</v>
      </c>
      <c r="B331" s="12" t="s">
        <v>1860</v>
      </c>
      <c r="C331" s="12" t="s">
        <v>1183</v>
      </c>
      <c r="D331" s="12" t="s">
        <v>835</v>
      </c>
      <c r="E331" s="15" t="s">
        <v>1861</v>
      </c>
      <c r="F331" s="15" t="s">
        <v>1862</v>
      </c>
      <c r="G331" s="15" t="s">
        <v>1863</v>
      </c>
      <c r="H331" s="4"/>
    </row>
    <row r="332" spans="1:8" ht="15.5">
      <c r="A332" s="8">
        <v>331</v>
      </c>
      <c r="B332" s="12" t="s">
        <v>427</v>
      </c>
      <c r="C332" s="12" t="s">
        <v>971</v>
      </c>
      <c r="D332" s="12" t="s">
        <v>817</v>
      </c>
      <c r="E332" s="15" t="s">
        <v>1864</v>
      </c>
      <c r="F332" s="15" t="s">
        <v>1865</v>
      </c>
      <c r="G332" s="15" t="s">
        <v>1866</v>
      </c>
      <c r="H332" s="4" t="s">
        <v>1235</v>
      </c>
    </row>
    <row r="333" spans="1:8" ht="15.5">
      <c r="A333" s="8">
        <v>332</v>
      </c>
      <c r="B333" s="12" t="s">
        <v>510</v>
      </c>
      <c r="C333" s="12" t="s">
        <v>840</v>
      </c>
      <c r="D333" s="12" t="s">
        <v>817</v>
      </c>
      <c r="E333" s="15" t="s">
        <v>1867</v>
      </c>
      <c r="F333" s="15" t="s">
        <v>1868</v>
      </c>
      <c r="G333" s="15" t="s">
        <v>1869</v>
      </c>
      <c r="H333" s="4" t="s">
        <v>938</v>
      </c>
    </row>
    <row r="334" spans="1:8" ht="15.5">
      <c r="A334" s="8">
        <v>333</v>
      </c>
      <c r="B334" s="12" t="s">
        <v>592</v>
      </c>
      <c r="C334" s="12" t="s">
        <v>971</v>
      </c>
      <c r="D334" s="12" t="s">
        <v>817</v>
      </c>
      <c r="E334" s="15" t="s">
        <v>1870</v>
      </c>
      <c r="F334" s="15" t="s">
        <v>1871</v>
      </c>
      <c r="G334" s="15" t="s">
        <v>1872</v>
      </c>
      <c r="H334" s="4" t="s">
        <v>938</v>
      </c>
    </row>
    <row r="335" spans="1:8" ht="15.5">
      <c r="A335" s="8">
        <v>334</v>
      </c>
      <c r="B335" s="12" t="s">
        <v>361</v>
      </c>
      <c r="C335" s="12" t="s">
        <v>840</v>
      </c>
      <c r="D335" s="12" t="s">
        <v>817</v>
      </c>
      <c r="E335" s="15" t="s">
        <v>1873</v>
      </c>
      <c r="F335" s="15" t="s">
        <v>1874</v>
      </c>
      <c r="G335" s="15" t="s">
        <v>1451</v>
      </c>
      <c r="H335" s="4" t="s">
        <v>1336</v>
      </c>
    </row>
    <row r="336" spans="1:8" ht="15.5">
      <c r="A336" s="8">
        <v>335</v>
      </c>
      <c r="B336" s="12" t="s">
        <v>372</v>
      </c>
      <c r="C336" s="12" t="s">
        <v>822</v>
      </c>
      <c r="D336" s="12" t="s">
        <v>817</v>
      </c>
      <c r="E336" s="15" t="s">
        <v>1875</v>
      </c>
      <c r="F336" s="15" t="s">
        <v>1876</v>
      </c>
      <c r="G336" s="15" t="s">
        <v>1877</v>
      </c>
      <c r="H336" s="4" t="s">
        <v>1336</v>
      </c>
    </row>
    <row r="337" spans="1:8" ht="15.5">
      <c r="A337" s="8">
        <v>336</v>
      </c>
      <c r="B337" s="12" t="s">
        <v>1878</v>
      </c>
      <c r="C337" s="12" t="s">
        <v>840</v>
      </c>
      <c r="D337" s="12" t="s">
        <v>835</v>
      </c>
      <c r="E337" s="15" t="s">
        <v>1879</v>
      </c>
      <c r="F337" s="15" t="s">
        <v>1880</v>
      </c>
      <c r="G337" s="15" t="s">
        <v>1595</v>
      </c>
      <c r="H337" s="4"/>
    </row>
    <row r="338" spans="1:8" ht="15.5">
      <c r="A338" s="8">
        <v>337</v>
      </c>
      <c r="B338" s="12" t="s">
        <v>653</v>
      </c>
      <c r="C338" s="12" t="s">
        <v>822</v>
      </c>
      <c r="D338" s="12" t="s">
        <v>835</v>
      </c>
      <c r="E338" s="15" t="s">
        <v>1881</v>
      </c>
      <c r="F338" s="15" t="s">
        <v>1882</v>
      </c>
      <c r="G338" s="15" t="s">
        <v>1883</v>
      </c>
      <c r="H338" s="4"/>
    </row>
    <row r="339" spans="1:8" ht="15.5">
      <c r="A339" s="8">
        <v>338</v>
      </c>
      <c r="B339" s="12" t="s">
        <v>1884</v>
      </c>
      <c r="C339" s="12" t="s">
        <v>831</v>
      </c>
      <c r="D339" s="12" t="s">
        <v>835</v>
      </c>
      <c r="E339" s="15" t="s">
        <v>1885</v>
      </c>
      <c r="F339" s="15" t="s">
        <v>1886</v>
      </c>
      <c r="G339" s="15" t="s">
        <v>1887</v>
      </c>
      <c r="H339" s="4"/>
    </row>
    <row r="340" spans="1:8" ht="15.5">
      <c r="A340" s="8">
        <v>339</v>
      </c>
      <c r="B340" s="12" t="s">
        <v>214</v>
      </c>
      <c r="C340" s="12" t="s">
        <v>858</v>
      </c>
      <c r="D340" s="12" t="s">
        <v>835</v>
      </c>
      <c r="E340" s="15" t="s">
        <v>1888</v>
      </c>
      <c r="F340" s="15" t="s">
        <v>1889</v>
      </c>
      <c r="G340" s="15" t="s">
        <v>1890</v>
      </c>
      <c r="H340" s="4"/>
    </row>
    <row r="341" spans="1:8" ht="15.5">
      <c r="A341" s="8">
        <v>340</v>
      </c>
      <c r="B341" s="12" t="s">
        <v>680</v>
      </c>
      <c r="C341" s="12" t="s">
        <v>822</v>
      </c>
      <c r="D341" s="12" t="s">
        <v>817</v>
      </c>
      <c r="E341" s="15" t="s">
        <v>1891</v>
      </c>
      <c r="F341" s="15" t="s">
        <v>1432</v>
      </c>
      <c r="G341" s="15"/>
      <c r="H341" s="4"/>
    </row>
    <row r="342" spans="1:8" ht="15.5">
      <c r="A342" s="8">
        <v>341</v>
      </c>
      <c r="B342" s="12" t="s">
        <v>297</v>
      </c>
      <c r="C342" s="12" t="s">
        <v>822</v>
      </c>
      <c r="D342" s="12" t="s">
        <v>835</v>
      </c>
      <c r="E342" s="15" t="s">
        <v>1892</v>
      </c>
      <c r="F342" s="15" t="s">
        <v>1893</v>
      </c>
      <c r="G342" s="15" t="s">
        <v>1854</v>
      </c>
      <c r="H342" s="4"/>
    </row>
    <row r="343" spans="1:8" ht="15.5">
      <c r="A343" s="8">
        <v>342</v>
      </c>
      <c r="B343" s="12" t="s">
        <v>448</v>
      </c>
      <c r="C343" s="12" t="s">
        <v>840</v>
      </c>
      <c r="D343" s="12" t="s">
        <v>817</v>
      </c>
      <c r="E343" s="15" t="s">
        <v>1894</v>
      </c>
      <c r="F343" s="15" t="s">
        <v>1895</v>
      </c>
      <c r="G343" s="15" t="s">
        <v>1671</v>
      </c>
      <c r="H343" s="4" t="s">
        <v>830</v>
      </c>
    </row>
    <row r="344" spans="1:8" ht="15.5">
      <c r="A344" s="8">
        <v>343</v>
      </c>
      <c r="B344" s="12" t="s">
        <v>1896</v>
      </c>
      <c r="C344" s="12" t="s">
        <v>1897</v>
      </c>
      <c r="D344" s="12" t="s">
        <v>835</v>
      </c>
      <c r="E344" s="15" t="s">
        <v>1850</v>
      </c>
      <c r="F344" s="15" t="s">
        <v>1898</v>
      </c>
      <c r="G344" s="15" t="s">
        <v>1899</v>
      </c>
      <c r="H344" s="4"/>
    </row>
    <row r="345" spans="1:8" ht="15.5">
      <c r="A345" s="8">
        <v>344</v>
      </c>
      <c r="B345" s="12" t="s">
        <v>616</v>
      </c>
      <c r="C345" s="12" t="s">
        <v>910</v>
      </c>
      <c r="D345" s="12" t="s">
        <v>835</v>
      </c>
      <c r="E345" s="15" t="s">
        <v>1900</v>
      </c>
      <c r="F345" s="15" t="s">
        <v>1901</v>
      </c>
      <c r="G345" s="15" t="s">
        <v>1746</v>
      </c>
      <c r="H345" s="4"/>
    </row>
    <row r="346" spans="1:8" ht="15.5">
      <c r="A346" s="8">
        <v>345</v>
      </c>
      <c r="B346" s="12" t="s">
        <v>281</v>
      </c>
      <c r="C346" s="12" t="s">
        <v>840</v>
      </c>
      <c r="D346" s="12" t="s">
        <v>817</v>
      </c>
      <c r="E346" s="15" t="s">
        <v>1902</v>
      </c>
      <c r="F346" s="15" t="s">
        <v>1903</v>
      </c>
      <c r="G346" s="15" t="s">
        <v>1749</v>
      </c>
      <c r="H346" s="4" t="s">
        <v>1498</v>
      </c>
    </row>
    <row r="347" spans="1:8" ht="15.5">
      <c r="A347" s="8">
        <v>346</v>
      </c>
      <c r="B347" s="12" t="s">
        <v>1904</v>
      </c>
      <c r="C347" s="12" t="s">
        <v>1905</v>
      </c>
      <c r="D347" s="12" t="s">
        <v>835</v>
      </c>
      <c r="E347" s="15" t="s">
        <v>1906</v>
      </c>
      <c r="F347" s="15" t="s">
        <v>1907</v>
      </c>
      <c r="G347" s="15" t="s">
        <v>1273</v>
      </c>
      <c r="H347" s="4"/>
    </row>
    <row r="348" spans="1:8" ht="15.5">
      <c r="A348" s="8">
        <v>347</v>
      </c>
      <c r="B348" s="12" t="s">
        <v>482</v>
      </c>
      <c r="C348" s="12" t="s">
        <v>1124</v>
      </c>
      <c r="D348" s="12" t="s">
        <v>817</v>
      </c>
      <c r="E348" s="15" t="s">
        <v>1908</v>
      </c>
      <c r="F348" s="15" t="s">
        <v>1909</v>
      </c>
      <c r="G348" s="15" t="s">
        <v>1910</v>
      </c>
      <c r="H348" s="4" t="s">
        <v>821</v>
      </c>
    </row>
    <row r="349" spans="1:8" ht="15.5">
      <c r="A349" s="8">
        <v>348</v>
      </c>
      <c r="B349" s="12" t="s">
        <v>1911</v>
      </c>
      <c r="C349" s="12" t="s">
        <v>979</v>
      </c>
      <c r="D349" s="12" t="s">
        <v>835</v>
      </c>
      <c r="E349" s="15" t="s">
        <v>1912</v>
      </c>
      <c r="F349" s="15" t="s">
        <v>1913</v>
      </c>
      <c r="G349" s="15" t="s">
        <v>1712</v>
      </c>
      <c r="H349" s="4"/>
    </row>
    <row r="350" spans="1:8" ht="15.5">
      <c r="A350" s="8">
        <v>349</v>
      </c>
      <c r="B350" s="12" t="s">
        <v>291</v>
      </c>
      <c r="C350" s="12" t="s">
        <v>934</v>
      </c>
      <c r="D350" s="12" t="s">
        <v>817</v>
      </c>
      <c r="E350" s="15" t="s">
        <v>1914</v>
      </c>
      <c r="F350" s="15" t="s">
        <v>1072</v>
      </c>
      <c r="G350" s="15" t="s">
        <v>1415</v>
      </c>
      <c r="H350" s="4" t="s">
        <v>938</v>
      </c>
    </row>
    <row r="351" spans="1:8" ht="15.5">
      <c r="A351" s="8">
        <v>350</v>
      </c>
      <c r="B351" s="12" t="s">
        <v>1915</v>
      </c>
      <c r="C351" s="12" t="s">
        <v>840</v>
      </c>
      <c r="D351" s="12" t="s">
        <v>835</v>
      </c>
      <c r="E351" s="15" t="s">
        <v>1916</v>
      </c>
      <c r="F351" s="15" t="s">
        <v>1917</v>
      </c>
      <c r="G351" s="15" t="s">
        <v>1918</v>
      </c>
    </row>
    <row r="352" spans="1:8" ht="15.5">
      <c r="A352" s="8">
        <v>351</v>
      </c>
      <c r="B352" s="12" t="s">
        <v>630</v>
      </c>
      <c r="C352" s="12" t="s">
        <v>926</v>
      </c>
      <c r="D352" s="12" t="s">
        <v>817</v>
      </c>
      <c r="E352" s="15" t="s">
        <v>1919</v>
      </c>
      <c r="F352" s="15" t="s">
        <v>1920</v>
      </c>
      <c r="G352" s="15" t="s">
        <v>1828</v>
      </c>
      <c r="H352" s="4" t="s">
        <v>1235</v>
      </c>
    </row>
    <row r="353" spans="1:8" ht="15.5">
      <c r="A353" s="8">
        <v>352</v>
      </c>
      <c r="B353" s="12" t="s">
        <v>575</v>
      </c>
      <c r="C353" s="12" t="s">
        <v>910</v>
      </c>
      <c r="D353" s="12" t="s">
        <v>817</v>
      </c>
      <c r="E353" s="15" t="s">
        <v>1921</v>
      </c>
      <c r="F353" s="15" t="s">
        <v>1922</v>
      </c>
      <c r="G353" s="15" t="s">
        <v>1859</v>
      </c>
      <c r="H353" s="4" t="s">
        <v>1498</v>
      </c>
    </row>
    <row r="354" spans="1:8" ht="15.5">
      <c r="A354" s="8">
        <v>353</v>
      </c>
      <c r="B354" s="12" t="s">
        <v>275</v>
      </c>
      <c r="C354" s="12" t="s">
        <v>1720</v>
      </c>
      <c r="D354" s="12" t="s">
        <v>835</v>
      </c>
      <c r="E354" s="15" t="s">
        <v>1923</v>
      </c>
      <c r="F354" s="15" t="s">
        <v>1924</v>
      </c>
      <c r="G354" s="15" t="s">
        <v>1652</v>
      </c>
      <c r="H354" s="4"/>
    </row>
    <row r="355" spans="1:8" ht="15.5">
      <c r="A355" s="8">
        <v>354</v>
      </c>
      <c r="B355" s="12" t="s">
        <v>1925</v>
      </c>
      <c r="C355" s="12" t="s">
        <v>816</v>
      </c>
      <c r="D355" s="12" t="s">
        <v>835</v>
      </c>
      <c r="E355" s="15" t="s">
        <v>1926</v>
      </c>
      <c r="F355" s="15" t="s">
        <v>1927</v>
      </c>
      <c r="G355" s="15" t="s">
        <v>1633</v>
      </c>
      <c r="H355" s="4"/>
    </row>
    <row r="356" spans="1:8" ht="15.5">
      <c r="A356" s="8">
        <v>355</v>
      </c>
      <c r="B356" s="12" t="s">
        <v>583</v>
      </c>
      <c r="C356" s="12" t="s">
        <v>822</v>
      </c>
      <c r="D356" s="12" t="s">
        <v>817</v>
      </c>
      <c r="E356" s="15" t="s">
        <v>1928</v>
      </c>
      <c r="F356" s="15" t="s">
        <v>1929</v>
      </c>
      <c r="G356" s="15" t="s">
        <v>1374</v>
      </c>
      <c r="H356" s="4" t="s">
        <v>920</v>
      </c>
    </row>
    <row r="357" spans="1:8" ht="15.5">
      <c r="A357" s="8">
        <v>356</v>
      </c>
      <c r="B357" s="12" t="s">
        <v>1930</v>
      </c>
      <c r="C357" s="12" t="s">
        <v>1082</v>
      </c>
      <c r="D357" s="12" t="s">
        <v>817</v>
      </c>
      <c r="E357" s="15" t="s">
        <v>1931</v>
      </c>
      <c r="F357" s="15" t="s">
        <v>1932</v>
      </c>
      <c r="G357" s="15" t="s">
        <v>1933</v>
      </c>
      <c r="H357" s="4" t="s">
        <v>920</v>
      </c>
    </row>
    <row r="358" spans="1:8" ht="15.5">
      <c r="A358" s="8">
        <v>357</v>
      </c>
      <c r="B358" s="12" t="s">
        <v>1934</v>
      </c>
      <c r="C358" s="12" t="s">
        <v>1199</v>
      </c>
      <c r="D358" s="12" t="s">
        <v>817</v>
      </c>
      <c r="E358" s="15" t="s">
        <v>1935</v>
      </c>
      <c r="F358" s="15" t="s">
        <v>1936</v>
      </c>
      <c r="G358" s="15" t="s">
        <v>1937</v>
      </c>
      <c r="H358" s="4"/>
    </row>
    <row r="359" spans="1:8" ht="15.5">
      <c r="A359" s="8">
        <v>358</v>
      </c>
      <c r="B359" s="12" t="s">
        <v>500</v>
      </c>
      <c r="C359" s="12" t="s">
        <v>939</v>
      </c>
      <c r="D359" s="12" t="s">
        <v>817</v>
      </c>
      <c r="E359" s="15" t="s">
        <v>1938</v>
      </c>
      <c r="F359" s="15" t="s">
        <v>1939</v>
      </c>
      <c r="G359" s="15" t="s">
        <v>1732</v>
      </c>
      <c r="H359" s="4" t="s">
        <v>920</v>
      </c>
    </row>
    <row r="360" spans="1:8" ht="15.5">
      <c r="A360" s="8">
        <v>359</v>
      </c>
      <c r="B360" s="12" t="s">
        <v>485</v>
      </c>
      <c r="C360" s="12" t="s">
        <v>979</v>
      </c>
      <c r="D360" s="12" t="s">
        <v>817</v>
      </c>
      <c r="E360" s="15" t="s">
        <v>1940</v>
      </c>
      <c r="F360" s="15" t="s">
        <v>1941</v>
      </c>
      <c r="G360" s="15" t="s">
        <v>1749</v>
      </c>
      <c r="H360" s="4" t="s">
        <v>920</v>
      </c>
    </row>
    <row r="361" spans="1:8" ht="15.5">
      <c r="A361" s="8">
        <v>360</v>
      </c>
      <c r="B361" s="12" t="s">
        <v>407</v>
      </c>
      <c r="C361" s="12" t="s">
        <v>822</v>
      </c>
      <c r="D361" s="12" t="s">
        <v>835</v>
      </c>
      <c r="E361" s="15" t="s">
        <v>1151</v>
      </c>
      <c r="F361" s="15" t="s">
        <v>1942</v>
      </c>
      <c r="G361" s="15" t="s">
        <v>1854</v>
      </c>
      <c r="H361" s="4"/>
    </row>
    <row r="362" spans="1:8" ht="15.5">
      <c r="A362" s="8">
        <v>361</v>
      </c>
      <c r="B362" s="12" t="s">
        <v>539</v>
      </c>
      <c r="C362" s="12" t="s">
        <v>844</v>
      </c>
      <c r="D362" s="12" t="s">
        <v>817</v>
      </c>
      <c r="E362" s="15" t="s">
        <v>1943</v>
      </c>
      <c r="F362" s="15" t="s">
        <v>1944</v>
      </c>
      <c r="G362" s="15" t="s">
        <v>1945</v>
      </c>
      <c r="H362" s="4" t="s">
        <v>1221</v>
      </c>
    </row>
    <row r="363" spans="1:8" ht="15.5">
      <c r="A363" s="8">
        <v>362</v>
      </c>
      <c r="B363" s="12" t="s">
        <v>567</v>
      </c>
      <c r="C363" s="12" t="s">
        <v>862</v>
      </c>
      <c r="D363" s="12" t="s">
        <v>835</v>
      </c>
      <c r="E363" s="15" t="s">
        <v>1946</v>
      </c>
      <c r="F363" s="15" t="s">
        <v>1947</v>
      </c>
      <c r="G363" s="15" t="s">
        <v>1173</v>
      </c>
      <c r="H363" s="4"/>
    </row>
    <row r="364" spans="1:8" ht="15.5">
      <c r="A364" s="8">
        <v>363</v>
      </c>
      <c r="B364" s="12" t="s">
        <v>623</v>
      </c>
      <c r="C364" s="12" t="s">
        <v>840</v>
      </c>
      <c r="D364" s="12" t="s">
        <v>817</v>
      </c>
      <c r="E364" s="15" t="s">
        <v>1948</v>
      </c>
      <c r="F364" s="15" t="s">
        <v>1949</v>
      </c>
      <c r="G364" s="15" t="s">
        <v>1332</v>
      </c>
      <c r="H364" s="4" t="s">
        <v>1336</v>
      </c>
    </row>
    <row r="365" spans="1:8" ht="15.5">
      <c r="A365" s="8">
        <v>364</v>
      </c>
      <c r="B365" s="12" t="s">
        <v>1950</v>
      </c>
      <c r="C365" s="12" t="s">
        <v>840</v>
      </c>
      <c r="D365" s="12" t="s">
        <v>817</v>
      </c>
      <c r="E365" s="15" t="s">
        <v>1951</v>
      </c>
      <c r="F365" s="15" t="s">
        <v>1952</v>
      </c>
      <c r="G365" s="15" t="s">
        <v>1953</v>
      </c>
      <c r="H365" s="4" t="s">
        <v>1336</v>
      </c>
    </row>
    <row r="366" spans="1:8" ht="15.5">
      <c r="A366" s="8">
        <v>365</v>
      </c>
      <c r="B366" s="12" t="s">
        <v>132</v>
      </c>
      <c r="C366" s="12" t="s">
        <v>939</v>
      </c>
      <c r="D366" s="12" t="s">
        <v>835</v>
      </c>
      <c r="E366" s="15" t="s">
        <v>1954</v>
      </c>
      <c r="F366" s="15" t="s">
        <v>1955</v>
      </c>
      <c r="G366" s="15" t="s">
        <v>1956</v>
      </c>
      <c r="H366" s="4"/>
    </row>
    <row r="367" spans="1:8" ht="15.5">
      <c r="A367" s="8">
        <v>366</v>
      </c>
      <c r="B367" s="12" t="s">
        <v>514</v>
      </c>
      <c r="C367" s="12" t="s">
        <v>943</v>
      </c>
      <c r="D367" s="12" t="s">
        <v>835</v>
      </c>
      <c r="E367" s="15" t="s">
        <v>1957</v>
      </c>
      <c r="F367" s="15" t="s">
        <v>1958</v>
      </c>
      <c r="G367" s="15" t="s">
        <v>1959</v>
      </c>
      <c r="H367" s="4"/>
    </row>
    <row r="368" spans="1:8" ht="15.5">
      <c r="A368" s="8">
        <v>367</v>
      </c>
      <c r="B368" s="12" t="s">
        <v>475</v>
      </c>
      <c r="C368" s="12" t="s">
        <v>939</v>
      </c>
      <c r="D368" s="12" t="s">
        <v>817</v>
      </c>
      <c r="E368" s="15" t="s">
        <v>1960</v>
      </c>
      <c r="F368" s="15" t="s">
        <v>1961</v>
      </c>
      <c r="G368" s="15" t="s">
        <v>1962</v>
      </c>
      <c r="H368" s="4" t="s">
        <v>938</v>
      </c>
    </row>
    <row r="369" spans="1:8" ht="15.5">
      <c r="A369" s="8">
        <v>368</v>
      </c>
      <c r="B369" s="12" t="s">
        <v>532</v>
      </c>
      <c r="C369" s="12" t="s">
        <v>922</v>
      </c>
      <c r="D369" s="12" t="s">
        <v>835</v>
      </c>
      <c r="E369" s="15" t="s">
        <v>1963</v>
      </c>
      <c r="F369" s="15" t="s">
        <v>1964</v>
      </c>
      <c r="G369" s="15" t="s">
        <v>1965</v>
      </c>
      <c r="H369" s="4"/>
    </row>
    <row r="370" spans="1:8" ht="15.5">
      <c r="A370" s="8">
        <v>369</v>
      </c>
      <c r="B370" s="12" t="s">
        <v>477</v>
      </c>
      <c r="C370" s="12" t="s">
        <v>822</v>
      </c>
      <c r="D370" s="12" t="s">
        <v>835</v>
      </c>
      <c r="E370" s="15" t="s">
        <v>1966</v>
      </c>
      <c r="F370" s="15" t="s">
        <v>1967</v>
      </c>
      <c r="G370" s="15" t="s">
        <v>1332</v>
      </c>
      <c r="H370" s="4"/>
    </row>
    <row r="371" spans="1:8" ht="15.5">
      <c r="A371" s="8">
        <v>370</v>
      </c>
      <c r="B371" s="12" t="s">
        <v>468</v>
      </c>
      <c r="C371" s="12" t="s">
        <v>816</v>
      </c>
      <c r="D371" s="12" t="s">
        <v>817</v>
      </c>
      <c r="E371" s="15" t="s">
        <v>1968</v>
      </c>
      <c r="F371" s="15" t="s">
        <v>1969</v>
      </c>
      <c r="G371" s="15" t="s">
        <v>1393</v>
      </c>
      <c r="H371" s="4" t="s">
        <v>1498</v>
      </c>
    </row>
    <row r="372" spans="1:8" ht="15.5">
      <c r="A372" s="8">
        <v>371</v>
      </c>
      <c r="B372" s="12" t="s">
        <v>155</v>
      </c>
      <c r="C372" s="12" t="s">
        <v>876</v>
      </c>
      <c r="D372" s="12" t="s">
        <v>835</v>
      </c>
      <c r="E372" s="15" t="s">
        <v>1970</v>
      </c>
      <c r="F372" s="15" t="s">
        <v>1971</v>
      </c>
      <c r="G372" s="15" t="s">
        <v>1139</v>
      </c>
      <c r="H372" s="4"/>
    </row>
    <row r="373" spans="1:8" ht="15.5">
      <c r="A373" s="8">
        <v>372</v>
      </c>
      <c r="B373" s="12" t="s">
        <v>447</v>
      </c>
      <c r="C373" s="12" t="s">
        <v>840</v>
      </c>
      <c r="D373" s="12" t="s">
        <v>817</v>
      </c>
      <c r="E373" s="15" t="s">
        <v>1972</v>
      </c>
      <c r="F373" s="15" t="s">
        <v>1973</v>
      </c>
      <c r="G373" s="15" t="s">
        <v>1974</v>
      </c>
      <c r="H373" s="4" t="s">
        <v>1336</v>
      </c>
    </row>
    <row r="374" spans="1:8" ht="15.5">
      <c r="A374" s="8">
        <v>373</v>
      </c>
      <c r="B374" s="12" t="s">
        <v>1975</v>
      </c>
      <c r="C374" s="12" t="s">
        <v>1082</v>
      </c>
      <c r="D374" s="12" t="s">
        <v>817</v>
      </c>
      <c r="E374" s="15" t="s">
        <v>1976</v>
      </c>
      <c r="F374" s="15" t="s">
        <v>1977</v>
      </c>
      <c r="G374" s="15" t="s">
        <v>1978</v>
      </c>
      <c r="H374" s="4" t="s">
        <v>1221</v>
      </c>
    </row>
    <row r="375" spans="1:8" ht="15.5">
      <c r="A375" s="8">
        <v>374</v>
      </c>
      <c r="B375" s="12" t="s">
        <v>428</v>
      </c>
      <c r="C375" s="12" t="s">
        <v>831</v>
      </c>
      <c r="D375" s="12" t="s">
        <v>835</v>
      </c>
      <c r="E375" s="15" t="s">
        <v>1979</v>
      </c>
      <c r="F375" s="15" t="s">
        <v>1980</v>
      </c>
      <c r="G375" s="15" t="s">
        <v>1448</v>
      </c>
      <c r="H375" s="4"/>
    </row>
    <row r="376" spans="1:8" ht="15.5">
      <c r="A376" s="8">
        <v>375</v>
      </c>
      <c r="B376" s="12" t="s">
        <v>531</v>
      </c>
      <c r="C376" s="12" t="s">
        <v>1000</v>
      </c>
      <c r="D376" s="12" t="s">
        <v>817</v>
      </c>
      <c r="E376" s="15" t="s">
        <v>1981</v>
      </c>
      <c r="F376" s="15" t="s">
        <v>1982</v>
      </c>
      <c r="G376" s="15" t="s">
        <v>1824</v>
      </c>
      <c r="H376" s="4" t="s">
        <v>1336</v>
      </c>
    </row>
    <row r="377" spans="1:8" ht="15.5">
      <c r="A377" s="8">
        <v>376</v>
      </c>
      <c r="B377" s="12" t="s">
        <v>318</v>
      </c>
      <c r="C377" s="12" t="s">
        <v>926</v>
      </c>
      <c r="D377" s="12" t="s">
        <v>835</v>
      </c>
      <c r="E377" s="15" t="s">
        <v>1983</v>
      </c>
      <c r="F377" s="15" t="s">
        <v>1984</v>
      </c>
      <c r="G377" s="15" t="s">
        <v>1985</v>
      </c>
      <c r="H377" s="4"/>
    </row>
    <row r="378" spans="1:8" ht="15.5">
      <c r="A378" s="8">
        <v>377</v>
      </c>
      <c r="B378" s="12" t="s">
        <v>1986</v>
      </c>
      <c r="C378" s="12" t="s">
        <v>1082</v>
      </c>
      <c r="D378" s="12" t="s">
        <v>835</v>
      </c>
      <c r="E378" s="15" t="s">
        <v>1987</v>
      </c>
      <c r="F378" s="15" t="s">
        <v>1823</v>
      </c>
      <c r="G378" s="15" t="s">
        <v>1146</v>
      </c>
      <c r="H378" s="4"/>
    </row>
    <row r="379" spans="1:8" ht="15.5">
      <c r="A379" s="8">
        <v>378</v>
      </c>
      <c r="B379" s="12" t="s">
        <v>1988</v>
      </c>
      <c r="C379" s="12" t="s">
        <v>822</v>
      </c>
      <c r="D379" s="12" t="s">
        <v>835</v>
      </c>
      <c r="E379" s="15" t="s">
        <v>1989</v>
      </c>
      <c r="F379" s="15" t="s">
        <v>1990</v>
      </c>
      <c r="G379" s="15" t="s">
        <v>1991</v>
      </c>
      <c r="H379" s="4"/>
    </row>
    <row r="380" spans="1:8" ht="15.5">
      <c r="A380" s="8">
        <v>379</v>
      </c>
      <c r="B380" s="12" t="s">
        <v>1992</v>
      </c>
      <c r="C380" s="12" t="s">
        <v>844</v>
      </c>
      <c r="D380" s="12" t="s">
        <v>817</v>
      </c>
      <c r="E380" s="15" t="s">
        <v>1993</v>
      </c>
      <c r="F380" s="15" t="s">
        <v>1994</v>
      </c>
      <c r="G380" s="15" t="s">
        <v>1995</v>
      </c>
      <c r="H380" s="4" t="s">
        <v>1336</v>
      </c>
    </row>
    <row r="381" spans="1:8" ht="15.5">
      <c r="A381" s="8">
        <v>380</v>
      </c>
      <c r="B381" s="12" t="s">
        <v>1996</v>
      </c>
      <c r="C381" s="12" t="s">
        <v>840</v>
      </c>
      <c r="D381" s="12" t="s">
        <v>817</v>
      </c>
      <c r="E381" s="15" t="s">
        <v>1997</v>
      </c>
      <c r="F381" s="15" t="s">
        <v>1998</v>
      </c>
      <c r="G381" s="15" t="s">
        <v>1999</v>
      </c>
      <c r="H381" s="4" t="s">
        <v>1336</v>
      </c>
    </row>
    <row r="382" spans="1:8" ht="15.5">
      <c r="A382" s="8">
        <v>381</v>
      </c>
      <c r="B382" s="12" t="s">
        <v>348</v>
      </c>
      <c r="C382" s="12" t="s">
        <v>2000</v>
      </c>
      <c r="D382" s="12" t="s">
        <v>835</v>
      </c>
      <c r="E382" s="15" t="s">
        <v>2001</v>
      </c>
      <c r="F382" s="15" t="s">
        <v>2002</v>
      </c>
      <c r="G382" s="15" t="s">
        <v>2003</v>
      </c>
      <c r="H382" s="4"/>
    </row>
    <row r="383" spans="1:8" ht="15.5">
      <c r="A383" s="8">
        <v>382</v>
      </c>
      <c r="B383" s="12" t="s">
        <v>2004</v>
      </c>
      <c r="C383" s="12" t="s">
        <v>840</v>
      </c>
      <c r="D383" s="12" t="s">
        <v>835</v>
      </c>
      <c r="E383" s="15" t="s">
        <v>1998</v>
      </c>
      <c r="F383" s="15" t="s">
        <v>2005</v>
      </c>
      <c r="G383" s="15" t="s">
        <v>2006</v>
      </c>
      <c r="H383" s="4"/>
    </row>
    <row r="384" spans="1:8" ht="15.5">
      <c r="A384" s="8">
        <v>383</v>
      </c>
      <c r="B384" s="12" t="s">
        <v>677</v>
      </c>
      <c r="C384" s="12" t="s">
        <v>1164</v>
      </c>
      <c r="D384" s="12" t="s">
        <v>817</v>
      </c>
      <c r="E384" s="15" t="s">
        <v>2007</v>
      </c>
      <c r="F384" s="15" t="s">
        <v>2008</v>
      </c>
      <c r="G384" s="15" t="s">
        <v>2009</v>
      </c>
      <c r="H384" s="4" t="s">
        <v>1235</v>
      </c>
    </row>
    <row r="385" spans="1:8" ht="15.5">
      <c r="A385" s="8">
        <v>384</v>
      </c>
      <c r="B385" s="12" t="s">
        <v>454</v>
      </c>
      <c r="C385" s="12" t="s">
        <v>851</v>
      </c>
      <c r="D385" s="12" t="s">
        <v>835</v>
      </c>
      <c r="E385" s="15" t="s">
        <v>2010</v>
      </c>
      <c r="F385" s="15" t="s">
        <v>2011</v>
      </c>
      <c r="G385" s="15" t="s">
        <v>2012</v>
      </c>
      <c r="H385" s="4"/>
    </row>
    <row r="386" spans="1:8" ht="15.5">
      <c r="A386" s="8">
        <v>385</v>
      </c>
      <c r="B386" s="12" t="s">
        <v>266</v>
      </c>
      <c r="C386" s="12" t="s">
        <v>827</v>
      </c>
      <c r="D386" s="12" t="s">
        <v>817</v>
      </c>
      <c r="E386" s="15" t="s">
        <v>2013</v>
      </c>
      <c r="F386" s="15" t="s">
        <v>2014</v>
      </c>
      <c r="G386" s="15" t="s">
        <v>2015</v>
      </c>
      <c r="H386" s="4" t="s">
        <v>1221</v>
      </c>
    </row>
    <row r="387" spans="1:8" ht="15.5">
      <c r="A387" s="8">
        <v>386</v>
      </c>
      <c r="B387" s="12" t="s">
        <v>300</v>
      </c>
      <c r="C387" s="12" t="s">
        <v>816</v>
      </c>
      <c r="D387" s="12" t="s">
        <v>835</v>
      </c>
      <c r="E387" s="15" t="s">
        <v>2016</v>
      </c>
      <c r="F387" s="15" t="s">
        <v>2017</v>
      </c>
      <c r="G387" s="15" t="s">
        <v>2018</v>
      </c>
      <c r="H387" s="4"/>
    </row>
    <row r="388" spans="1:8" ht="15.5">
      <c r="A388" s="8">
        <v>387</v>
      </c>
      <c r="B388" s="12" t="s">
        <v>542</v>
      </c>
      <c r="C388" s="12" t="s">
        <v>822</v>
      </c>
      <c r="D388" s="12" t="s">
        <v>817</v>
      </c>
      <c r="E388" s="15" t="s">
        <v>2019</v>
      </c>
      <c r="F388" s="15" t="s">
        <v>2020</v>
      </c>
      <c r="G388" s="15" t="s">
        <v>2021</v>
      </c>
      <c r="H388" s="4" t="s">
        <v>1498</v>
      </c>
    </row>
    <row r="389" spans="1:8" ht="15.5">
      <c r="A389" s="8">
        <v>388</v>
      </c>
      <c r="B389" s="12" t="s">
        <v>138</v>
      </c>
      <c r="C389" s="12" t="s">
        <v>1678</v>
      </c>
      <c r="D389" s="12" t="s">
        <v>835</v>
      </c>
      <c r="E389" s="15" t="s">
        <v>2022</v>
      </c>
      <c r="F389" s="15" t="s">
        <v>2023</v>
      </c>
      <c r="G389" s="15" t="s">
        <v>2024</v>
      </c>
      <c r="H389" s="4"/>
    </row>
    <row r="390" spans="1:8" ht="15.5">
      <c r="A390" s="8">
        <v>389</v>
      </c>
      <c r="B390" s="12" t="s">
        <v>593</v>
      </c>
      <c r="C390" s="12" t="s">
        <v>822</v>
      </c>
      <c r="D390" s="12" t="s">
        <v>817</v>
      </c>
      <c r="E390" s="15" t="s">
        <v>2025</v>
      </c>
      <c r="F390" s="15" t="s">
        <v>2026</v>
      </c>
      <c r="G390" s="15" t="s">
        <v>1473</v>
      </c>
      <c r="H390" s="4" t="s">
        <v>1221</v>
      </c>
    </row>
    <row r="391" spans="1:8" ht="15.5">
      <c r="A391" s="8">
        <v>390</v>
      </c>
      <c r="B391" s="12" t="s">
        <v>557</v>
      </c>
      <c r="C391" s="12" t="s">
        <v>1004</v>
      </c>
      <c r="D391" s="12" t="s">
        <v>817</v>
      </c>
      <c r="E391" s="15" t="s">
        <v>2027</v>
      </c>
      <c r="F391" s="15" t="s">
        <v>2028</v>
      </c>
      <c r="G391" s="15" t="s">
        <v>2029</v>
      </c>
      <c r="H391" s="4" t="s">
        <v>1498</v>
      </c>
    </row>
    <row r="392" spans="1:8" ht="15.5">
      <c r="A392" s="8">
        <v>391</v>
      </c>
      <c r="B392" s="12" t="s">
        <v>492</v>
      </c>
      <c r="C392" s="12" t="s">
        <v>1082</v>
      </c>
      <c r="D392" s="12" t="s">
        <v>817</v>
      </c>
      <c r="E392" s="15" t="s">
        <v>2030</v>
      </c>
      <c r="F392" s="15" t="s">
        <v>2031</v>
      </c>
      <c r="G392" s="15" t="s">
        <v>2032</v>
      </c>
      <c r="H392" s="4" t="s">
        <v>1221</v>
      </c>
    </row>
    <row r="393" spans="1:8" ht="15.5">
      <c r="A393" s="8">
        <v>392</v>
      </c>
      <c r="B393" s="12" t="s">
        <v>596</v>
      </c>
      <c r="C393" s="12" t="s">
        <v>844</v>
      </c>
      <c r="D393" s="12" t="s">
        <v>817</v>
      </c>
      <c r="E393" s="15" t="s">
        <v>2033</v>
      </c>
      <c r="F393" s="15" t="s">
        <v>2034</v>
      </c>
      <c r="G393" s="15" t="s">
        <v>2035</v>
      </c>
      <c r="H393" s="4" t="s">
        <v>1235</v>
      </c>
    </row>
    <row r="394" spans="1:8" ht="15.5">
      <c r="A394" s="8">
        <v>393</v>
      </c>
      <c r="B394" s="12" t="s">
        <v>578</v>
      </c>
      <c r="C394" s="12" t="s">
        <v>1236</v>
      </c>
      <c r="D394" s="12" t="s">
        <v>835</v>
      </c>
      <c r="E394" s="15" t="s">
        <v>2036</v>
      </c>
      <c r="F394" s="15" t="s">
        <v>2037</v>
      </c>
      <c r="G394" s="15" t="s">
        <v>2038</v>
      </c>
      <c r="H394" s="4"/>
    </row>
    <row r="395" spans="1:8" ht="15.5">
      <c r="A395" s="8">
        <v>394</v>
      </c>
      <c r="B395" s="12" t="s">
        <v>486</v>
      </c>
      <c r="C395" s="12" t="s">
        <v>858</v>
      </c>
      <c r="D395" s="12" t="s">
        <v>817</v>
      </c>
      <c r="E395" s="15" t="s">
        <v>2039</v>
      </c>
      <c r="F395" s="15" t="s">
        <v>2040</v>
      </c>
      <c r="G395" s="15" t="s">
        <v>1228</v>
      </c>
      <c r="H395" s="4" t="s">
        <v>938</v>
      </c>
    </row>
    <row r="396" spans="1:8" ht="15.5">
      <c r="A396" s="8">
        <v>395</v>
      </c>
      <c r="B396" s="12" t="s">
        <v>559</v>
      </c>
      <c r="C396" s="12" t="s">
        <v>822</v>
      </c>
      <c r="D396" s="12" t="s">
        <v>817</v>
      </c>
      <c r="E396" s="15" t="s">
        <v>2041</v>
      </c>
      <c r="F396" s="15" t="s">
        <v>2042</v>
      </c>
      <c r="G396" s="15" t="s">
        <v>2043</v>
      </c>
      <c r="H396" s="4" t="s">
        <v>1336</v>
      </c>
    </row>
    <row r="397" spans="1:8" ht="15.5">
      <c r="A397" s="8">
        <v>396</v>
      </c>
      <c r="B397" s="12" t="s">
        <v>626</v>
      </c>
      <c r="C397" s="12" t="s">
        <v>840</v>
      </c>
      <c r="D397" s="12" t="s">
        <v>817</v>
      </c>
      <c r="E397" s="15" t="s">
        <v>2044</v>
      </c>
      <c r="F397" s="15" t="s">
        <v>2045</v>
      </c>
      <c r="G397" s="15" t="s">
        <v>1890</v>
      </c>
      <c r="H397" s="4" t="s">
        <v>1498</v>
      </c>
    </row>
    <row r="398" spans="1:8" ht="15.5">
      <c r="A398" s="8">
        <v>397</v>
      </c>
      <c r="B398" s="12" t="s">
        <v>445</v>
      </c>
      <c r="C398" s="12" t="s">
        <v>910</v>
      </c>
      <c r="D398" s="12" t="s">
        <v>835</v>
      </c>
      <c r="E398" s="15" t="s">
        <v>2046</v>
      </c>
      <c r="F398" s="15" t="s">
        <v>2047</v>
      </c>
      <c r="G398" s="15" t="s">
        <v>2048</v>
      </c>
      <c r="H398" s="4"/>
    </row>
    <row r="399" spans="1:8" ht="15.5">
      <c r="A399" s="8">
        <v>398</v>
      </c>
      <c r="B399" s="12" t="s">
        <v>536</v>
      </c>
      <c r="C399" s="12" t="s">
        <v>1000</v>
      </c>
      <c r="D399" s="12" t="s">
        <v>835</v>
      </c>
      <c r="E399" s="15" t="s">
        <v>2049</v>
      </c>
      <c r="F399" s="15" t="s">
        <v>1525</v>
      </c>
      <c r="G399" s="15" t="s">
        <v>1455</v>
      </c>
      <c r="H399" s="4"/>
    </row>
    <row r="400" spans="1:8" ht="15.5">
      <c r="A400" s="8">
        <v>399</v>
      </c>
      <c r="B400" s="12" t="s">
        <v>503</v>
      </c>
      <c r="C400" s="12" t="s">
        <v>844</v>
      </c>
      <c r="D400" s="12" t="s">
        <v>817</v>
      </c>
      <c r="E400" s="15" t="s">
        <v>2050</v>
      </c>
      <c r="F400" s="15" t="s">
        <v>2051</v>
      </c>
      <c r="G400" s="15" t="s">
        <v>1146</v>
      </c>
      <c r="H400" s="4" t="s">
        <v>1336</v>
      </c>
    </row>
    <row r="401" spans="1:8" ht="15.5">
      <c r="A401" s="8">
        <v>400</v>
      </c>
      <c r="B401" s="12" t="s">
        <v>456</v>
      </c>
      <c r="C401" s="12" t="s">
        <v>1303</v>
      </c>
      <c r="D401" s="12" t="s">
        <v>817</v>
      </c>
      <c r="E401" s="15" t="s">
        <v>2052</v>
      </c>
      <c r="F401" s="15" t="s">
        <v>2053</v>
      </c>
      <c r="G401" s="15" t="s">
        <v>2054</v>
      </c>
      <c r="H401" s="4" t="s">
        <v>1336</v>
      </c>
    </row>
    <row r="402" spans="1:8" ht="15.5">
      <c r="A402" s="8">
        <v>401</v>
      </c>
      <c r="B402" s="12" t="s">
        <v>570</v>
      </c>
      <c r="C402" s="12" t="s">
        <v>840</v>
      </c>
      <c r="D402" s="12" t="s">
        <v>835</v>
      </c>
      <c r="E402" s="15" t="s">
        <v>2055</v>
      </c>
      <c r="F402" s="15" t="s">
        <v>1525</v>
      </c>
      <c r="G402" s="15" t="s">
        <v>1660</v>
      </c>
      <c r="H402" s="4"/>
    </row>
    <row r="403" spans="1:8" ht="15.5">
      <c r="A403" s="8">
        <v>402</v>
      </c>
      <c r="B403" s="12" t="s">
        <v>2056</v>
      </c>
      <c r="C403" s="12" t="s">
        <v>840</v>
      </c>
      <c r="D403" s="12" t="s">
        <v>835</v>
      </c>
      <c r="E403" s="15" t="s">
        <v>2057</v>
      </c>
      <c r="F403" s="15" t="s">
        <v>2058</v>
      </c>
      <c r="G403" s="15" t="s">
        <v>2032</v>
      </c>
      <c r="H403" s="4"/>
    </row>
    <row r="404" spans="1:8" ht="15.5">
      <c r="A404" s="8">
        <v>403</v>
      </c>
      <c r="B404" s="12" t="s">
        <v>610</v>
      </c>
      <c r="C404" s="12" t="s">
        <v>1236</v>
      </c>
      <c r="D404" s="12" t="s">
        <v>817</v>
      </c>
      <c r="E404" s="15" t="s">
        <v>2059</v>
      </c>
      <c r="F404" s="15" t="s">
        <v>2060</v>
      </c>
      <c r="G404" s="15" t="s">
        <v>1890</v>
      </c>
      <c r="H404" s="4" t="s">
        <v>1336</v>
      </c>
    </row>
    <row r="405" spans="1:8" ht="15.5">
      <c r="A405" s="8">
        <v>404</v>
      </c>
      <c r="B405" s="12" t="s">
        <v>239</v>
      </c>
      <c r="C405" s="12" t="s">
        <v>872</v>
      </c>
      <c r="D405" s="12" t="s">
        <v>835</v>
      </c>
      <c r="E405" s="15" t="s">
        <v>2061</v>
      </c>
      <c r="F405" s="15" t="s">
        <v>2062</v>
      </c>
      <c r="G405" s="15" t="s">
        <v>2063</v>
      </c>
      <c r="H405" s="4"/>
    </row>
    <row r="406" spans="1:8" ht="15.5">
      <c r="A406" s="8">
        <v>405</v>
      </c>
      <c r="B406" s="12" t="s">
        <v>470</v>
      </c>
      <c r="C406" s="12" t="s">
        <v>831</v>
      </c>
      <c r="D406" s="12" t="s">
        <v>817</v>
      </c>
      <c r="E406" s="15" t="s">
        <v>2064</v>
      </c>
      <c r="F406" s="15" t="s">
        <v>2065</v>
      </c>
      <c r="G406" s="15" t="s">
        <v>1438</v>
      </c>
      <c r="H406" s="4" t="s">
        <v>1336</v>
      </c>
    </row>
    <row r="407" spans="1:8" ht="15.5">
      <c r="A407" s="8">
        <v>406</v>
      </c>
      <c r="B407" s="12" t="s">
        <v>640</v>
      </c>
      <c r="C407" s="12" t="s">
        <v>943</v>
      </c>
      <c r="D407" s="12" t="s">
        <v>817</v>
      </c>
      <c r="E407" s="15" t="s">
        <v>2066</v>
      </c>
      <c r="F407" s="15" t="s">
        <v>2067</v>
      </c>
      <c r="G407" s="15" t="s">
        <v>1234</v>
      </c>
      <c r="H407" s="4" t="s">
        <v>920</v>
      </c>
    </row>
    <row r="408" spans="1:8" ht="15.5">
      <c r="A408" s="8">
        <v>407</v>
      </c>
      <c r="B408" s="12" t="s">
        <v>2068</v>
      </c>
      <c r="C408" s="12" t="s">
        <v>872</v>
      </c>
      <c r="D408" s="12" t="s">
        <v>835</v>
      </c>
      <c r="E408" s="15" t="s">
        <v>2069</v>
      </c>
      <c r="F408" s="15" t="s">
        <v>2070</v>
      </c>
      <c r="G408" s="15" t="s">
        <v>2071</v>
      </c>
      <c r="H408" s="4"/>
    </row>
    <row r="409" spans="1:8" ht="15.5">
      <c r="A409" s="8">
        <v>408</v>
      </c>
      <c r="B409" s="12" t="s">
        <v>324</v>
      </c>
      <c r="C409" s="12" t="s">
        <v>922</v>
      </c>
      <c r="D409" s="12" t="s">
        <v>835</v>
      </c>
      <c r="E409" s="15" t="s">
        <v>2072</v>
      </c>
      <c r="F409" s="15" t="s">
        <v>2073</v>
      </c>
      <c r="G409" s="15" t="s">
        <v>2074</v>
      </c>
      <c r="H409" s="4"/>
    </row>
    <row r="410" spans="1:8" ht="15.5">
      <c r="A410" s="8">
        <v>409</v>
      </c>
      <c r="B410" s="12" t="s">
        <v>2075</v>
      </c>
      <c r="C410" s="12" t="s">
        <v>816</v>
      </c>
      <c r="D410" s="12" t="s">
        <v>835</v>
      </c>
      <c r="E410" s="15" t="s">
        <v>1315</v>
      </c>
      <c r="F410" s="15" t="s">
        <v>2076</v>
      </c>
      <c r="G410" s="15" t="s">
        <v>2077</v>
      </c>
      <c r="H410" s="4"/>
    </row>
    <row r="411" spans="1:8" ht="15.5">
      <c r="A411" s="8">
        <v>410</v>
      </c>
      <c r="B411" s="12" t="s">
        <v>572</v>
      </c>
      <c r="C411" s="12" t="s">
        <v>2000</v>
      </c>
      <c r="D411" s="12" t="s">
        <v>835</v>
      </c>
      <c r="E411" s="15" t="s">
        <v>2078</v>
      </c>
      <c r="F411" s="15" t="s">
        <v>2079</v>
      </c>
      <c r="G411" s="15" t="s">
        <v>2080</v>
      </c>
      <c r="H411" s="4"/>
    </row>
    <row r="412" spans="1:8" ht="15.5">
      <c r="A412" s="8">
        <v>411</v>
      </c>
      <c r="B412" s="12" t="s">
        <v>457</v>
      </c>
      <c r="C412" s="12" t="s">
        <v>1000</v>
      </c>
      <c r="D412" s="12" t="s">
        <v>835</v>
      </c>
      <c r="E412" s="15" t="s">
        <v>2081</v>
      </c>
      <c r="F412" s="15" t="s">
        <v>2082</v>
      </c>
      <c r="G412" s="15" t="s">
        <v>1652</v>
      </c>
      <c r="H412" s="4"/>
    </row>
    <row r="413" spans="1:8" ht="15.5">
      <c r="A413" s="8">
        <v>412</v>
      </c>
      <c r="B413" s="12" t="s">
        <v>595</v>
      </c>
      <c r="C413" s="12" t="s">
        <v>840</v>
      </c>
      <c r="D413" s="12" t="s">
        <v>817</v>
      </c>
      <c r="E413" s="15" t="s">
        <v>2083</v>
      </c>
      <c r="F413" s="15" t="s">
        <v>2084</v>
      </c>
      <c r="G413" s="15" t="s">
        <v>1887</v>
      </c>
      <c r="H413" s="4" t="s">
        <v>1498</v>
      </c>
    </row>
    <row r="414" spans="1:8" ht="15.5">
      <c r="A414" s="8">
        <v>413</v>
      </c>
      <c r="B414" s="12" t="s">
        <v>674</v>
      </c>
      <c r="C414" s="12" t="s">
        <v>906</v>
      </c>
      <c r="D414" s="12" t="s">
        <v>835</v>
      </c>
      <c r="E414" s="15" t="s">
        <v>2085</v>
      </c>
      <c r="F414" s="15" t="s">
        <v>2086</v>
      </c>
      <c r="G414" s="15" t="s">
        <v>2087</v>
      </c>
      <c r="H414" s="4"/>
    </row>
    <row r="415" spans="1:8" ht="15.5">
      <c r="A415" s="8">
        <v>414</v>
      </c>
      <c r="B415" s="12" t="s">
        <v>420</v>
      </c>
      <c r="C415" s="12" t="s">
        <v>827</v>
      </c>
      <c r="D415" s="12" t="s">
        <v>817</v>
      </c>
      <c r="E415" s="15" t="s">
        <v>2088</v>
      </c>
      <c r="F415" s="15" t="s">
        <v>2089</v>
      </c>
      <c r="G415" s="15" t="s">
        <v>1704</v>
      </c>
      <c r="H415" s="4" t="s">
        <v>1336</v>
      </c>
    </row>
    <row r="416" spans="1:8" ht="15.5">
      <c r="A416" s="8">
        <v>415</v>
      </c>
      <c r="B416" s="12" t="s">
        <v>472</v>
      </c>
      <c r="C416" s="12" t="s">
        <v>979</v>
      </c>
      <c r="D416" s="12" t="s">
        <v>817</v>
      </c>
      <c r="E416" s="15" t="s">
        <v>2090</v>
      </c>
      <c r="F416" s="15" t="s">
        <v>2091</v>
      </c>
      <c r="G416" s="15" t="s">
        <v>1773</v>
      </c>
      <c r="H416" s="4" t="s">
        <v>1336</v>
      </c>
    </row>
    <row r="417" spans="1:8" ht="15.5">
      <c r="A417" s="8">
        <v>416</v>
      </c>
      <c r="B417" s="12" t="s">
        <v>545</v>
      </c>
      <c r="C417" s="12" t="s">
        <v>862</v>
      </c>
      <c r="D417" s="12" t="s">
        <v>817</v>
      </c>
      <c r="E417" s="15" t="s">
        <v>2092</v>
      </c>
      <c r="F417" s="15" t="s">
        <v>2093</v>
      </c>
      <c r="G417" s="15" t="s">
        <v>2094</v>
      </c>
      <c r="H417" s="4" t="s">
        <v>1235</v>
      </c>
    </row>
    <row r="418" spans="1:8" ht="15.5">
      <c r="A418" s="8">
        <v>417</v>
      </c>
      <c r="B418" s="12" t="s">
        <v>2095</v>
      </c>
      <c r="C418" s="12" t="s">
        <v>1124</v>
      </c>
      <c r="D418" s="12" t="s">
        <v>817</v>
      </c>
      <c r="E418" s="15" t="s">
        <v>2096</v>
      </c>
      <c r="F418" s="15" t="s">
        <v>2097</v>
      </c>
      <c r="G418" s="15" t="s">
        <v>2098</v>
      </c>
      <c r="H418" s="4" t="s">
        <v>920</v>
      </c>
    </row>
    <row r="419" spans="1:8" ht="15.5">
      <c r="A419" s="8">
        <v>418</v>
      </c>
      <c r="B419" s="12" t="s">
        <v>219</v>
      </c>
      <c r="C419" s="12" t="s">
        <v>1678</v>
      </c>
      <c r="D419" s="12" t="s">
        <v>835</v>
      </c>
      <c r="E419" s="15" t="s">
        <v>1684</v>
      </c>
      <c r="F419" s="15" t="s">
        <v>2099</v>
      </c>
      <c r="G419" s="15" t="s">
        <v>2100</v>
      </c>
      <c r="H419" s="4"/>
    </row>
    <row r="420" spans="1:8" ht="15.5">
      <c r="A420" s="8">
        <v>419</v>
      </c>
      <c r="B420" s="12" t="s">
        <v>2101</v>
      </c>
      <c r="C420" s="12" t="s">
        <v>1897</v>
      </c>
      <c r="D420" s="12" t="s">
        <v>835</v>
      </c>
      <c r="E420" s="15" t="s">
        <v>2102</v>
      </c>
      <c r="F420" s="15" t="s">
        <v>2103</v>
      </c>
      <c r="G420" s="15" t="s">
        <v>1119</v>
      </c>
      <c r="H420" s="4"/>
    </row>
    <row r="421" spans="1:8" ht="15.5">
      <c r="A421" s="8">
        <v>420</v>
      </c>
      <c r="B421" s="12" t="s">
        <v>388</v>
      </c>
      <c r="C421" s="12" t="s">
        <v>910</v>
      </c>
      <c r="D421" s="12" t="s">
        <v>817</v>
      </c>
      <c r="E421" s="15" t="s">
        <v>2104</v>
      </c>
      <c r="F421" s="15" t="s">
        <v>2105</v>
      </c>
      <c r="G421" s="15" t="s">
        <v>2106</v>
      </c>
      <c r="H421" s="4" t="s">
        <v>1336</v>
      </c>
    </row>
    <row r="422" spans="1:8" ht="15.5">
      <c r="A422" s="8">
        <v>421</v>
      </c>
      <c r="B422" s="12" t="s">
        <v>350</v>
      </c>
      <c r="C422" s="12" t="s">
        <v>851</v>
      </c>
      <c r="D422" s="12" t="s">
        <v>835</v>
      </c>
      <c r="E422" s="15" t="s">
        <v>2107</v>
      </c>
      <c r="F422" s="15" t="s">
        <v>2108</v>
      </c>
      <c r="G422" s="15" t="s">
        <v>1497</v>
      </c>
      <c r="H422" s="4"/>
    </row>
    <row r="423" spans="1:8" ht="15.5">
      <c r="A423" s="8">
        <v>422</v>
      </c>
      <c r="B423" s="12" t="s">
        <v>621</v>
      </c>
      <c r="C423" s="12" t="s">
        <v>827</v>
      </c>
      <c r="D423" s="12" t="s">
        <v>817</v>
      </c>
      <c r="E423" s="15" t="s">
        <v>2109</v>
      </c>
      <c r="F423" s="15" t="s">
        <v>2110</v>
      </c>
      <c r="G423" s="15" t="s">
        <v>2111</v>
      </c>
      <c r="H423" s="4" t="s">
        <v>920</v>
      </c>
    </row>
    <row r="424" spans="1:8" ht="15.5">
      <c r="A424" s="8">
        <v>423</v>
      </c>
      <c r="B424" s="12" t="s">
        <v>330</v>
      </c>
      <c r="C424" s="12" t="s">
        <v>922</v>
      </c>
      <c r="D424" s="12" t="s">
        <v>835</v>
      </c>
      <c r="E424" s="15" t="s">
        <v>2112</v>
      </c>
      <c r="F424" s="15" t="s">
        <v>2113</v>
      </c>
      <c r="G424" s="15" t="s">
        <v>2114</v>
      </c>
      <c r="H424" s="4"/>
    </row>
    <row r="425" spans="1:8" ht="15.5">
      <c r="A425" s="8">
        <v>424</v>
      </c>
      <c r="B425" s="12" t="s">
        <v>509</v>
      </c>
      <c r="C425" s="12" t="s">
        <v>816</v>
      </c>
      <c r="D425" s="12" t="s">
        <v>835</v>
      </c>
      <c r="E425" s="15" t="s">
        <v>2115</v>
      </c>
      <c r="F425" s="15" t="s">
        <v>2116</v>
      </c>
      <c r="G425" s="15" t="s">
        <v>2117</v>
      </c>
      <c r="H425" s="4"/>
    </row>
    <row r="426" spans="1:8" ht="15.5">
      <c r="A426" s="8">
        <v>425</v>
      </c>
      <c r="B426" s="12" t="s">
        <v>323</v>
      </c>
      <c r="C426" s="12" t="s">
        <v>822</v>
      </c>
      <c r="D426" s="12" t="s">
        <v>835</v>
      </c>
      <c r="E426" s="15" t="s">
        <v>2118</v>
      </c>
      <c r="F426" s="15" t="s">
        <v>2119</v>
      </c>
      <c r="G426" s="15" t="s">
        <v>2120</v>
      </c>
      <c r="H426" s="4"/>
    </row>
    <row r="427" spans="1:8" ht="15.5">
      <c r="A427" s="8">
        <v>426</v>
      </c>
      <c r="B427" s="12" t="s">
        <v>331</v>
      </c>
      <c r="C427" s="12" t="s">
        <v>816</v>
      </c>
      <c r="D427" s="12" t="s">
        <v>835</v>
      </c>
      <c r="E427" s="15" t="s">
        <v>2121</v>
      </c>
      <c r="F427" s="15" t="s">
        <v>2122</v>
      </c>
      <c r="G427" s="15" t="s">
        <v>2123</v>
      </c>
      <c r="H427" s="4"/>
    </row>
    <row r="428" spans="1:8" ht="15.5">
      <c r="A428" s="8">
        <v>427</v>
      </c>
      <c r="B428" s="12" t="s">
        <v>2124</v>
      </c>
      <c r="C428" s="12" t="s">
        <v>1082</v>
      </c>
      <c r="D428" s="12" t="s">
        <v>835</v>
      </c>
      <c r="E428" s="15" t="s">
        <v>2125</v>
      </c>
      <c r="F428" s="15" t="s">
        <v>2126</v>
      </c>
      <c r="G428" s="15" t="s">
        <v>1746</v>
      </c>
      <c r="H428" s="4"/>
    </row>
    <row r="429" spans="1:8" ht="15.5">
      <c r="A429" s="8">
        <v>428</v>
      </c>
      <c r="B429" s="12" t="s">
        <v>2127</v>
      </c>
      <c r="C429" s="12" t="s">
        <v>872</v>
      </c>
      <c r="D429" s="12" t="s">
        <v>835</v>
      </c>
      <c r="E429" s="15" t="s">
        <v>2128</v>
      </c>
      <c r="F429" s="15" t="s">
        <v>2129</v>
      </c>
      <c r="G429" s="15" t="s">
        <v>2130</v>
      </c>
      <c r="H429" s="4"/>
    </row>
    <row r="430" spans="1:8" ht="15.5">
      <c r="A430" s="8">
        <v>428</v>
      </c>
      <c r="B430" s="12" t="s">
        <v>588</v>
      </c>
      <c r="C430" s="12" t="s">
        <v>851</v>
      </c>
      <c r="D430" s="12" t="s">
        <v>817</v>
      </c>
      <c r="E430" s="15" t="s">
        <v>2131</v>
      </c>
      <c r="F430" s="15" t="s">
        <v>2132</v>
      </c>
      <c r="G430" s="15" t="s">
        <v>2133</v>
      </c>
      <c r="H430" s="4" t="s">
        <v>1336</v>
      </c>
    </row>
    <row r="431" spans="1:8" ht="15.5">
      <c r="A431" s="8">
        <v>430</v>
      </c>
      <c r="B431" s="12" t="s">
        <v>660</v>
      </c>
      <c r="C431" s="12" t="s">
        <v>844</v>
      </c>
      <c r="D431" s="12" t="s">
        <v>817</v>
      </c>
      <c r="E431" s="15" t="s">
        <v>2134</v>
      </c>
      <c r="F431" s="15" t="s">
        <v>2135</v>
      </c>
      <c r="G431" s="15" t="s">
        <v>1854</v>
      </c>
      <c r="H431" s="4" t="s">
        <v>1235</v>
      </c>
    </row>
    <row r="432" spans="1:8" ht="15.5">
      <c r="A432" s="8">
        <v>431</v>
      </c>
      <c r="B432" s="12" t="s">
        <v>465</v>
      </c>
      <c r="C432" s="12" t="s">
        <v>840</v>
      </c>
      <c r="D432" s="12" t="s">
        <v>817</v>
      </c>
      <c r="E432" s="15" t="s">
        <v>2136</v>
      </c>
      <c r="F432" s="15" t="s">
        <v>2137</v>
      </c>
      <c r="G432" s="15" t="s">
        <v>2138</v>
      </c>
      <c r="H432" s="4" t="s">
        <v>1336</v>
      </c>
    </row>
    <row r="433" spans="1:8" ht="15.5">
      <c r="A433" s="8">
        <v>432</v>
      </c>
      <c r="B433" s="12" t="s">
        <v>648</v>
      </c>
      <c r="C433" s="12" t="s">
        <v>1104</v>
      </c>
      <c r="D433" s="12" t="s">
        <v>817</v>
      </c>
      <c r="E433" s="15" t="s">
        <v>2139</v>
      </c>
      <c r="F433" s="15" t="s">
        <v>2140</v>
      </c>
      <c r="G433" s="15" t="s">
        <v>2141</v>
      </c>
      <c r="H433" s="4" t="s">
        <v>920</v>
      </c>
    </row>
    <row r="434" spans="1:8" ht="15.5">
      <c r="A434" s="8">
        <v>433</v>
      </c>
      <c r="B434" s="12" t="s">
        <v>685</v>
      </c>
      <c r="C434" s="12" t="s">
        <v>827</v>
      </c>
      <c r="D434" s="12" t="s">
        <v>817</v>
      </c>
      <c r="E434" s="15" t="s">
        <v>2142</v>
      </c>
      <c r="F434" s="15" t="s">
        <v>2143</v>
      </c>
      <c r="G434" s="15" t="s">
        <v>1712</v>
      </c>
      <c r="H434" s="4" t="s">
        <v>1498</v>
      </c>
    </row>
    <row r="435" spans="1:8" ht="15.5">
      <c r="A435" s="8">
        <v>434</v>
      </c>
      <c r="B435" s="12" t="s">
        <v>2144</v>
      </c>
      <c r="C435" s="12" t="s">
        <v>889</v>
      </c>
      <c r="D435" s="12" t="s">
        <v>835</v>
      </c>
      <c r="E435" s="15" t="s">
        <v>2145</v>
      </c>
      <c r="F435" s="15" t="s">
        <v>2146</v>
      </c>
      <c r="G435" s="15" t="s">
        <v>1361</v>
      </c>
      <c r="H435" s="4"/>
    </row>
    <row r="436" spans="1:8" ht="15.5">
      <c r="A436" s="8">
        <v>435</v>
      </c>
      <c r="B436" s="12" t="s">
        <v>2147</v>
      </c>
      <c r="C436" s="12" t="s">
        <v>910</v>
      </c>
      <c r="D436" s="12" t="s">
        <v>835</v>
      </c>
      <c r="E436" s="15" t="s">
        <v>2148</v>
      </c>
      <c r="F436" s="15" t="s">
        <v>2149</v>
      </c>
      <c r="G436" s="15"/>
      <c r="H436" s="4"/>
    </row>
    <row r="437" spans="1:8" ht="15.5">
      <c r="A437" s="8">
        <v>436</v>
      </c>
      <c r="B437" s="12" t="s">
        <v>2150</v>
      </c>
      <c r="C437" s="12" t="s">
        <v>840</v>
      </c>
      <c r="D437" s="12" t="s">
        <v>835</v>
      </c>
      <c r="E437" s="15" t="s">
        <v>2151</v>
      </c>
      <c r="F437" s="15" t="s">
        <v>2152</v>
      </c>
      <c r="G437" s="15" t="s">
        <v>1398</v>
      </c>
      <c r="H437" s="4"/>
    </row>
    <row r="438" spans="1:8" ht="15.5">
      <c r="A438" s="8">
        <v>437</v>
      </c>
      <c r="B438" s="12" t="s">
        <v>530</v>
      </c>
      <c r="C438" s="12" t="s">
        <v>851</v>
      </c>
      <c r="D438" s="12" t="s">
        <v>817</v>
      </c>
      <c r="E438" s="15" t="s">
        <v>2153</v>
      </c>
      <c r="F438" s="15" t="s">
        <v>2154</v>
      </c>
      <c r="G438" s="15" t="s">
        <v>2155</v>
      </c>
      <c r="H438" s="4" t="s">
        <v>1498</v>
      </c>
    </row>
    <row r="439" spans="1:8" ht="15.5">
      <c r="A439" s="8">
        <v>438</v>
      </c>
      <c r="B439" s="12" t="s">
        <v>679</v>
      </c>
      <c r="C439" s="12" t="s">
        <v>827</v>
      </c>
      <c r="D439" s="12" t="s">
        <v>835</v>
      </c>
      <c r="E439" s="15" t="s">
        <v>2156</v>
      </c>
      <c r="F439" s="15" t="s">
        <v>2157</v>
      </c>
      <c r="G439" s="15" t="s">
        <v>1324</v>
      </c>
      <c r="H439" s="4"/>
    </row>
    <row r="440" spans="1:8" ht="15.5">
      <c r="A440" s="8">
        <v>439</v>
      </c>
      <c r="B440" s="12" t="s">
        <v>2158</v>
      </c>
      <c r="C440" s="12" t="s">
        <v>840</v>
      </c>
      <c r="D440" s="12" t="s">
        <v>835</v>
      </c>
      <c r="E440" s="15" t="s">
        <v>2159</v>
      </c>
      <c r="F440" s="15" t="s">
        <v>2160</v>
      </c>
      <c r="G440" s="15" t="s">
        <v>1608</v>
      </c>
      <c r="H440" s="4"/>
    </row>
    <row r="441" spans="1:8" ht="15.5">
      <c r="A441" s="8">
        <v>440</v>
      </c>
      <c r="B441" s="12" t="s">
        <v>392</v>
      </c>
      <c r="C441" s="12" t="s">
        <v>1236</v>
      </c>
      <c r="D441" s="12" t="s">
        <v>817</v>
      </c>
      <c r="E441" s="15" t="s">
        <v>2161</v>
      </c>
      <c r="F441" s="15" t="s">
        <v>2162</v>
      </c>
      <c r="G441" s="15" t="s">
        <v>1387</v>
      </c>
      <c r="H441" s="4" t="s">
        <v>1221</v>
      </c>
    </row>
    <row r="442" spans="1:8" ht="15.5">
      <c r="A442" s="8">
        <v>441</v>
      </c>
      <c r="B442" s="12" t="s">
        <v>2163</v>
      </c>
      <c r="C442" s="12" t="s">
        <v>926</v>
      </c>
      <c r="D442" s="12" t="s">
        <v>835</v>
      </c>
      <c r="E442" s="15" t="s">
        <v>2164</v>
      </c>
      <c r="F442" s="15" t="s">
        <v>2165</v>
      </c>
      <c r="G442" s="15" t="s">
        <v>2166</v>
      </c>
      <c r="H442" s="4"/>
    </row>
    <row r="443" spans="1:8" ht="15.5">
      <c r="A443" s="8">
        <v>442</v>
      </c>
      <c r="B443" s="12" t="s">
        <v>2167</v>
      </c>
      <c r="C443" s="12" t="s">
        <v>851</v>
      </c>
      <c r="D443" s="12" t="s">
        <v>817</v>
      </c>
      <c r="E443" s="15" t="s">
        <v>2168</v>
      </c>
      <c r="F443" s="15" t="s">
        <v>2169</v>
      </c>
      <c r="G443" s="15" t="s">
        <v>1735</v>
      </c>
      <c r="H443" s="4" t="s">
        <v>1336</v>
      </c>
    </row>
    <row r="444" spans="1:8" ht="15.5">
      <c r="A444" s="8">
        <v>443</v>
      </c>
      <c r="B444" s="12" t="s">
        <v>251</v>
      </c>
      <c r="C444" s="12" t="s">
        <v>840</v>
      </c>
      <c r="D444" s="12" t="s">
        <v>817</v>
      </c>
      <c r="E444" s="15" t="s">
        <v>2170</v>
      </c>
      <c r="F444" s="15" t="s">
        <v>2171</v>
      </c>
      <c r="G444" s="15" t="s">
        <v>1788</v>
      </c>
      <c r="H444" s="4" t="s">
        <v>1221</v>
      </c>
    </row>
    <row r="445" spans="1:8" ht="15.5">
      <c r="A445" s="8">
        <v>444</v>
      </c>
      <c r="B445" s="12" t="s">
        <v>2172</v>
      </c>
      <c r="C445" s="12" t="s">
        <v>1000</v>
      </c>
      <c r="D445" s="12" t="s">
        <v>835</v>
      </c>
      <c r="E445" s="15" t="s">
        <v>2173</v>
      </c>
      <c r="F445" s="15" t="s">
        <v>2174</v>
      </c>
      <c r="G445" s="15" t="s">
        <v>1766</v>
      </c>
      <c r="H445" s="4"/>
    </row>
    <row r="446" spans="1:8" ht="15.5">
      <c r="A446" s="8">
        <v>445</v>
      </c>
      <c r="B446" s="12" t="s">
        <v>513</v>
      </c>
      <c r="C446" s="12" t="s">
        <v>862</v>
      </c>
      <c r="D446" s="12" t="s">
        <v>817</v>
      </c>
      <c r="E446" s="15" t="s">
        <v>2175</v>
      </c>
      <c r="F446" s="15" t="s">
        <v>2176</v>
      </c>
      <c r="G446" s="15" t="s">
        <v>1770</v>
      </c>
      <c r="H446" s="4" t="s">
        <v>1221</v>
      </c>
    </row>
    <row r="447" spans="1:8" ht="15.5">
      <c r="A447" s="8">
        <v>446</v>
      </c>
      <c r="B447" s="12" t="s">
        <v>576</v>
      </c>
      <c r="C447" s="12" t="s">
        <v>1000</v>
      </c>
      <c r="D447" s="12" t="s">
        <v>835</v>
      </c>
      <c r="E447" s="15" t="s">
        <v>2177</v>
      </c>
      <c r="F447" s="15" t="s">
        <v>2178</v>
      </c>
      <c r="G447" s="15" t="s">
        <v>1918</v>
      </c>
      <c r="H447" s="4"/>
    </row>
    <row r="448" spans="1:8" ht="15.5">
      <c r="A448" s="8">
        <v>447</v>
      </c>
      <c r="B448" s="12" t="s">
        <v>555</v>
      </c>
      <c r="C448" s="12" t="s">
        <v>858</v>
      </c>
      <c r="D448" s="12" t="s">
        <v>817</v>
      </c>
      <c r="E448" s="15" t="s">
        <v>2179</v>
      </c>
      <c r="F448" s="15" t="s">
        <v>2180</v>
      </c>
      <c r="G448" s="15" t="s">
        <v>1332</v>
      </c>
      <c r="H448" s="4" t="s">
        <v>1336</v>
      </c>
    </row>
    <row r="449" spans="1:8" ht="15.5">
      <c r="A449" s="8">
        <v>448</v>
      </c>
      <c r="B449" s="12" t="s">
        <v>2181</v>
      </c>
      <c r="C449" s="12" t="s">
        <v>816</v>
      </c>
      <c r="D449" s="12" t="s">
        <v>817</v>
      </c>
      <c r="E449" s="15" t="s">
        <v>2182</v>
      </c>
      <c r="F449" s="15" t="s">
        <v>2183</v>
      </c>
      <c r="G449" s="15" t="s">
        <v>2184</v>
      </c>
      <c r="H449" s="4"/>
    </row>
    <row r="450" spans="1:8" ht="15.5">
      <c r="A450" s="8">
        <v>449</v>
      </c>
      <c r="B450" s="12" t="s">
        <v>2185</v>
      </c>
      <c r="C450" s="12" t="s">
        <v>862</v>
      </c>
      <c r="D450" s="12" t="s">
        <v>835</v>
      </c>
      <c r="E450" s="15" t="s">
        <v>2186</v>
      </c>
      <c r="F450" s="15" t="s">
        <v>2187</v>
      </c>
      <c r="G450" s="15" t="s">
        <v>1890</v>
      </c>
      <c r="H450" s="4"/>
    </row>
    <row r="451" spans="1:8" ht="15.5">
      <c r="A451" s="8">
        <v>450</v>
      </c>
      <c r="B451" s="12" t="s">
        <v>355</v>
      </c>
      <c r="C451" s="12" t="s">
        <v>844</v>
      </c>
      <c r="D451" s="12" t="s">
        <v>817</v>
      </c>
      <c r="E451" s="15" t="s">
        <v>2188</v>
      </c>
      <c r="F451" s="15" t="s">
        <v>2189</v>
      </c>
      <c r="G451" s="15" t="s">
        <v>1473</v>
      </c>
      <c r="H451" s="4" t="s">
        <v>1221</v>
      </c>
    </row>
    <row r="452" spans="1:8" ht="15.5">
      <c r="A452" s="8">
        <v>451</v>
      </c>
      <c r="B452" s="12" t="s">
        <v>543</v>
      </c>
      <c r="C452" s="12" t="s">
        <v>1004</v>
      </c>
      <c r="D452" s="12" t="s">
        <v>817</v>
      </c>
      <c r="E452" s="15" t="s">
        <v>2190</v>
      </c>
      <c r="F452" s="15" t="s">
        <v>2191</v>
      </c>
      <c r="G452" s="15" t="s">
        <v>1393</v>
      </c>
      <c r="H452" s="4" t="s">
        <v>1336</v>
      </c>
    </row>
    <row r="453" spans="1:8" ht="15.5">
      <c r="A453" s="8">
        <v>452</v>
      </c>
      <c r="B453" s="12" t="s">
        <v>463</v>
      </c>
      <c r="C453" s="12" t="s">
        <v>910</v>
      </c>
      <c r="D453" s="12" t="s">
        <v>817</v>
      </c>
      <c r="E453" s="15" t="s">
        <v>2192</v>
      </c>
      <c r="F453" s="15" t="s">
        <v>2193</v>
      </c>
      <c r="G453" s="15" t="s">
        <v>2194</v>
      </c>
      <c r="H453" s="4" t="s">
        <v>920</v>
      </c>
    </row>
    <row r="454" spans="1:8" ht="15.5">
      <c r="A454" s="8">
        <v>453</v>
      </c>
      <c r="B454" s="12" t="s">
        <v>511</v>
      </c>
      <c r="C454" s="12" t="s">
        <v>939</v>
      </c>
      <c r="D454" s="12" t="s">
        <v>817</v>
      </c>
      <c r="E454" s="15" t="s">
        <v>2195</v>
      </c>
      <c r="F454" s="15" t="s">
        <v>2196</v>
      </c>
      <c r="G454" s="15" t="s">
        <v>2197</v>
      </c>
      <c r="H454" s="4" t="s">
        <v>899</v>
      </c>
    </row>
    <row r="455" spans="1:8" ht="15.5">
      <c r="A455" s="8">
        <v>454</v>
      </c>
      <c r="B455" s="12" t="s">
        <v>602</v>
      </c>
      <c r="C455" s="12" t="s">
        <v>844</v>
      </c>
      <c r="D455" s="12" t="s">
        <v>817</v>
      </c>
      <c r="E455" s="15" t="s">
        <v>2198</v>
      </c>
      <c r="F455" s="15" t="s">
        <v>2199</v>
      </c>
      <c r="G455" s="15" t="s">
        <v>2200</v>
      </c>
      <c r="H455" s="4" t="s">
        <v>1221</v>
      </c>
    </row>
    <row r="456" spans="1:8" ht="15.5">
      <c r="A456" s="8">
        <v>455</v>
      </c>
      <c r="B456" s="12" t="s">
        <v>618</v>
      </c>
      <c r="C456" s="12" t="s">
        <v>922</v>
      </c>
      <c r="D456" s="12" t="s">
        <v>817</v>
      </c>
      <c r="E456" s="15" t="s">
        <v>2201</v>
      </c>
      <c r="F456" s="15" t="s">
        <v>2202</v>
      </c>
      <c r="G456" s="15" t="s">
        <v>1754</v>
      </c>
      <c r="H456" s="4" t="s">
        <v>1221</v>
      </c>
    </row>
    <row r="457" spans="1:8" ht="15.5">
      <c r="A457" s="8">
        <v>456</v>
      </c>
      <c r="B457" s="12" t="s">
        <v>505</v>
      </c>
      <c r="C457" s="12" t="s">
        <v>1358</v>
      </c>
      <c r="D457" s="12" t="s">
        <v>817</v>
      </c>
      <c r="E457" s="15" t="s">
        <v>2203</v>
      </c>
      <c r="F457" s="15" t="s">
        <v>2204</v>
      </c>
      <c r="G457" s="15" t="s">
        <v>2205</v>
      </c>
      <c r="H457" s="4" t="s">
        <v>830</v>
      </c>
    </row>
    <row r="458" spans="1:8" ht="15.5">
      <c r="A458" s="8">
        <v>457</v>
      </c>
      <c r="B458" s="12" t="s">
        <v>444</v>
      </c>
      <c r="C458" s="12" t="s">
        <v>1303</v>
      </c>
      <c r="D458" s="12" t="s">
        <v>835</v>
      </c>
      <c r="E458" s="15" t="s">
        <v>2206</v>
      </c>
      <c r="F458" s="15" t="s">
        <v>2207</v>
      </c>
      <c r="G458" s="15" t="s">
        <v>2208</v>
      </c>
      <c r="H458" s="4"/>
    </row>
    <row r="459" spans="1:8" ht="15.5">
      <c r="A459" s="8">
        <v>458</v>
      </c>
      <c r="B459" s="12" t="s">
        <v>473</v>
      </c>
      <c r="C459" s="12" t="s">
        <v>1000</v>
      </c>
      <c r="D459" s="12" t="s">
        <v>817</v>
      </c>
      <c r="E459" s="15" t="s">
        <v>2209</v>
      </c>
      <c r="F459" s="15" t="s">
        <v>2210</v>
      </c>
      <c r="G459" s="15" t="s">
        <v>2211</v>
      </c>
      <c r="H459" s="4" t="s">
        <v>920</v>
      </c>
    </row>
    <row r="460" spans="1:8" ht="15.5">
      <c r="A460" s="8">
        <v>459</v>
      </c>
      <c r="B460" s="12" t="s">
        <v>710</v>
      </c>
      <c r="C460" s="12" t="s">
        <v>822</v>
      </c>
      <c r="D460" s="12" t="s">
        <v>817</v>
      </c>
      <c r="E460" s="15" t="s">
        <v>2212</v>
      </c>
      <c r="F460" s="15" t="s">
        <v>2213</v>
      </c>
      <c r="G460" s="15" t="s">
        <v>2214</v>
      </c>
      <c r="H460" s="4" t="s">
        <v>899</v>
      </c>
    </row>
    <row r="461" spans="1:8" ht="15.5">
      <c r="A461" s="8">
        <v>460</v>
      </c>
      <c r="B461" s="12" t="s">
        <v>558</v>
      </c>
      <c r="C461" s="12" t="s">
        <v>862</v>
      </c>
      <c r="D461" s="12" t="s">
        <v>817</v>
      </c>
      <c r="E461" s="15" t="s">
        <v>2215</v>
      </c>
      <c r="F461" s="15" t="s">
        <v>2216</v>
      </c>
      <c r="G461" s="15" t="s">
        <v>2021</v>
      </c>
      <c r="H461" s="4" t="s">
        <v>938</v>
      </c>
    </row>
    <row r="462" spans="1:8" ht="15.5">
      <c r="A462" s="8">
        <v>461</v>
      </c>
      <c r="B462" s="12" t="s">
        <v>376</v>
      </c>
      <c r="C462" s="12" t="s">
        <v>950</v>
      </c>
      <c r="D462" s="12" t="s">
        <v>835</v>
      </c>
      <c r="E462" s="15" t="s">
        <v>2217</v>
      </c>
      <c r="F462" s="15" t="s">
        <v>2218</v>
      </c>
      <c r="G462" s="15" t="s">
        <v>2219</v>
      </c>
      <c r="H462" s="4"/>
    </row>
    <row r="463" spans="1:8" ht="15.5">
      <c r="A463" s="8">
        <v>462</v>
      </c>
      <c r="B463" s="12" t="s">
        <v>638</v>
      </c>
      <c r="C463" s="12" t="s">
        <v>851</v>
      </c>
      <c r="D463" s="12" t="s">
        <v>817</v>
      </c>
      <c r="E463" s="15" t="s">
        <v>2220</v>
      </c>
      <c r="F463" s="15" t="s">
        <v>2221</v>
      </c>
      <c r="G463" s="15" t="s">
        <v>2197</v>
      </c>
      <c r="H463" s="4" t="s">
        <v>1221</v>
      </c>
    </row>
    <row r="464" spans="1:8" ht="15.5">
      <c r="A464" s="8">
        <v>463</v>
      </c>
      <c r="B464" s="12" t="s">
        <v>342</v>
      </c>
      <c r="C464" s="12" t="s">
        <v>939</v>
      </c>
      <c r="D464" s="12" t="s">
        <v>835</v>
      </c>
      <c r="E464" s="15" t="s">
        <v>2222</v>
      </c>
      <c r="F464" s="15" t="s">
        <v>2223</v>
      </c>
      <c r="G464" s="15" t="s">
        <v>2021</v>
      </c>
      <c r="H464" s="4"/>
    </row>
    <row r="465" spans="1:8" ht="15.5">
      <c r="A465" s="8">
        <v>464</v>
      </c>
      <c r="B465" s="12" t="s">
        <v>541</v>
      </c>
      <c r="C465" s="12" t="s">
        <v>1428</v>
      </c>
      <c r="D465" s="12" t="s">
        <v>835</v>
      </c>
      <c r="E465" s="15" t="s">
        <v>2224</v>
      </c>
      <c r="F465" s="15" t="s">
        <v>2225</v>
      </c>
      <c r="G465" s="15" t="s">
        <v>2226</v>
      </c>
      <c r="H465" s="4"/>
    </row>
    <row r="466" spans="1:8" ht="15.5">
      <c r="A466" s="8">
        <v>465</v>
      </c>
      <c r="B466" s="12" t="s">
        <v>375</v>
      </c>
      <c r="C466" s="12" t="s">
        <v>827</v>
      </c>
      <c r="D466" s="12" t="s">
        <v>817</v>
      </c>
      <c r="E466" s="15" t="s">
        <v>2227</v>
      </c>
      <c r="F466" s="15" t="s">
        <v>2228</v>
      </c>
      <c r="G466" s="15" t="s">
        <v>2229</v>
      </c>
      <c r="H466" s="4" t="s">
        <v>1498</v>
      </c>
    </row>
    <row r="467" spans="1:8" ht="15.5">
      <c r="A467" s="8">
        <v>466</v>
      </c>
      <c r="B467" s="12" t="s">
        <v>649</v>
      </c>
      <c r="C467" s="12" t="s">
        <v>922</v>
      </c>
      <c r="D467" s="12" t="s">
        <v>817</v>
      </c>
      <c r="E467" s="15" t="s">
        <v>2230</v>
      </c>
      <c r="F467" s="15" t="s">
        <v>2231</v>
      </c>
      <c r="G467" s="15" t="s">
        <v>1585</v>
      </c>
      <c r="H467" s="4" t="s">
        <v>1336</v>
      </c>
    </row>
    <row r="468" spans="1:8" ht="15.5">
      <c r="A468" s="8">
        <v>467</v>
      </c>
      <c r="B468" s="12" t="s">
        <v>2232</v>
      </c>
      <c r="C468" s="12" t="s">
        <v>1000</v>
      </c>
      <c r="D468" s="12" t="s">
        <v>817</v>
      </c>
      <c r="E468" s="15" t="s">
        <v>2233</v>
      </c>
      <c r="F468" s="15" t="s">
        <v>2234</v>
      </c>
      <c r="G468" s="15" t="s">
        <v>2235</v>
      </c>
      <c r="H468" s="4" t="s">
        <v>1221</v>
      </c>
    </row>
    <row r="469" spans="1:8" ht="15.5">
      <c r="A469" s="8">
        <v>468</v>
      </c>
      <c r="B469" s="12" t="s">
        <v>497</v>
      </c>
      <c r="C469" s="12" t="s">
        <v>943</v>
      </c>
      <c r="D469" s="12" t="s">
        <v>817</v>
      </c>
      <c r="E469" s="15" t="s">
        <v>2236</v>
      </c>
      <c r="F469" s="15" t="s">
        <v>2237</v>
      </c>
      <c r="G469" s="15" t="s">
        <v>2238</v>
      </c>
      <c r="H469" s="4" t="s">
        <v>899</v>
      </c>
    </row>
    <row r="470" spans="1:8" ht="15.5">
      <c r="A470" s="8">
        <v>469</v>
      </c>
      <c r="B470" s="12" t="s">
        <v>2239</v>
      </c>
      <c r="C470" s="12" t="s">
        <v>1082</v>
      </c>
      <c r="D470" s="12" t="s">
        <v>817</v>
      </c>
      <c r="E470" s="15" t="s">
        <v>2240</v>
      </c>
      <c r="F470" s="15" t="s">
        <v>2241</v>
      </c>
      <c r="G470" s="15" t="s">
        <v>2054</v>
      </c>
      <c r="H470" s="4" t="s">
        <v>1336</v>
      </c>
    </row>
    <row r="471" spans="1:8" ht="15.5">
      <c r="A471" s="8">
        <v>470</v>
      </c>
      <c r="B471" s="12" t="s">
        <v>373</v>
      </c>
      <c r="C471" s="12" t="s">
        <v>2000</v>
      </c>
      <c r="D471" s="12" t="s">
        <v>835</v>
      </c>
      <c r="E471" s="15" t="s">
        <v>2242</v>
      </c>
      <c r="F471" s="15" t="s">
        <v>2243</v>
      </c>
      <c r="G471" s="15" t="s">
        <v>2244</v>
      </c>
      <c r="H471" s="4"/>
    </row>
    <row r="472" spans="1:8" ht="15.5">
      <c r="A472" s="8">
        <v>471</v>
      </c>
      <c r="B472" s="12" t="s">
        <v>597</v>
      </c>
      <c r="C472" s="12" t="s">
        <v>844</v>
      </c>
      <c r="D472" s="12" t="s">
        <v>817</v>
      </c>
      <c r="E472" s="15" t="s">
        <v>2245</v>
      </c>
      <c r="F472" s="15" t="s">
        <v>2246</v>
      </c>
      <c r="G472" s="15" t="s">
        <v>1316</v>
      </c>
      <c r="H472" s="4" t="s">
        <v>938</v>
      </c>
    </row>
    <row r="473" spans="1:8" ht="15.5">
      <c r="A473" s="8">
        <v>472</v>
      </c>
      <c r="B473" s="12" t="s">
        <v>434</v>
      </c>
      <c r="C473" s="12" t="s">
        <v>971</v>
      </c>
      <c r="D473" s="12" t="s">
        <v>817</v>
      </c>
      <c r="E473" s="15" t="s">
        <v>2247</v>
      </c>
      <c r="F473" s="15" t="s">
        <v>2248</v>
      </c>
      <c r="G473" s="15" t="s">
        <v>2249</v>
      </c>
      <c r="H473" s="4" t="s">
        <v>1336</v>
      </c>
    </row>
    <row r="474" spans="1:8" ht="15.5">
      <c r="A474" s="8">
        <v>473</v>
      </c>
      <c r="B474" s="12" t="s">
        <v>498</v>
      </c>
      <c r="C474" s="12" t="s">
        <v>1000</v>
      </c>
      <c r="D474" s="12" t="s">
        <v>817</v>
      </c>
      <c r="E474" s="15" t="s">
        <v>2250</v>
      </c>
      <c r="F474" s="15" t="s">
        <v>2251</v>
      </c>
      <c r="G474" s="15" t="s">
        <v>2252</v>
      </c>
      <c r="H474" s="4" t="s">
        <v>920</v>
      </c>
    </row>
    <row r="475" spans="1:8" ht="15.5">
      <c r="A475" s="8">
        <v>474</v>
      </c>
      <c r="B475" s="12" t="s">
        <v>683</v>
      </c>
      <c r="C475" s="12" t="s">
        <v>822</v>
      </c>
      <c r="D475" s="12" t="s">
        <v>817</v>
      </c>
      <c r="E475" s="15" t="s">
        <v>2253</v>
      </c>
      <c r="F475" s="15" t="s">
        <v>2254</v>
      </c>
      <c r="G475" s="15" t="s">
        <v>2255</v>
      </c>
      <c r="H475" s="4" t="s">
        <v>1498</v>
      </c>
    </row>
    <row r="476" spans="1:8" ht="15.5">
      <c r="A476" s="8">
        <v>475</v>
      </c>
      <c r="B476" s="12" t="s">
        <v>560</v>
      </c>
      <c r="C476" s="12" t="s">
        <v>827</v>
      </c>
      <c r="D476" s="12" t="s">
        <v>817</v>
      </c>
      <c r="E476" s="15" t="s">
        <v>2256</v>
      </c>
      <c r="F476" s="15" t="s">
        <v>2257</v>
      </c>
      <c r="G476" s="15" t="s">
        <v>2258</v>
      </c>
      <c r="H476" s="4" t="s">
        <v>1336</v>
      </c>
    </row>
    <row r="477" spans="1:8" ht="15.5">
      <c r="A477" s="8">
        <v>476</v>
      </c>
      <c r="B477" s="12" t="s">
        <v>667</v>
      </c>
      <c r="C477" s="12" t="s">
        <v>1104</v>
      </c>
      <c r="D477" s="12" t="s">
        <v>817</v>
      </c>
      <c r="E477" s="15" t="s">
        <v>2259</v>
      </c>
      <c r="F477" s="15" t="s">
        <v>2260</v>
      </c>
      <c r="G477" s="15" t="s">
        <v>2261</v>
      </c>
      <c r="H477" s="4" t="s">
        <v>1336</v>
      </c>
    </row>
    <row r="478" spans="1:8" ht="15.5">
      <c r="A478" s="8">
        <v>477</v>
      </c>
      <c r="B478" s="12" t="s">
        <v>413</v>
      </c>
      <c r="C478" s="12" t="s">
        <v>858</v>
      </c>
      <c r="D478" s="12" t="s">
        <v>835</v>
      </c>
      <c r="E478" s="15" t="s">
        <v>2262</v>
      </c>
      <c r="F478" s="15" t="s">
        <v>2263</v>
      </c>
      <c r="G478" s="15" t="s">
        <v>2120</v>
      </c>
      <c r="H478" s="4"/>
    </row>
    <row r="479" spans="1:8" ht="15.5">
      <c r="A479" s="8">
        <v>478</v>
      </c>
      <c r="B479" s="12" t="s">
        <v>663</v>
      </c>
      <c r="C479" s="12" t="s">
        <v>840</v>
      </c>
      <c r="D479" s="12" t="s">
        <v>817</v>
      </c>
      <c r="E479" s="15" t="s">
        <v>2264</v>
      </c>
      <c r="F479" s="15" t="s">
        <v>2265</v>
      </c>
      <c r="G479" s="15" t="s">
        <v>1562</v>
      </c>
      <c r="H479" s="4" t="s">
        <v>1336</v>
      </c>
    </row>
    <row r="480" spans="1:8" ht="15.5">
      <c r="A480" s="8">
        <v>479</v>
      </c>
      <c r="B480" s="12" t="s">
        <v>2266</v>
      </c>
      <c r="C480" s="12" t="s">
        <v>943</v>
      </c>
      <c r="D480" s="12" t="s">
        <v>2267</v>
      </c>
      <c r="E480" s="15" t="s">
        <v>2268</v>
      </c>
      <c r="F480" s="15"/>
      <c r="G480" s="15"/>
      <c r="H480" s="4"/>
    </row>
    <row r="481" spans="1:8" ht="15.5">
      <c r="A481" s="8">
        <v>480</v>
      </c>
      <c r="B481" s="12" t="s">
        <v>633</v>
      </c>
      <c r="C481" s="12" t="s">
        <v>1104</v>
      </c>
      <c r="D481" s="12" t="s">
        <v>817</v>
      </c>
      <c r="E481" s="15" t="s">
        <v>2269</v>
      </c>
      <c r="F481" s="15" t="s">
        <v>2270</v>
      </c>
      <c r="G481" s="15" t="s">
        <v>2271</v>
      </c>
      <c r="H481" s="4" t="s">
        <v>1235</v>
      </c>
    </row>
    <row r="482" spans="1:8" ht="15.5">
      <c r="A482" s="8">
        <v>481</v>
      </c>
      <c r="B482" s="12" t="s">
        <v>274</v>
      </c>
      <c r="C482" s="12" t="s">
        <v>922</v>
      </c>
      <c r="D482" s="12" t="s">
        <v>835</v>
      </c>
      <c r="E482" s="15" t="s">
        <v>2272</v>
      </c>
      <c r="F482" s="15" t="s">
        <v>2273</v>
      </c>
      <c r="G482" s="15" t="s">
        <v>2274</v>
      </c>
      <c r="H482" s="4"/>
    </row>
    <row r="483" spans="1:8" ht="15.5">
      <c r="A483" s="8">
        <v>482</v>
      </c>
      <c r="B483" s="12" t="s">
        <v>2275</v>
      </c>
      <c r="C483" s="12" t="s">
        <v>889</v>
      </c>
      <c r="D483" s="12" t="s">
        <v>835</v>
      </c>
      <c r="E483" s="15" t="s">
        <v>2276</v>
      </c>
      <c r="F483" s="15" t="s">
        <v>1099</v>
      </c>
      <c r="G483" s="15" t="s">
        <v>2094</v>
      </c>
      <c r="H483" s="4"/>
    </row>
    <row r="484" spans="1:8" ht="15.5">
      <c r="A484" s="8">
        <v>483</v>
      </c>
      <c r="B484" s="12" t="s">
        <v>340</v>
      </c>
      <c r="C484" s="12" t="s">
        <v>1428</v>
      </c>
      <c r="D484" s="12" t="s">
        <v>835</v>
      </c>
      <c r="E484" s="15" t="s">
        <v>2277</v>
      </c>
      <c r="F484" s="15" t="s">
        <v>2278</v>
      </c>
      <c r="G484" s="15" t="s">
        <v>1807</v>
      </c>
      <c r="H484" s="4"/>
    </row>
    <row r="485" spans="1:8" ht="15.5">
      <c r="A485" s="8">
        <v>484</v>
      </c>
      <c r="B485" s="12" t="s">
        <v>329</v>
      </c>
      <c r="C485" s="12" t="s">
        <v>1124</v>
      </c>
      <c r="D485" s="12" t="s">
        <v>835</v>
      </c>
      <c r="E485" s="15" t="s">
        <v>2279</v>
      </c>
      <c r="F485" s="15" t="s">
        <v>2280</v>
      </c>
      <c r="G485" s="15" t="s">
        <v>2226</v>
      </c>
      <c r="H485" s="4"/>
    </row>
    <row r="486" spans="1:8" ht="15.5">
      <c r="A486" s="8">
        <v>485</v>
      </c>
      <c r="B486" s="12" t="s">
        <v>2281</v>
      </c>
      <c r="C486" s="12" t="s">
        <v>862</v>
      </c>
      <c r="D486" s="12" t="s">
        <v>817</v>
      </c>
      <c r="E486" s="15" t="s">
        <v>2282</v>
      </c>
      <c r="F486" s="15" t="s">
        <v>2283</v>
      </c>
      <c r="G486" s="15" t="s">
        <v>1484</v>
      </c>
      <c r="H486" s="4" t="s">
        <v>1336</v>
      </c>
    </row>
    <row r="487" spans="1:8" ht="15.5">
      <c r="A487" s="8">
        <v>486</v>
      </c>
      <c r="B487" s="12" t="s">
        <v>629</v>
      </c>
      <c r="C487" s="12" t="s">
        <v>840</v>
      </c>
      <c r="D487" s="12" t="s">
        <v>817</v>
      </c>
      <c r="E487" s="15" t="s">
        <v>2284</v>
      </c>
      <c r="F487" s="15" t="s">
        <v>2285</v>
      </c>
      <c r="G487" s="15"/>
      <c r="H487" s="4" t="s">
        <v>1235</v>
      </c>
    </row>
    <row r="488" spans="1:8" ht="15.5">
      <c r="A488" s="8">
        <v>487</v>
      </c>
      <c r="B488" s="12" t="s">
        <v>2286</v>
      </c>
      <c r="C488" s="12" t="s">
        <v>939</v>
      </c>
      <c r="D488" s="12" t="s">
        <v>835</v>
      </c>
      <c r="E488" s="15" t="s">
        <v>2287</v>
      </c>
      <c r="F488" s="15" t="s">
        <v>2288</v>
      </c>
      <c r="G488" s="15" t="s">
        <v>2289</v>
      </c>
      <c r="H488" s="4"/>
    </row>
    <row r="489" spans="1:8" ht="15.5">
      <c r="A489" s="8">
        <v>488</v>
      </c>
      <c r="B489" s="12" t="s">
        <v>2290</v>
      </c>
      <c r="C489" s="12" t="s">
        <v>1897</v>
      </c>
      <c r="D489" s="12" t="s">
        <v>835</v>
      </c>
      <c r="E489" s="15" t="s">
        <v>2291</v>
      </c>
      <c r="F489" s="15" t="s">
        <v>2292</v>
      </c>
      <c r="G489" s="15"/>
      <c r="H489" s="4"/>
    </row>
    <row r="490" spans="1:8" ht="15.5">
      <c r="A490" s="8">
        <v>489</v>
      </c>
      <c r="B490" s="12" t="s">
        <v>2293</v>
      </c>
      <c r="C490" s="12" t="s">
        <v>1707</v>
      </c>
      <c r="D490" s="12" t="s">
        <v>835</v>
      </c>
      <c r="E490" s="15" t="s">
        <v>2294</v>
      </c>
      <c r="F490" s="15" t="s">
        <v>2295</v>
      </c>
      <c r="G490" s="15" t="s">
        <v>1136</v>
      </c>
      <c r="H490" s="4"/>
    </row>
    <row r="491" spans="1:8" ht="15.5">
      <c r="A491" s="8">
        <v>490</v>
      </c>
      <c r="B491" s="12" t="s">
        <v>594</v>
      </c>
      <c r="C491" s="12" t="s">
        <v>858</v>
      </c>
      <c r="D491" s="12" t="s">
        <v>817</v>
      </c>
      <c r="E491" s="15" t="s">
        <v>2296</v>
      </c>
      <c r="F491" s="15" t="s">
        <v>2297</v>
      </c>
      <c r="G491" s="15" t="s">
        <v>2298</v>
      </c>
      <c r="H491" s="4" t="s">
        <v>1336</v>
      </c>
    </row>
    <row r="492" spans="1:8" ht="15.5">
      <c r="A492" s="8">
        <v>491</v>
      </c>
      <c r="B492" s="12" t="s">
        <v>620</v>
      </c>
      <c r="C492" s="12" t="s">
        <v>858</v>
      </c>
      <c r="D492" s="12" t="s">
        <v>817</v>
      </c>
      <c r="E492" s="15" t="s">
        <v>2299</v>
      </c>
      <c r="F492" s="15" t="s">
        <v>2300</v>
      </c>
      <c r="G492" s="15" t="s">
        <v>2301</v>
      </c>
      <c r="H492" s="4" t="s">
        <v>1235</v>
      </c>
    </row>
    <row r="493" spans="1:8" ht="15.5">
      <c r="A493" s="8">
        <v>492</v>
      </c>
      <c r="B493" s="12" t="s">
        <v>384</v>
      </c>
      <c r="C493" s="12" t="s">
        <v>971</v>
      </c>
      <c r="D493" s="12" t="s">
        <v>817</v>
      </c>
      <c r="E493" s="15" t="s">
        <v>2302</v>
      </c>
      <c r="F493" s="15" t="s">
        <v>2303</v>
      </c>
      <c r="G493" s="15" t="s">
        <v>2032</v>
      </c>
      <c r="H493" s="4" t="s">
        <v>1221</v>
      </c>
    </row>
    <row r="494" spans="1:8" ht="15.5">
      <c r="A494" s="8">
        <v>493</v>
      </c>
      <c r="B494" s="12" t="s">
        <v>385</v>
      </c>
      <c r="C494" s="12" t="s">
        <v>862</v>
      </c>
      <c r="D494" s="12" t="s">
        <v>835</v>
      </c>
      <c r="E494" s="15" t="s">
        <v>2304</v>
      </c>
      <c r="F494" s="15" t="s">
        <v>2305</v>
      </c>
      <c r="G494" s="15" t="s">
        <v>2306</v>
      </c>
      <c r="H494" s="4"/>
    </row>
    <row r="495" spans="1:8" ht="15.5">
      <c r="A495" s="8">
        <v>494</v>
      </c>
      <c r="B495" s="12" t="s">
        <v>429</v>
      </c>
      <c r="C495" s="12" t="s">
        <v>1303</v>
      </c>
      <c r="D495" s="12" t="s">
        <v>835</v>
      </c>
      <c r="E495" s="15" t="s">
        <v>2307</v>
      </c>
      <c r="F495" s="15" t="s">
        <v>2308</v>
      </c>
      <c r="G495" s="15" t="s">
        <v>2123</v>
      </c>
      <c r="H495" s="4"/>
    </row>
    <row r="496" spans="1:8" ht="15.5">
      <c r="A496" s="8">
        <v>495</v>
      </c>
      <c r="B496" s="12" t="s">
        <v>2309</v>
      </c>
      <c r="C496" s="12" t="s">
        <v>1416</v>
      </c>
      <c r="D496" s="12" t="s">
        <v>835</v>
      </c>
      <c r="E496" s="15" t="s">
        <v>2310</v>
      </c>
      <c r="F496" s="15" t="s">
        <v>2311</v>
      </c>
      <c r="G496" s="15" t="s">
        <v>2312</v>
      </c>
      <c r="H496" s="4"/>
    </row>
    <row r="497" spans="1:8" ht="15.5">
      <c r="A497" s="8">
        <v>496</v>
      </c>
      <c r="B497" s="12" t="s">
        <v>2313</v>
      </c>
      <c r="C497" s="12" t="s">
        <v>840</v>
      </c>
      <c r="D497" s="12" t="s">
        <v>817</v>
      </c>
      <c r="E497" s="15" t="s">
        <v>2314</v>
      </c>
      <c r="F497" s="15" t="s">
        <v>2315</v>
      </c>
      <c r="G497" s="15" t="s">
        <v>2316</v>
      </c>
      <c r="H497" s="4" t="s">
        <v>1498</v>
      </c>
    </row>
    <row r="498" spans="1:8" ht="15.5">
      <c r="A498" s="8">
        <v>497</v>
      </c>
      <c r="B498" s="12" t="s">
        <v>2317</v>
      </c>
      <c r="C498" s="12" t="s">
        <v>1183</v>
      </c>
      <c r="D498" s="12" t="s">
        <v>835</v>
      </c>
      <c r="E498" s="15" t="s">
        <v>2318</v>
      </c>
      <c r="F498" s="15" t="s">
        <v>2319</v>
      </c>
      <c r="G498" s="15" t="s">
        <v>2320</v>
      </c>
      <c r="H498" s="4"/>
    </row>
    <row r="499" spans="1:8" ht="15.5">
      <c r="A499" s="8">
        <v>498</v>
      </c>
      <c r="B499" s="12" t="s">
        <v>615</v>
      </c>
      <c r="C499" s="12" t="s">
        <v>1082</v>
      </c>
      <c r="D499" s="12" t="s">
        <v>817</v>
      </c>
      <c r="E499" s="15" t="s">
        <v>2321</v>
      </c>
      <c r="F499" s="15" t="s">
        <v>2322</v>
      </c>
      <c r="G499" s="15" t="s">
        <v>1746</v>
      </c>
      <c r="H499" s="4" t="s">
        <v>1235</v>
      </c>
    </row>
    <row r="500" spans="1:8" ht="15.5">
      <c r="A500" s="8">
        <v>499</v>
      </c>
      <c r="B500" s="12" t="s">
        <v>302</v>
      </c>
      <c r="C500" s="12" t="s">
        <v>844</v>
      </c>
      <c r="D500" s="12" t="s">
        <v>817</v>
      </c>
      <c r="E500" s="15" t="s">
        <v>2323</v>
      </c>
      <c r="F500" s="15" t="s">
        <v>2324</v>
      </c>
      <c r="G500" s="15" t="s">
        <v>2325</v>
      </c>
      <c r="H500" s="4" t="s">
        <v>821</v>
      </c>
    </row>
    <row r="501" spans="1:8" ht="15.5">
      <c r="A501" s="8">
        <v>500</v>
      </c>
      <c r="B501" s="12" t="s">
        <v>2326</v>
      </c>
      <c r="C501" s="12" t="s">
        <v>851</v>
      </c>
      <c r="D501" s="12" t="s">
        <v>835</v>
      </c>
      <c r="E501" s="15" t="s">
        <v>2327</v>
      </c>
      <c r="F501" s="15" t="s">
        <v>2328</v>
      </c>
      <c r="G501" s="15" t="s">
        <v>2329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54E8E-6F21-E34C-B851-D4DB1E2320A5}">
  <sheetPr codeName="Sheet9"/>
  <dimension ref="A1:E52"/>
  <sheetViews>
    <sheetView workbookViewId="0">
      <selection activeCell="C53" sqref="C53"/>
    </sheetView>
  </sheetViews>
  <sheetFormatPr defaultColWidth="10.81640625" defaultRowHeight="14.5"/>
  <cols>
    <col min="2" max="2" width="15" customWidth="1"/>
    <col min="3" max="3" width="23.81640625" bestFit="1" customWidth="1"/>
    <col min="4" max="4" width="23.26953125" hidden="1" customWidth="1"/>
    <col min="5" max="5" width="23.26953125" bestFit="1" customWidth="1"/>
  </cols>
  <sheetData>
    <row r="1" spans="1:5" ht="15.5">
      <c r="A1" s="18" t="s">
        <v>0</v>
      </c>
      <c r="B1" t="s">
        <v>2332</v>
      </c>
      <c r="C1" s="18" t="s">
        <v>2333</v>
      </c>
      <c r="D1" t="s">
        <v>2334</v>
      </c>
      <c r="E1" t="s">
        <v>2359</v>
      </c>
    </row>
    <row r="2" spans="1:5" ht="15.5">
      <c r="A2" s="19">
        <v>1</v>
      </c>
      <c r="B2" s="19">
        <v>950</v>
      </c>
      <c r="C2" t="s">
        <v>785</v>
      </c>
      <c r="D2" s="7">
        <v>626358</v>
      </c>
      <c r="E2">
        <f>1-(Crime_rate_Index[[#This Row],[Crime Index ▲]]-MIN(Crime_rate_Index[Crime Index ▲]))/(MAX(Crime_rate_Index[Crime Index ▲])-MIN(Crime_rate_Index[Crime Index ▲]))</f>
        <v>1</v>
      </c>
    </row>
    <row r="3" spans="1:5" ht="15.5">
      <c r="A3" s="19">
        <v>2</v>
      </c>
      <c r="B3" s="19">
        <v>956</v>
      </c>
      <c r="C3" t="s">
        <v>773</v>
      </c>
      <c r="D3" s="7">
        <v>1321069</v>
      </c>
      <c r="E3">
        <f>1-(Crime_rate_Index[[#This Row],[Crime Index ▲]]-MIN(Crime_rate_Index[Crime Index ▲]))/(MAX(Crime_rate_Index[Crime Index ▲])-MIN(Crime_rate_Index[Crime Index ▲]))</f>
        <v>0.99785484447622452</v>
      </c>
    </row>
    <row r="4" spans="1:5" ht="15.5">
      <c r="A4" s="19">
        <v>3</v>
      </c>
      <c r="B4" s="19">
        <v>985</v>
      </c>
      <c r="C4" t="s">
        <v>802</v>
      </c>
      <c r="D4" s="7">
        <v>704925</v>
      </c>
      <c r="E4">
        <f>1-(Crime_rate_Index[[#This Row],[Crime Index ▲]]-MIN(Crime_rate_Index[Crime Index ▲]))/(MAX(Crime_rate_Index[Crime Index ▲])-MIN(Crime_rate_Index[Crime Index ▲]))</f>
        <v>0.98748659277797646</v>
      </c>
    </row>
    <row r="5" spans="1:5" ht="15.5">
      <c r="A5" s="19">
        <v>4</v>
      </c>
      <c r="B5" s="20">
        <v>1017</v>
      </c>
      <c r="C5" t="s">
        <v>798</v>
      </c>
      <c r="D5" s="7">
        <v>1328535</v>
      </c>
      <c r="E5">
        <f>1-(Crime_rate_Index[[#This Row],[Crime Index ▲]]-MIN(Crime_rate_Index[Crime Index ▲]))/(MAX(Crime_rate_Index[Crime Index ▲])-MIN(Crime_rate_Index[Crime Index ▲]))</f>
        <v>0.97604576331784054</v>
      </c>
    </row>
    <row r="6" spans="1:5" ht="15.5">
      <c r="A6" s="19">
        <v>5</v>
      </c>
      <c r="B6" s="20">
        <v>1042</v>
      </c>
      <c r="C6" t="s">
        <v>808</v>
      </c>
      <c r="D6" s="7">
        <v>834708</v>
      </c>
      <c r="E6">
        <f>1-(Crime_rate_Index[[#This Row],[Crime Index ▲]]-MIN(Crime_rate_Index[Crime Index ▲]))/(MAX(Crime_rate_Index[Crime Index ▲])-MIN(Crime_rate_Index[Crime Index ▲]))</f>
        <v>0.96710761530210942</v>
      </c>
    </row>
    <row r="7" spans="1:5" ht="15.5">
      <c r="A7" s="19">
        <v>6</v>
      </c>
      <c r="B7" s="20">
        <v>1068</v>
      </c>
      <c r="C7" t="s">
        <v>796</v>
      </c>
      <c r="D7" s="7">
        <v>1599464</v>
      </c>
      <c r="E7">
        <f>1-(Crime_rate_Index[[#This Row],[Crime Index ▲]]-MIN(Crime_rate_Index[Crime Index ▲]))/(MAX(Crime_rate_Index[Crime Index ▲])-MIN(Crime_rate_Index[Crime Index ▲]))</f>
        <v>0.95781194136574899</v>
      </c>
    </row>
    <row r="8" spans="1:5" ht="15.5">
      <c r="A8" s="19">
        <v>7</v>
      </c>
      <c r="B8" s="20">
        <v>1125</v>
      </c>
      <c r="C8" t="s">
        <v>760</v>
      </c>
      <c r="D8" s="7">
        <v>8185131</v>
      </c>
      <c r="E8">
        <f>1-(Crime_rate_Index[[#This Row],[Crime Index ▲]]-MIN(Crime_rate_Index[Crime Index ▲]))/(MAX(Crime_rate_Index[Crime Index ▲])-MIN(Crime_rate_Index[Crime Index ▲]))</f>
        <v>0.93743296388988206</v>
      </c>
    </row>
    <row r="9" spans="1:5" ht="15.5">
      <c r="A9" s="19">
        <v>8</v>
      </c>
      <c r="B9" s="20">
        <v>1136</v>
      </c>
      <c r="C9" t="s">
        <v>729</v>
      </c>
      <c r="D9" s="7">
        <v>575251</v>
      </c>
      <c r="E9">
        <f>1-(Crime_rate_Index[[#This Row],[Crime Index ▲]]-MIN(Crime_rate_Index[Crime Index ▲]))/(MAX(Crime_rate_Index[Crime Index ▲])-MIN(Crime_rate_Index[Crime Index ▲]))</f>
        <v>0.93350017876296032</v>
      </c>
    </row>
    <row r="10" spans="1:5" ht="15.5">
      <c r="A10" s="19">
        <v>9</v>
      </c>
      <c r="B10" s="20">
        <v>1171</v>
      </c>
      <c r="C10" t="s">
        <v>742</v>
      </c>
      <c r="D10" s="7">
        <v>3592053</v>
      </c>
      <c r="E10">
        <f>1-(Crime_rate_Index[[#This Row],[Crime Index ▲]]-MIN(Crime_rate_Index[Crime Index ▲]))/(MAX(Crime_rate_Index[Crime Index ▲])-MIN(Crime_rate_Index[Crime Index ▲]))</f>
        <v>0.92098677154093678</v>
      </c>
    </row>
    <row r="11" spans="1:5" ht="15.5">
      <c r="A11" s="19">
        <v>10</v>
      </c>
      <c r="B11" s="20">
        <v>1180</v>
      </c>
      <c r="C11" t="s">
        <v>747</v>
      </c>
      <c r="D11" s="7">
        <v>8874374</v>
      </c>
      <c r="E11">
        <f>1-(Crime_rate_Index[[#This Row],[Crime Index ▲]]-MIN(Crime_rate_Index[Crime Index ▲]))/(MAX(Crime_rate_Index[Crime Index ▲])-MIN(Crime_rate_Index[Crime Index ▲]))</f>
        <v>0.91776903825527345</v>
      </c>
    </row>
    <row r="12" spans="1:5" ht="15.5">
      <c r="A12" s="19">
        <v>11</v>
      </c>
      <c r="B12" s="20">
        <v>1194</v>
      </c>
      <c r="C12" t="s">
        <v>740</v>
      </c>
      <c r="D12" s="7">
        <v>19594330</v>
      </c>
      <c r="E12">
        <f>1-(Crime_rate_Index[[#This Row],[Crime Index ▲]]-MIN(Crime_rate_Index[Crime Index ▲]))/(MAX(Crime_rate_Index[Crime Index ▲])-MIN(Crime_rate_Index[Crime Index ▲]))</f>
        <v>0.91276367536646408</v>
      </c>
    </row>
    <row r="13" spans="1:5" ht="15.5">
      <c r="A13" s="19">
        <v>12</v>
      </c>
      <c r="B13" s="20">
        <v>1203</v>
      </c>
      <c r="C13" t="s">
        <v>770</v>
      </c>
      <c r="D13" s="7">
        <v>3078116</v>
      </c>
      <c r="E13">
        <f>1-(Crime_rate_Index[[#This Row],[Crime Index ▲]]-MIN(Crime_rate_Index[Crime Index ▲]))/(MAX(Crime_rate_Index[Crime Index ▲])-MIN(Crime_rate_Index[Crime Index ▲]))</f>
        <v>0.90954594208080086</v>
      </c>
    </row>
    <row r="14" spans="1:5" ht="15.5">
      <c r="A14" s="19">
        <v>13</v>
      </c>
      <c r="B14" s="20">
        <v>1227</v>
      </c>
      <c r="C14" t="s">
        <v>744</v>
      </c>
      <c r="D14" s="7">
        <v>5724692</v>
      </c>
      <c r="E14">
        <f>1-(Crime_rate_Index[[#This Row],[Crime Index ▲]]-MIN(Crime_rate_Index[Crime Index ▲]))/(MAX(Crime_rate_Index[Crime Index ▲])-MIN(Crime_rate_Index[Crime Index ▲]))</f>
        <v>0.90096531998569895</v>
      </c>
    </row>
    <row r="15" spans="1:5" ht="15.5">
      <c r="A15" s="19">
        <v>14</v>
      </c>
      <c r="B15" s="20">
        <v>1230</v>
      </c>
      <c r="C15" t="s">
        <v>794</v>
      </c>
      <c r="D15" s="7">
        <v>1006370</v>
      </c>
      <c r="E15">
        <f>1-(Crime_rate_Index[[#This Row],[Crime Index ▲]]-MIN(Crime_rate_Index[Crime Index ▲]))/(MAX(Crime_rate_Index[Crime Index ▲])-MIN(Crime_rate_Index[Crime Index ▲]))</f>
        <v>0.89989274222381122</v>
      </c>
    </row>
    <row r="16" spans="1:5" ht="15.5">
      <c r="A16" s="19">
        <v>15</v>
      </c>
      <c r="B16" s="20">
        <v>1235</v>
      </c>
      <c r="C16" t="s">
        <v>791</v>
      </c>
      <c r="D16" s="7">
        <v>1853881</v>
      </c>
      <c r="E16">
        <f>1-(Crime_rate_Index[[#This Row],[Crime Index ▲]]-MIN(Crime_rate_Index[Crime Index ▲]))/(MAX(Crime_rate_Index[Crime Index ▲])-MIN(Crime_rate_Index[Crime Index ▲]))</f>
        <v>0.89810511262066495</v>
      </c>
    </row>
    <row r="17" spans="1:5" ht="15.5">
      <c r="A17" s="19">
        <v>16</v>
      </c>
      <c r="B17" s="20">
        <v>1268</v>
      </c>
      <c r="C17" t="s">
        <v>768</v>
      </c>
      <c r="D17" s="7">
        <v>1053252</v>
      </c>
      <c r="E17">
        <f>1-(Crime_rate_Index[[#This Row],[Crime Index ▲]]-MIN(Crime_rate_Index[Crime Index ▲]))/(MAX(Crime_rate_Index[Crime Index ▲])-MIN(Crime_rate_Index[Crime Index ▲]))</f>
        <v>0.88630675723989993</v>
      </c>
    </row>
    <row r="18" spans="1:5" ht="15.5">
      <c r="A18" s="19">
        <v>17</v>
      </c>
      <c r="B18" s="20">
        <v>1298</v>
      </c>
      <c r="C18" t="s">
        <v>748</v>
      </c>
      <c r="D18" s="7">
        <v>5383661</v>
      </c>
      <c r="E18">
        <f>1-(Crime_rate_Index[[#This Row],[Crime Index ▲]]-MIN(Crime_rate_Index[Crime Index ▲]))/(MAX(Crime_rate_Index[Crime Index ▲])-MIN(Crime_rate_Index[Crime Index ▲]))</f>
        <v>0.87558097962102255</v>
      </c>
    </row>
    <row r="19" spans="1:5" ht="15.5">
      <c r="A19" s="19">
        <v>18</v>
      </c>
      <c r="B19" s="20">
        <v>1305</v>
      </c>
      <c r="C19" t="s">
        <v>775</v>
      </c>
      <c r="D19" s="7">
        <v>4383272</v>
      </c>
      <c r="E19">
        <f>1-(Crime_rate_Index[[#This Row],[Crime Index ▲]]-MIN(Crime_rate_Index[Crime Index ▲]))/(MAX(Crime_rate_Index[Crime Index ▲])-MIN(Crime_rate_Index[Crime Index ▲]))</f>
        <v>0.87307829817661786</v>
      </c>
    </row>
    <row r="20" spans="1:5" ht="15.5">
      <c r="A20" s="19">
        <v>19</v>
      </c>
      <c r="B20" s="20">
        <v>1335</v>
      </c>
      <c r="C20" t="s">
        <v>743</v>
      </c>
      <c r="D20" s="7">
        <v>12758729</v>
      </c>
      <c r="E20">
        <f>1-(Crime_rate_Index[[#This Row],[Crime Index ▲]]-MIN(Crime_rate_Index[Crime Index ▲]))/(MAX(Crime_rate_Index[Crime Index ▲])-MIN(Crime_rate_Index[Crime Index ▲]))</f>
        <v>0.86235252055774048</v>
      </c>
    </row>
    <row r="21" spans="1:5" ht="15.5">
      <c r="A21" s="19">
        <v>20</v>
      </c>
      <c r="B21" s="20">
        <v>1368</v>
      </c>
      <c r="C21" t="s">
        <v>738</v>
      </c>
      <c r="D21" s="7">
        <v>6657291</v>
      </c>
      <c r="E21">
        <f>1-(Crime_rate_Index[[#This Row],[Crime Index ▲]]-MIN(Crime_rate_Index[Crime Index ▲]))/(MAX(Crime_rate_Index[Crime Index ▲])-MIN(Crime_rate_Index[Crime Index ▲]))</f>
        <v>0.85055416517697535</v>
      </c>
    </row>
    <row r="22" spans="1:5" ht="15.5">
      <c r="A22" s="19">
        <v>21</v>
      </c>
      <c r="B22" s="20">
        <v>1390</v>
      </c>
      <c r="C22" t="s">
        <v>764</v>
      </c>
      <c r="D22" s="7">
        <v>1855617</v>
      </c>
      <c r="E22">
        <f>1-(Crime_rate_Index[[#This Row],[Crime Index ▲]]-MIN(Crime_rate_Index[Crime Index ▲]))/(MAX(Crime_rate_Index[Crime Index ▲])-MIN(Crime_rate_Index[Crime Index ▲]))</f>
        <v>0.84268859492313197</v>
      </c>
    </row>
    <row r="23" spans="1:5" ht="15.5">
      <c r="A23" s="19">
        <v>22</v>
      </c>
      <c r="B23" s="20">
        <v>1405</v>
      </c>
      <c r="C23" t="s">
        <v>761</v>
      </c>
      <c r="D23" s="7">
        <v>2858111</v>
      </c>
      <c r="E23">
        <f>1-(Crime_rate_Index[[#This Row],[Crime Index ▲]]-MIN(Crime_rate_Index[Crime Index ▲]))/(MAX(Crime_rate_Index[Crime Index ▲])-MIN(Crime_rate_Index[Crime Index ▲]))</f>
        <v>0.83732570611369328</v>
      </c>
    </row>
    <row r="24" spans="1:5" ht="15.5">
      <c r="A24" s="19">
        <v>23</v>
      </c>
      <c r="B24" s="20">
        <v>1497</v>
      </c>
      <c r="C24" t="s">
        <v>766</v>
      </c>
      <c r="D24" s="7">
        <v>3900343</v>
      </c>
      <c r="E24">
        <f>1-(Crime_rate_Index[[#This Row],[Crime Index ▲]]-MIN(Crime_rate_Index[Crime Index ▲]))/(MAX(Crime_rate_Index[Crime Index ▲])-MIN(Crime_rate_Index[Crime Index ▲]))</f>
        <v>0.80443332141580259</v>
      </c>
    </row>
    <row r="25" spans="1:5" ht="15.5">
      <c r="A25" s="19">
        <v>24</v>
      </c>
      <c r="B25" s="20">
        <v>1526</v>
      </c>
      <c r="C25" t="s">
        <v>757</v>
      </c>
      <c r="D25" s="7">
        <v>5197580</v>
      </c>
      <c r="E25">
        <f>1-(Crime_rate_Index[[#This Row],[Crime Index ▲]]-MIN(Crime_rate_Index[Crime Index ▲]))/(MAX(Crime_rate_Index[Crime Index ▲])-MIN(Crime_rate_Index[Crime Index ▲]))</f>
        <v>0.79406506971755453</v>
      </c>
    </row>
    <row r="26" spans="1:5" ht="15.5">
      <c r="A26" s="19">
        <v>25</v>
      </c>
      <c r="B26" s="20">
        <v>1584</v>
      </c>
      <c r="C26" t="s">
        <v>793</v>
      </c>
      <c r="D26" s="7">
        <v>2984345</v>
      </c>
      <c r="E26">
        <f>1-(Crime_rate_Index[[#This Row],[Crime Index ▲]]-MIN(Crime_rate_Index[Crime Index ▲]))/(MAX(Crime_rate_Index[Crime Index ▲])-MIN(Crime_rate_Index[Crime Index ▲]))</f>
        <v>0.77332856632105829</v>
      </c>
    </row>
    <row r="27" spans="1:5" ht="15.5">
      <c r="A27" s="19">
        <v>26</v>
      </c>
      <c r="B27" s="20">
        <v>1599</v>
      </c>
      <c r="C27" t="s">
        <v>416</v>
      </c>
      <c r="D27" s="7">
        <v>6542411</v>
      </c>
      <c r="E27">
        <f>1-(Crime_rate_Index[[#This Row],[Crime Index ▲]]-MIN(Crime_rate_Index[Crime Index ▲]))/(MAX(Crime_rate_Index[Crime Index ▲])-MIN(Crime_rate_Index[Crime Index ▲]))</f>
        <v>0.76796567751161959</v>
      </c>
    </row>
    <row r="28" spans="1:5" ht="15.5">
      <c r="A28" s="19">
        <v>27</v>
      </c>
      <c r="B28" s="20">
        <v>1608</v>
      </c>
      <c r="C28" t="s">
        <v>810</v>
      </c>
      <c r="D28" s="7">
        <v>1392704</v>
      </c>
      <c r="E28">
        <f>1-(Crime_rate_Index[[#This Row],[Crime Index ▲]]-MIN(Crime_rate_Index[Crime Index ▲]))/(MAX(Crime_rate_Index[Crime Index ▲])-MIN(Crime_rate_Index[Crime Index ▲]))</f>
        <v>0.76474794422595638</v>
      </c>
    </row>
    <row r="29" spans="1:5" ht="15.5">
      <c r="A29" s="19">
        <v>28</v>
      </c>
      <c r="B29" s="20">
        <v>1616</v>
      </c>
      <c r="C29" t="s">
        <v>746</v>
      </c>
      <c r="D29" s="7">
        <v>12868747</v>
      </c>
      <c r="E29">
        <f>1-(Crime_rate_Index[[#This Row],[Crime Index ▲]]-MIN(Crime_rate_Index[Crime Index ▲]))/(MAX(Crime_rate_Index[Crime Index ▲])-MIN(Crime_rate_Index[Crime Index ▲]))</f>
        <v>0.76188773686092248</v>
      </c>
    </row>
    <row r="30" spans="1:5" ht="15.5">
      <c r="A30" s="19">
        <v>29</v>
      </c>
      <c r="B30" s="20">
        <v>1670</v>
      </c>
      <c r="C30" t="s">
        <v>777</v>
      </c>
      <c r="D30" s="7">
        <v>2882946</v>
      </c>
      <c r="E30">
        <f>1-(Crime_rate_Index[[#This Row],[Crime Index ▲]]-MIN(Crime_rate_Index[Crime Index ▲]))/(MAX(Crime_rate_Index[Crime Index ▲])-MIN(Crime_rate_Index[Crime Index ▲]))</f>
        <v>0.74258133714694319</v>
      </c>
    </row>
    <row r="31" spans="1:5" ht="15.5">
      <c r="A31" s="19">
        <v>30</v>
      </c>
      <c r="B31" s="20">
        <v>1691</v>
      </c>
      <c r="C31" t="s">
        <v>756</v>
      </c>
      <c r="D31" s="7">
        <v>11560380</v>
      </c>
      <c r="E31">
        <f>1-(Crime_rate_Index[[#This Row],[Crime Index ▲]]-MIN(Crime_rate_Index[Crime Index ▲]))/(MAX(Crime_rate_Index[Crime Index ▲])-MIN(Crime_rate_Index[Crime Index ▲]))</f>
        <v>0.73507329281372902</v>
      </c>
    </row>
    <row r="32" spans="1:5" ht="15.5">
      <c r="A32" s="19">
        <v>31</v>
      </c>
      <c r="B32" s="20">
        <v>1701</v>
      </c>
      <c r="C32" t="s">
        <v>666</v>
      </c>
      <c r="D32" s="7">
        <v>38066920</v>
      </c>
      <c r="E32">
        <f>1-(Crime_rate_Index[[#This Row],[Crime Index ▲]]-MIN(Crime_rate_Index[Crime Index ▲]))/(MAX(Crime_rate_Index[Crime Index ▲])-MIN(Crime_rate_Index[Crime Index ▲]))</f>
        <v>0.73149803360743659</v>
      </c>
    </row>
    <row r="33" spans="1:5" ht="15.5">
      <c r="A33" s="19">
        <v>32</v>
      </c>
      <c r="B33" s="20">
        <v>1757</v>
      </c>
      <c r="C33" t="s">
        <v>741</v>
      </c>
      <c r="D33" s="7">
        <v>9889024</v>
      </c>
      <c r="E33">
        <f>1-(Crime_rate_Index[[#This Row],[Crime Index ▲]]-MIN(Crime_rate_Index[Crime Index ▲]))/(MAX(Crime_rate_Index[Crime Index ▲])-MIN(Crime_rate_Index[Crime Index ▲]))</f>
        <v>0.71147658205219877</v>
      </c>
    </row>
    <row r="34" spans="1:5" ht="15.5">
      <c r="A34" s="19">
        <v>33</v>
      </c>
      <c r="B34" s="20">
        <v>1855</v>
      </c>
      <c r="C34" t="s">
        <v>71</v>
      </c>
      <c r="D34" s="7">
        <v>6899123</v>
      </c>
      <c r="E34">
        <f>1-(Crime_rate_Index[[#This Row],[Crime Index ▲]]-MIN(Crime_rate_Index[Crime Index ▲]))/(MAX(Crime_rate_Index[Crime Index ▲])-MIN(Crime_rate_Index[Crime Index ▲]))</f>
        <v>0.67643904183053272</v>
      </c>
    </row>
    <row r="35" spans="1:5" ht="15.5">
      <c r="A35" s="19">
        <v>34</v>
      </c>
      <c r="B35" s="20">
        <v>1858</v>
      </c>
      <c r="C35" t="s">
        <v>763</v>
      </c>
      <c r="D35" s="7">
        <v>6028076</v>
      </c>
      <c r="E35">
        <f>1-(Crime_rate_Index[[#This Row],[Crime Index ▲]]-MIN(Crime_rate_Index[Crime Index ▲]))/(MAX(Crime_rate_Index[Crime Index ▲])-MIN(Crime_rate_Index[Crime Index ▲]))</f>
        <v>0.67536646406864498</v>
      </c>
    </row>
    <row r="36" spans="1:5" ht="15.5">
      <c r="A36" s="19">
        <v>35</v>
      </c>
      <c r="B36" s="20">
        <v>1869</v>
      </c>
      <c r="C36" t="s">
        <v>752</v>
      </c>
      <c r="D36" s="7">
        <v>9750405</v>
      </c>
      <c r="E36">
        <f>1-(Crime_rate_Index[[#This Row],[Crime Index ▲]]-MIN(Crime_rate_Index[Crime Index ▲]))/(MAX(Crime_rate_Index[Crime Index ▲])-MIN(Crime_rate_Index[Crime Index ▲]))</f>
        <v>0.67143367894172323</v>
      </c>
    </row>
    <row r="37" spans="1:5" ht="15.5">
      <c r="A37" s="19">
        <v>36</v>
      </c>
      <c r="B37" s="20">
        <v>1884</v>
      </c>
      <c r="C37" t="s">
        <v>750</v>
      </c>
      <c r="D37" s="7">
        <v>5887776</v>
      </c>
      <c r="E37">
        <f>1-(Crime_rate_Index[[#This Row],[Crime Index ▲]]-MIN(Crime_rate_Index[Crime Index ▲]))/(MAX(Crime_rate_Index[Crime Index ▲])-MIN(Crime_rate_Index[Crime Index ▲]))</f>
        <v>0.66607079013228465</v>
      </c>
    </row>
    <row r="38" spans="1:5" ht="15.5">
      <c r="A38" s="19">
        <v>37</v>
      </c>
      <c r="B38" s="20">
        <v>1911</v>
      </c>
      <c r="C38" t="s">
        <v>767</v>
      </c>
      <c r="D38" s="7">
        <v>9907756</v>
      </c>
      <c r="E38">
        <f>1-(Crime_rate_Index[[#This Row],[Crime Index ▲]]-MIN(Crime_rate_Index[Crime Index ▲]))/(MAX(Crime_rate_Index[Crime Index ▲])-MIN(Crime_rate_Index[Crime Index ▲]))</f>
        <v>0.65641759027529489</v>
      </c>
    </row>
    <row r="39" spans="1:5" ht="15.5">
      <c r="A39" s="19">
        <v>38</v>
      </c>
      <c r="B39" s="20">
        <v>1938</v>
      </c>
      <c r="C39" t="s">
        <v>787</v>
      </c>
      <c r="D39" s="7">
        <v>3818851</v>
      </c>
      <c r="E39">
        <f>1-(Crime_rate_Index[[#This Row],[Crime Index ▲]]-MIN(Crime_rate_Index[Crime Index ▲]))/(MAX(Crime_rate_Index[Crime Index ▲])-MIN(Crime_rate_Index[Crime Index ▲]))</f>
        <v>0.64676439041830536</v>
      </c>
    </row>
    <row r="40" spans="1:5" ht="15.5">
      <c r="A40" s="19">
        <v>39</v>
      </c>
      <c r="B40" s="20">
        <v>1941</v>
      </c>
      <c r="C40" t="s">
        <v>789</v>
      </c>
      <c r="D40" s="7">
        <v>4817678</v>
      </c>
      <c r="E40">
        <f>1-(Crime_rate_Index[[#This Row],[Crime Index ▲]]-MIN(Crime_rate_Index[Crime Index ▲]))/(MAX(Crime_rate_Index[Crime Index ▲])-MIN(Crime_rate_Index[Crime Index ▲]))</f>
        <v>0.64569181265641751</v>
      </c>
    </row>
    <row r="41" spans="1:5" ht="15.5">
      <c r="A41" s="19">
        <v>40</v>
      </c>
      <c r="B41" s="20">
        <v>1962</v>
      </c>
      <c r="C41" t="s">
        <v>745</v>
      </c>
      <c r="D41" s="7">
        <v>26092033</v>
      </c>
      <c r="E41">
        <f>1-(Crime_rate_Index[[#This Row],[Crime Index ▲]]-MIN(Crime_rate_Index[Crime Index ▲]))/(MAX(Crime_rate_Index[Crime Index ▲])-MIN(Crime_rate_Index[Crime Index ▲]))</f>
        <v>0.63818376832320345</v>
      </c>
    </row>
    <row r="42" spans="1:5" ht="15.5">
      <c r="A42" s="19">
        <v>41</v>
      </c>
      <c r="B42" s="20">
        <v>1974</v>
      </c>
      <c r="C42" t="s">
        <v>778</v>
      </c>
      <c r="D42" s="7">
        <v>917060</v>
      </c>
      <c r="E42">
        <f>1-(Crime_rate_Index[[#This Row],[Crime Index ▲]]-MIN(Crime_rate_Index[Crime Index ▲]))/(MAX(Crime_rate_Index[Crime Index ▲])-MIN(Crime_rate_Index[Crime Index ▲]))</f>
        <v>0.63389345727565249</v>
      </c>
    </row>
    <row r="43" spans="1:5" ht="15.5">
      <c r="A43" s="19">
        <v>42</v>
      </c>
      <c r="B43" s="20">
        <v>1986</v>
      </c>
      <c r="C43" t="s">
        <v>800</v>
      </c>
      <c r="D43" s="7">
        <v>728300</v>
      </c>
      <c r="E43">
        <f>1-(Crime_rate_Index[[#This Row],[Crime Index ▲]]-MIN(Crime_rate_Index[Crime Index ▲]))/(MAX(Crime_rate_Index[Crime Index ▲])-MIN(Crime_rate_Index[Crime Index ▲]))</f>
        <v>0.62960314622810154</v>
      </c>
    </row>
    <row r="44" spans="1:5" ht="15.5">
      <c r="A44" s="19">
        <v>43</v>
      </c>
      <c r="B44" s="20">
        <v>2025</v>
      </c>
      <c r="C44" t="s">
        <v>753</v>
      </c>
      <c r="D44" s="7">
        <v>6561516</v>
      </c>
      <c r="E44">
        <f>1-(Crime_rate_Index[[#This Row],[Crime Index ▲]]-MIN(Crime_rate_Index[Crime Index ▲]))/(MAX(Crime_rate_Index[Crime Index ▲])-MIN(Crime_rate_Index[Crime Index ▲]))</f>
        <v>0.61565963532356094</v>
      </c>
    </row>
    <row r="45" spans="1:5" ht="15.5">
      <c r="A45" s="19">
        <v>44</v>
      </c>
      <c r="B45" s="20">
        <v>2065</v>
      </c>
      <c r="C45" t="s">
        <v>792</v>
      </c>
      <c r="D45" s="7">
        <v>2947036</v>
      </c>
      <c r="E45">
        <f>1-(Crime_rate_Index[[#This Row],[Crime Index ▲]]-MIN(Crime_rate_Index[Crime Index ▲]))/(MAX(Crime_rate_Index[Crime Index ▲])-MIN(Crime_rate_Index[Crime Index ▲]))</f>
        <v>0.60135859849839113</v>
      </c>
    </row>
    <row r="46" spans="1:5" ht="15.5">
      <c r="A46" s="19">
        <v>45</v>
      </c>
      <c r="B46" s="20">
        <v>2095</v>
      </c>
      <c r="C46" t="s">
        <v>751</v>
      </c>
      <c r="D46" s="7">
        <v>19361792</v>
      </c>
      <c r="E46">
        <f>1-(Crime_rate_Index[[#This Row],[Crime Index ▲]]-MIN(Crime_rate_Index[Crime Index ▲]))/(MAX(Crime_rate_Index[Crime Index ▲])-MIN(Crime_rate_Index[Crime Index ▲]))</f>
        <v>0.59063282087951374</v>
      </c>
    </row>
    <row r="47" spans="1:5" ht="15.5">
      <c r="A47" s="19">
        <v>46</v>
      </c>
      <c r="B47" s="20">
        <v>2167</v>
      </c>
      <c r="C47" t="s">
        <v>784</v>
      </c>
      <c r="D47" s="7">
        <v>4601049</v>
      </c>
      <c r="E47">
        <f>1-(Crime_rate_Index[[#This Row],[Crime Index ▲]]-MIN(Crime_rate_Index[Crime Index ▲]))/(MAX(Crime_rate_Index[Crime Index ▲])-MIN(Crime_rate_Index[Crime Index ▲]))</f>
        <v>0.56489095459420802</v>
      </c>
    </row>
    <row r="48" spans="1:5" ht="15.5">
      <c r="A48" s="19">
        <v>47</v>
      </c>
      <c r="B48" s="20">
        <v>2180</v>
      </c>
      <c r="C48" t="s">
        <v>719</v>
      </c>
      <c r="D48" s="7">
        <v>2761584</v>
      </c>
      <c r="E48">
        <f>1-(Crime_rate_Index[[#This Row],[Crime Index ▲]]-MIN(Crime_rate_Index[Crime Index ▲]))/(MAX(Crime_rate_Index[Crime Index ▲])-MIN(Crime_rate_Index[Crime Index ▲]))</f>
        <v>0.56024311762602785</v>
      </c>
    </row>
    <row r="49" spans="1:5" ht="15.5">
      <c r="A49" s="19">
        <v>48</v>
      </c>
      <c r="B49" s="20">
        <v>2194</v>
      </c>
      <c r="C49" t="s">
        <v>771</v>
      </c>
      <c r="D49" s="7">
        <v>6451365</v>
      </c>
      <c r="E49">
        <f>1-(Crime_rate_Index[[#This Row],[Crime Index ▲]]-MIN(Crime_rate_Index[Crime Index ▲]))/(MAX(Crime_rate_Index[Crime Index ▲])-MIN(Crime_rate_Index[Crime Index ▲]))</f>
        <v>0.55523775473721848</v>
      </c>
    </row>
    <row r="50" spans="1:5" ht="15.5">
      <c r="A50" s="19">
        <v>49</v>
      </c>
      <c r="B50" s="20">
        <v>2241</v>
      </c>
      <c r="C50" t="s">
        <v>780</v>
      </c>
      <c r="D50" s="7">
        <v>2080085</v>
      </c>
      <c r="E50">
        <f>1-(Crime_rate_Index[[#This Row],[Crime Index ▲]]-MIN(Crime_rate_Index[Crime Index ▲]))/(MAX(Crime_rate_Index[Crime Index ▲])-MIN(Crime_rate_Index[Crime Index ▲]))</f>
        <v>0.53843403646764387</v>
      </c>
    </row>
    <row r="51" spans="1:5" ht="15.5">
      <c r="A51" s="19">
        <v>50</v>
      </c>
      <c r="B51" s="20">
        <v>2253</v>
      </c>
      <c r="C51" t="s">
        <v>783</v>
      </c>
      <c r="D51" s="7">
        <v>4727273</v>
      </c>
      <c r="E51">
        <f>1-(Crime_rate_Index[[#This Row],[Crime Index ▲]]-MIN(Crime_rate_Index[Crime Index ▲]))/(MAX(Crime_rate_Index[Crime Index ▲])-MIN(Crime_rate_Index[Crime Index ▲]))</f>
        <v>0.53414372542009292</v>
      </c>
    </row>
    <row r="52" spans="1:5" ht="15.5">
      <c r="A52" s="19">
        <v>51</v>
      </c>
      <c r="B52" s="20">
        <v>3747</v>
      </c>
      <c r="C52" t="s">
        <v>762</v>
      </c>
      <c r="D52" s="7">
        <v>633736</v>
      </c>
      <c r="E52">
        <f>1-(Crime_rate_Index[[#This Row],[Crime Index ▲]]-MIN(Crime_rate_Index[Crime Index ▲]))/(MAX(Crime_rate_Index[Crime Index ▲])-MIN(Crime_rate_Index[Crime Index ▲]))</f>
        <v>0</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F03CE-CD9C-134E-B137-D4B4622D57BA}">
  <sheetPr codeName="Sheet10"/>
  <dimension ref="A1:E52"/>
  <sheetViews>
    <sheetView workbookViewId="0">
      <selection activeCell="D1" sqref="D1"/>
    </sheetView>
  </sheetViews>
  <sheetFormatPr defaultColWidth="10.81640625" defaultRowHeight="14.5"/>
  <cols>
    <col min="1" max="1" width="17" bestFit="1" customWidth="1"/>
    <col min="2" max="2" width="22.26953125" customWidth="1"/>
    <col min="3" max="3" width="9.81640625" customWidth="1"/>
    <col min="4" max="4" width="21.453125" customWidth="1"/>
    <col min="5" max="5" width="13.81640625" customWidth="1"/>
  </cols>
  <sheetData>
    <row r="1" spans="1:5">
      <c r="A1" s="21" t="s">
        <v>3</v>
      </c>
      <c r="B1" s="21" t="s">
        <v>2335</v>
      </c>
      <c r="C1" s="21" t="s">
        <v>2336</v>
      </c>
      <c r="D1" s="21" t="s">
        <v>2337</v>
      </c>
      <c r="E1" s="21" t="s">
        <v>2338</v>
      </c>
    </row>
    <row r="2" spans="1:5">
      <c r="A2" s="22" t="s">
        <v>789</v>
      </c>
      <c r="B2" s="23">
        <v>0.52</v>
      </c>
      <c r="C2" s="23">
        <v>0.13</v>
      </c>
      <c r="D2" s="23">
        <v>0.35</v>
      </c>
      <c r="E2" s="22">
        <v>511</v>
      </c>
    </row>
    <row r="3" spans="1:5">
      <c r="A3" s="22" t="s">
        <v>800</v>
      </c>
      <c r="B3" s="23">
        <v>0.39</v>
      </c>
      <c r="C3" s="23">
        <v>0.28999999999999998</v>
      </c>
      <c r="D3" s="23">
        <v>0.32</v>
      </c>
      <c r="E3" s="22">
        <v>310</v>
      </c>
    </row>
    <row r="4" spans="1:5">
      <c r="A4" s="22" t="s">
        <v>753</v>
      </c>
      <c r="B4" s="23">
        <v>0.4</v>
      </c>
      <c r="C4" s="23">
        <v>0.21</v>
      </c>
      <c r="D4" s="23">
        <v>0.39</v>
      </c>
      <c r="E4" s="22">
        <v>653</v>
      </c>
    </row>
    <row r="5" spans="1:5">
      <c r="A5" s="22" t="s">
        <v>792</v>
      </c>
      <c r="B5" s="23">
        <v>0.46</v>
      </c>
      <c r="C5" s="23">
        <v>0.16</v>
      </c>
      <c r="D5" s="23">
        <v>0.38</v>
      </c>
      <c r="E5" s="22">
        <v>311</v>
      </c>
    </row>
    <row r="6" spans="1:5">
      <c r="A6" s="22" t="s">
        <v>666</v>
      </c>
      <c r="B6" s="23">
        <v>0.3</v>
      </c>
      <c r="C6" s="23">
        <v>0.21</v>
      </c>
      <c r="D6" s="23">
        <v>0.49</v>
      </c>
      <c r="E6" s="24">
        <v>3697</v>
      </c>
    </row>
    <row r="7" spans="1:5">
      <c r="A7" s="22" t="s">
        <v>757</v>
      </c>
      <c r="B7" s="23">
        <v>0.41</v>
      </c>
      <c r="C7" s="23">
        <v>0.17</v>
      </c>
      <c r="D7" s="23">
        <v>0.42</v>
      </c>
      <c r="E7" s="22">
        <v>504</v>
      </c>
    </row>
    <row r="8" spans="1:5">
      <c r="A8" s="22" t="s">
        <v>742</v>
      </c>
      <c r="B8" s="23">
        <v>0.32</v>
      </c>
      <c r="C8" s="23">
        <v>0.18</v>
      </c>
      <c r="D8" s="23">
        <v>0.5</v>
      </c>
      <c r="E8" s="22">
        <v>377</v>
      </c>
    </row>
    <row r="9" spans="1:5">
      <c r="A9" s="22" t="s">
        <v>778</v>
      </c>
      <c r="B9" s="23">
        <v>0.28999999999999998</v>
      </c>
      <c r="C9" s="23">
        <v>0.17</v>
      </c>
      <c r="D9" s="23">
        <v>0.55000000000000004</v>
      </c>
      <c r="E9" s="22">
        <v>301</v>
      </c>
    </row>
    <row r="10" spans="1:5">
      <c r="A10" s="22" t="s">
        <v>762</v>
      </c>
      <c r="B10" s="23">
        <v>0.11</v>
      </c>
      <c r="C10" s="23">
        <v>0.15</v>
      </c>
      <c r="D10" s="23">
        <v>0.73</v>
      </c>
      <c r="E10" s="22">
        <v>303</v>
      </c>
    </row>
    <row r="11" spans="1:5">
      <c r="A11" s="22" t="s">
        <v>751</v>
      </c>
      <c r="B11" s="23">
        <v>0.37</v>
      </c>
      <c r="C11" s="23">
        <v>0.19</v>
      </c>
      <c r="D11" s="23">
        <v>0.44</v>
      </c>
      <c r="E11" s="24">
        <v>2020</v>
      </c>
    </row>
    <row r="12" spans="1:5">
      <c r="A12" s="22" t="s">
        <v>767</v>
      </c>
      <c r="B12" s="23">
        <v>0.41</v>
      </c>
      <c r="C12" s="23">
        <v>0.18</v>
      </c>
      <c r="D12" s="23">
        <v>0.41</v>
      </c>
      <c r="E12" s="22">
        <v>968</v>
      </c>
    </row>
    <row r="13" spans="1:5">
      <c r="A13" s="22" t="s">
        <v>810</v>
      </c>
      <c r="B13" s="23">
        <v>0.28000000000000003</v>
      </c>
      <c r="C13" s="23">
        <v>0.2</v>
      </c>
      <c r="D13" s="23">
        <v>0.51</v>
      </c>
      <c r="E13" s="22">
        <v>312</v>
      </c>
    </row>
    <row r="14" spans="1:5">
      <c r="A14" s="22" t="s">
        <v>796</v>
      </c>
      <c r="B14" s="23">
        <v>0.49</v>
      </c>
      <c r="C14" s="23">
        <v>0.19</v>
      </c>
      <c r="D14" s="23">
        <v>0.32</v>
      </c>
      <c r="E14" s="22">
        <v>320</v>
      </c>
    </row>
    <row r="15" spans="1:5">
      <c r="A15" s="22" t="s">
        <v>746</v>
      </c>
      <c r="B15" s="23">
        <v>0.33</v>
      </c>
      <c r="C15" s="23">
        <v>0.19</v>
      </c>
      <c r="D15" s="23">
        <v>0.48</v>
      </c>
      <c r="E15" s="24">
        <v>1326</v>
      </c>
    </row>
    <row r="16" spans="1:5">
      <c r="A16" s="22" t="s">
        <v>416</v>
      </c>
      <c r="B16" s="23">
        <v>0.42</v>
      </c>
      <c r="C16" s="23">
        <v>0.2</v>
      </c>
      <c r="D16" s="23">
        <v>0.37</v>
      </c>
      <c r="E16" s="22">
        <v>654</v>
      </c>
    </row>
    <row r="17" spans="1:5">
      <c r="A17" s="22" t="s">
        <v>770</v>
      </c>
      <c r="B17" s="23">
        <v>0.41</v>
      </c>
      <c r="C17" s="23">
        <v>0.19</v>
      </c>
      <c r="D17" s="23">
        <v>0.4</v>
      </c>
      <c r="E17" s="22">
        <v>330</v>
      </c>
    </row>
    <row r="18" spans="1:5">
      <c r="A18" s="22" t="s">
        <v>777</v>
      </c>
      <c r="B18" s="23">
        <v>0.46</v>
      </c>
      <c r="C18" s="23">
        <v>0.23</v>
      </c>
      <c r="D18" s="23">
        <v>0.31</v>
      </c>
      <c r="E18" s="22">
        <v>307</v>
      </c>
    </row>
    <row r="19" spans="1:5">
      <c r="A19" s="22" t="s">
        <v>775</v>
      </c>
      <c r="B19" s="23">
        <v>0.44</v>
      </c>
      <c r="C19" s="23">
        <v>0.13</v>
      </c>
      <c r="D19" s="23">
        <v>0.43</v>
      </c>
      <c r="E19" s="22">
        <v>439</v>
      </c>
    </row>
    <row r="20" spans="1:5">
      <c r="A20" s="22" t="s">
        <v>784</v>
      </c>
      <c r="B20" s="23">
        <v>0.41</v>
      </c>
      <c r="C20" s="23">
        <v>0.16</v>
      </c>
      <c r="D20" s="23">
        <v>0.43</v>
      </c>
      <c r="E20" s="22">
        <v>465</v>
      </c>
    </row>
    <row r="21" spans="1:5">
      <c r="A21" s="22" t="s">
        <v>798</v>
      </c>
      <c r="B21" s="23">
        <v>0.36</v>
      </c>
      <c r="C21" s="23">
        <v>0.17</v>
      </c>
      <c r="D21" s="23">
        <v>0.47</v>
      </c>
      <c r="E21" s="22">
        <v>303</v>
      </c>
    </row>
    <row r="22" spans="1:5">
      <c r="A22" s="22" t="s">
        <v>750</v>
      </c>
      <c r="B22" s="23">
        <v>0.31</v>
      </c>
      <c r="C22" s="23">
        <v>0.14000000000000001</v>
      </c>
      <c r="D22" s="23">
        <v>0.55000000000000004</v>
      </c>
      <c r="E22" s="22">
        <v>644</v>
      </c>
    </row>
    <row r="23" spans="1:5">
      <c r="A23" s="22" t="s">
        <v>738</v>
      </c>
      <c r="B23" s="23">
        <v>0.27</v>
      </c>
      <c r="C23" s="23">
        <v>0.17</v>
      </c>
      <c r="D23" s="23">
        <v>0.56000000000000005</v>
      </c>
      <c r="E23" s="22">
        <v>704</v>
      </c>
    </row>
    <row r="24" spans="1:5">
      <c r="A24" s="22" t="s">
        <v>741</v>
      </c>
      <c r="B24" s="23">
        <v>0.34</v>
      </c>
      <c r="C24" s="23">
        <v>0.19</v>
      </c>
      <c r="D24" s="23">
        <v>0.47</v>
      </c>
      <c r="E24" s="22">
        <v>982</v>
      </c>
    </row>
    <row r="25" spans="1:5">
      <c r="A25" s="22" t="s">
        <v>748</v>
      </c>
      <c r="B25" s="23">
        <v>0.39</v>
      </c>
      <c r="C25" s="23">
        <v>0.15</v>
      </c>
      <c r="D25" s="23">
        <v>0.46</v>
      </c>
      <c r="E25" s="22">
        <v>563</v>
      </c>
    </row>
    <row r="26" spans="1:5">
      <c r="A26" s="22" t="s">
        <v>793</v>
      </c>
      <c r="B26" s="23">
        <v>0.44</v>
      </c>
      <c r="C26" s="23">
        <v>0.14000000000000001</v>
      </c>
      <c r="D26" s="23">
        <v>0.42</v>
      </c>
      <c r="E26" s="22">
        <v>309</v>
      </c>
    </row>
    <row r="27" spans="1:5">
      <c r="A27" s="22" t="s">
        <v>763</v>
      </c>
      <c r="B27" s="23">
        <v>0.41</v>
      </c>
      <c r="C27" s="23">
        <v>0.18</v>
      </c>
      <c r="D27" s="23">
        <v>0.42</v>
      </c>
      <c r="E27" s="22">
        <v>642</v>
      </c>
    </row>
    <row r="28" spans="1:5">
      <c r="A28" s="22" t="s">
        <v>794</v>
      </c>
      <c r="B28" s="23">
        <v>0.49</v>
      </c>
      <c r="C28" s="23">
        <v>0.21</v>
      </c>
      <c r="D28" s="23">
        <v>0.3</v>
      </c>
      <c r="E28" s="22">
        <v>312</v>
      </c>
    </row>
    <row r="29" spans="1:5">
      <c r="A29" s="22" t="s">
        <v>764</v>
      </c>
      <c r="B29" s="23">
        <v>0.47</v>
      </c>
      <c r="C29" s="23">
        <v>0.17</v>
      </c>
      <c r="D29" s="23">
        <v>0.36</v>
      </c>
      <c r="E29" s="22">
        <v>312</v>
      </c>
    </row>
    <row r="30" spans="1:5">
      <c r="A30" s="22" t="s">
        <v>719</v>
      </c>
      <c r="B30" s="23">
        <v>0.37</v>
      </c>
      <c r="C30" s="23">
        <v>0.18</v>
      </c>
      <c r="D30" s="23">
        <v>0.46</v>
      </c>
      <c r="E30" s="22">
        <v>314</v>
      </c>
    </row>
    <row r="31" spans="1:5">
      <c r="A31" s="22" t="s">
        <v>773</v>
      </c>
      <c r="B31" s="23">
        <v>0.35</v>
      </c>
      <c r="C31" s="23">
        <v>0.2</v>
      </c>
      <c r="D31" s="23">
        <v>0.44</v>
      </c>
      <c r="E31" s="22">
        <v>303</v>
      </c>
    </row>
    <row r="32" spans="1:5">
      <c r="A32" s="22" t="s">
        <v>747</v>
      </c>
      <c r="B32" s="23">
        <v>0.3</v>
      </c>
      <c r="C32" s="23">
        <v>0.19</v>
      </c>
      <c r="D32" s="23">
        <v>0.51</v>
      </c>
      <c r="E32" s="22">
        <v>886</v>
      </c>
    </row>
    <row r="33" spans="1:5">
      <c r="A33" s="22" t="s">
        <v>780</v>
      </c>
      <c r="B33" s="23">
        <v>0.37</v>
      </c>
      <c r="C33" s="23">
        <v>0.15</v>
      </c>
      <c r="D33" s="23">
        <v>0.48</v>
      </c>
      <c r="E33" s="22">
        <v>312</v>
      </c>
    </row>
    <row r="34" spans="1:5">
      <c r="A34" s="22" t="s">
        <v>740</v>
      </c>
      <c r="B34" s="23">
        <v>0.28000000000000003</v>
      </c>
      <c r="C34" s="23">
        <v>0.19</v>
      </c>
      <c r="D34" s="23">
        <v>0.53</v>
      </c>
      <c r="E34" s="24">
        <v>1966</v>
      </c>
    </row>
    <row r="35" spans="1:5">
      <c r="A35" s="22" t="s">
        <v>752</v>
      </c>
      <c r="B35" s="23">
        <v>0.41</v>
      </c>
      <c r="C35" s="23">
        <v>0.17</v>
      </c>
      <c r="D35" s="23">
        <v>0.43</v>
      </c>
      <c r="E35" s="24">
        <v>1022</v>
      </c>
    </row>
    <row r="36" spans="1:5">
      <c r="A36" s="22" t="s">
        <v>802</v>
      </c>
      <c r="B36" s="23">
        <v>0.5</v>
      </c>
      <c r="C36" s="23">
        <v>0.18</v>
      </c>
      <c r="D36" s="23">
        <v>0.33</v>
      </c>
      <c r="E36" s="22">
        <v>338</v>
      </c>
    </row>
    <row r="37" spans="1:5">
      <c r="A37" s="22" t="s">
        <v>756</v>
      </c>
      <c r="B37" s="23">
        <v>0.42</v>
      </c>
      <c r="C37" s="23">
        <v>0.18</v>
      </c>
      <c r="D37" s="23">
        <v>0.4</v>
      </c>
      <c r="E37" s="24">
        <v>1132</v>
      </c>
    </row>
    <row r="38" spans="1:5">
      <c r="A38" s="22" t="s">
        <v>787</v>
      </c>
      <c r="B38" s="23">
        <v>0.45</v>
      </c>
      <c r="C38" s="23">
        <v>0.15</v>
      </c>
      <c r="D38" s="23">
        <v>0.4</v>
      </c>
      <c r="E38" s="22">
        <v>391</v>
      </c>
    </row>
    <row r="39" spans="1:5">
      <c r="A39" s="22" t="s">
        <v>766</v>
      </c>
      <c r="B39" s="23">
        <v>0.32</v>
      </c>
      <c r="C39" s="23">
        <v>0.21</v>
      </c>
      <c r="D39" s="23">
        <v>0.47</v>
      </c>
      <c r="E39" s="22">
        <v>419</v>
      </c>
    </row>
    <row r="40" spans="1:5">
      <c r="A40" s="22" t="s">
        <v>743</v>
      </c>
      <c r="B40" s="23">
        <v>0.39</v>
      </c>
      <c r="C40" s="23">
        <v>0.15</v>
      </c>
      <c r="D40" s="23">
        <v>0.46</v>
      </c>
      <c r="E40" s="24">
        <v>1366</v>
      </c>
    </row>
    <row r="41" spans="1:5">
      <c r="A41" s="22" t="s">
        <v>768</v>
      </c>
      <c r="B41" s="23">
        <v>0.3</v>
      </c>
      <c r="C41" s="23">
        <v>0.22</v>
      </c>
      <c r="D41" s="23">
        <v>0.48</v>
      </c>
      <c r="E41" s="22">
        <v>305</v>
      </c>
    </row>
    <row r="42" spans="1:5">
      <c r="A42" s="22" t="s">
        <v>783</v>
      </c>
      <c r="B42" s="23">
        <v>0.43</v>
      </c>
      <c r="C42" s="23">
        <v>0.18</v>
      </c>
      <c r="D42" s="23">
        <v>0.39</v>
      </c>
      <c r="E42" s="22">
        <v>495</v>
      </c>
    </row>
    <row r="43" spans="1:5">
      <c r="A43" s="22" t="s">
        <v>808</v>
      </c>
      <c r="B43" s="23">
        <v>0.53</v>
      </c>
      <c r="C43" s="23">
        <v>0.1</v>
      </c>
      <c r="D43" s="23">
        <v>0.37</v>
      </c>
      <c r="E43" s="22">
        <v>305</v>
      </c>
    </row>
    <row r="44" spans="1:5">
      <c r="A44" s="22" t="s">
        <v>771</v>
      </c>
      <c r="B44" s="23">
        <v>0.48</v>
      </c>
      <c r="C44" s="23">
        <v>0.15</v>
      </c>
      <c r="D44" s="23">
        <v>0.36</v>
      </c>
      <c r="E44" s="22">
        <v>661</v>
      </c>
    </row>
    <row r="45" spans="1:5">
      <c r="A45" s="22" t="s">
        <v>745</v>
      </c>
      <c r="B45" s="23">
        <v>0.39</v>
      </c>
      <c r="C45" s="23">
        <v>0.21</v>
      </c>
      <c r="D45" s="23">
        <v>0.4</v>
      </c>
      <c r="E45" s="24">
        <v>2535</v>
      </c>
    </row>
    <row r="46" spans="1:5">
      <c r="A46" s="22" t="s">
        <v>761</v>
      </c>
      <c r="B46" s="23">
        <v>0.54</v>
      </c>
      <c r="C46" s="23">
        <v>0.16</v>
      </c>
      <c r="D46" s="23">
        <v>0.3</v>
      </c>
      <c r="E46" s="22">
        <v>315</v>
      </c>
    </row>
    <row r="47" spans="1:5">
      <c r="A47" s="22" t="s">
        <v>785</v>
      </c>
      <c r="B47" s="23">
        <v>0.28999999999999998</v>
      </c>
      <c r="C47" s="23">
        <v>0.14000000000000001</v>
      </c>
      <c r="D47" s="23">
        <v>0.56999999999999995</v>
      </c>
      <c r="E47" s="22">
        <v>306</v>
      </c>
    </row>
    <row r="48" spans="1:5">
      <c r="A48" s="22" t="s">
        <v>760</v>
      </c>
      <c r="B48" s="23">
        <v>0.43</v>
      </c>
      <c r="C48" s="23">
        <v>0.18</v>
      </c>
      <c r="D48" s="23">
        <v>0.39</v>
      </c>
      <c r="E48" s="22">
        <v>882</v>
      </c>
    </row>
    <row r="49" spans="1:5">
      <c r="A49" s="22" t="s">
        <v>71</v>
      </c>
      <c r="B49" s="23">
        <v>0.33</v>
      </c>
      <c r="C49" s="23">
        <v>0.23</v>
      </c>
      <c r="D49" s="23">
        <v>0.44</v>
      </c>
      <c r="E49" s="22">
        <v>714</v>
      </c>
    </row>
    <row r="50" spans="1:5">
      <c r="A50" s="22" t="s">
        <v>791</v>
      </c>
      <c r="B50" s="23">
        <v>0.43</v>
      </c>
      <c r="C50" s="23">
        <v>0.16</v>
      </c>
      <c r="D50" s="23">
        <v>0.41</v>
      </c>
      <c r="E50" s="22">
        <v>309</v>
      </c>
    </row>
    <row r="51" spans="1:5">
      <c r="A51" s="22" t="s">
        <v>744</v>
      </c>
      <c r="B51" s="23">
        <v>0.42</v>
      </c>
      <c r="C51" s="23">
        <v>0.16</v>
      </c>
      <c r="D51" s="23">
        <v>0.42</v>
      </c>
      <c r="E51" s="22">
        <v>600</v>
      </c>
    </row>
    <row r="52" spans="1:5">
      <c r="A52" s="22" t="s">
        <v>729</v>
      </c>
      <c r="B52" s="23">
        <v>0.56999999999999995</v>
      </c>
      <c r="C52" s="23">
        <v>0.18</v>
      </c>
      <c r="D52" s="23">
        <v>0.25</v>
      </c>
      <c r="E52" s="22">
        <v>316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EDBC-A041-4543-B588-F10D843E3005}">
  <sheetPr codeName="Sheet1"/>
  <dimension ref="A1:D531"/>
  <sheetViews>
    <sheetView topLeftCell="A494" workbookViewId="0">
      <selection activeCell="A502" sqref="A502:D531"/>
    </sheetView>
  </sheetViews>
  <sheetFormatPr defaultColWidth="11.81640625" defaultRowHeight="17.5"/>
  <cols>
    <col min="1" max="1" width="31.1796875" style="34" bestFit="1" customWidth="1"/>
    <col min="2" max="2" width="10.26953125" style="34" bestFit="1" customWidth="1"/>
    <col min="3" max="3" width="29.7265625" style="35" bestFit="1" customWidth="1"/>
    <col min="4" max="4" width="35.1796875" style="38" bestFit="1" customWidth="1"/>
    <col min="5" max="16384" width="11.81640625" style="34"/>
  </cols>
  <sheetData>
    <row r="1" spans="1:4">
      <c r="A1" s="34" t="s">
        <v>2360</v>
      </c>
      <c r="B1" s="34" t="s">
        <v>3</v>
      </c>
      <c r="C1" s="35" t="s">
        <v>2361</v>
      </c>
      <c r="D1" s="38" t="s">
        <v>2362</v>
      </c>
    </row>
    <row r="2" spans="1:4">
      <c r="A2" s="34" t="s">
        <v>651</v>
      </c>
      <c r="B2" s="34" t="s">
        <v>1905</v>
      </c>
      <c r="C2" s="35">
        <v>110.7</v>
      </c>
      <c r="D2" s="39">
        <f>1-([1]!Cost_of_Living[[#This Row],[Cost of Living Index]]-MIN([1]!Cost_of_Living[Cost of Living Index]))/(MAX([1]!Cost_of_Living[Cost of Living Index])-MIN([1]!Cost_of_Living[Cost of Living Index]))</f>
        <v>0.61952554744525545</v>
      </c>
    </row>
    <row r="3" spans="1:4">
      <c r="A3" s="34" t="s">
        <v>799</v>
      </c>
      <c r="B3" s="34" t="s">
        <v>1905</v>
      </c>
      <c r="C3" s="35">
        <v>107.9</v>
      </c>
      <c r="D3" s="39">
        <f>1-([1]!Cost_of_Living[[#This Row],[Cost of Living Index]]-MIN([1]!Cost_of_Living[Cost of Living Index]))/(MAX([1]!Cost_of_Living[Cost of Living Index])-MIN([1]!Cost_of_Living[Cost of Living Index]))</f>
        <v>0.64507299270072993</v>
      </c>
    </row>
    <row r="4" spans="1:4">
      <c r="A4" s="34" t="s">
        <v>709</v>
      </c>
      <c r="B4" s="34" t="s">
        <v>1229</v>
      </c>
      <c r="C4" s="35">
        <v>96.6</v>
      </c>
      <c r="D4" s="39">
        <f>1-([1]!Cost_of_Living[[#This Row],[Cost of Living Index]]-MIN([1]!Cost_of_Living[Cost of Living Index]))/(MAX([1]!Cost_of_Living[Cost of Living Index])-MIN([1]!Cost_of_Living[Cost of Living Index]))</f>
        <v>0.74817518248175185</v>
      </c>
    </row>
    <row r="5" spans="1:4">
      <c r="A5" s="34" t="s">
        <v>174</v>
      </c>
      <c r="B5" s="34" t="s">
        <v>1229</v>
      </c>
      <c r="C5" s="35">
        <v>91.9</v>
      </c>
      <c r="D5" s="39">
        <f>1-([1]!Cost_of_Living[[#This Row],[Cost of Living Index]]-MIN([1]!Cost_of_Living[Cost of Living Index]))/(MAX([1]!Cost_of_Living[Cost of Living Index])-MIN([1]!Cost_of_Living[Cost of Living Index]))</f>
        <v>0.79105839416058388</v>
      </c>
    </row>
    <row r="6" spans="1:4">
      <c r="A6" s="34" t="s">
        <v>351</v>
      </c>
      <c r="B6" s="34" t="s">
        <v>1229</v>
      </c>
      <c r="C6" s="35">
        <v>91.3</v>
      </c>
      <c r="D6" s="39">
        <f>1-([1]!Cost_of_Living[[#This Row],[Cost of Living Index]]-MIN([1]!Cost_of_Living[Cost of Living Index]))/(MAX([1]!Cost_of_Living[Cost of Living Index])-MIN([1]!Cost_of_Living[Cost of Living Index]))</f>
        <v>0.79653284671532854</v>
      </c>
    </row>
    <row r="7" spans="1:4">
      <c r="A7" s="34" t="s">
        <v>169</v>
      </c>
      <c r="B7" s="34" t="s">
        <v>1229</v>
      </c>
      <c r="C7" s="35">
        <v>91</v>
      </c>
      <c r="D7" s="39">
        <f>1-([1]!Cost_of_Living[[#This Row],[Cost of Living Index]]-MIN([1]!Cost_of_Living[Cost of Living Index]))/(MAX([1]!Cost_of_Living[Cost of Living Index])-MIN([1]!Cost_of_Living[Cost of Living Index]))</f>
        <v>0.7992700729927007</v>
      </c>
    </row>
    <row r="8" spans="1:4">
      <c r="A8" s="34" t="s">
        <v>2363</v>
      </c>
      <c r="B8" s="34" t="s">
        <v>1229</v>
      </c>
      <c r="C8" s="35">
        <v>90.9</v>
      </c>
      <c r="D8" s="39">
        <f>1-([1]!Cost_of_Living[[#This Row],[Cost of Living Index]]-MIN([1]!Cost_of_Living[Cost of Living Index]))/(MAX([1]!Cost_of_Living[Cost of Living Index])-MIN([1]!Cost_of_Living[Cost of Living Index]))</f>
        <v>0.80018248175182471</v>
      </c>
    </row>
    <row r="9" spans="1:4">
      <c r="A9" s="34" t="s">
        <v>180</v>
      </c>
      <c r="B9" s="34" t="s">
        <v>1229</v>
      </c>
      <c r="C9" s="35">
        <v>90.7</v>
      </c>
      <c r="D9" s="39">
        <f>1-([1]!Cost_of_Living[[#This Row],[Cost of Living Index]]-MIN([1]!Cost_of_Living[Cost of Living Index]))/(MAX([1]!Cost_of_Living[Cost of Living Index])-MIN([1]!Cost_of_Living[Cost of Living Index]))</f>
        <v>0.80200729927007297</v>
      </c>
    </row>
    <row r="10" spans="1:4">
      <c r="A10" s="34" t="s">
        <v>2364</v>
      </c>
      <c r="B10" s="34" t="s">
        <v>1229</v>
      </c>
      <c r="C10" s="35">
        <v>90.5</v>
      </c>
      <c r="D10" s="39">
        <f>1-([1]!Cost_of_Living[[#This Row],[Cost of Living Index]]-MIN([1]!Cost_of_Living[Cost of Living Index]))/(MAX([1]!Cost_of_Living[Cost of Living Index])-MIN([1]!Cost_of_Living[Cost of Living Index]))</f>
        <v>0.80383211678832112</v>
      </c>
    </row>
    <row r="11" spans="1:4">
      <c r="A11" s="34" t="s">
        <v>512</v>
      </c>
      <c r="B11" s="34" t="s">
        <v>1229</v>
      </c>
      <c r="C11" s="35">
        <v>88.6</v>
      </c>
      <c r="D11" s="39">
        <f>1-([1]!Cost_of_Living[[#This Row],[Cost of Living Index]]-MIN([1]!Cost_of_Living[Cost of Living Index]))/(MAX([1]!Cost_of_Living[Cost of Living Index])-MIN([1]!Cost_of_Living[Cost of Living Index]))</f>
        <v>0.82116788321167888</v>
      </c>
    </row>
    <row r="12" spans="1:4">
      <c r="A12" s="36" t="s">
        <v>574</v>
      </c>
      <c r="B12" s="36" t="s">
        <v>1229</v>
      </c>
      <c r="C12" s="37">
        <v>88.5</v>
      </c>
      <c r="D12" s="39">
        <f>1-([1]!Cost_of_Living[[#This Row],[Cost of Living Index]]-MIN([1]!Cost_of_Living[Cost of Living Index]))/(MAX([1]!Cost_of_Living[Cost of Living Index])-MIN([1]!Cost_of_Living[Cost of Living Index]))</f>
        <v>0.8220802919708029</v>
      </c>
    </row>
    <row r="13" spans="1:4">
      <c r="A13" s="36" t="s">
        <v>436</v>
      </c>
      <c r="B13" s="36" t="s">
        <v>1229</v>
      </c>
      <c r="C13" s="37">
        <v>88.3</v>
      </c>
      <c r="D13" s="39">
        <f>1-([1]!Cost_of_Living[[#This Row],[Cost of Living Index]]-MIN([1]!Cost_of_Living[Cost of Living Index]))/(MAX([1]!Cost_of_Living[Cost of Living Index])-MIN([1]!Cost_of_Living[Cost of Living Index]))</f>
        <v>0.82390510948905105</v>
      </c>
    </row>
    <row r="14" spans="1:4">
      <c r="A14" s="36" t="s">
        <v>690</v>
      </c>
      <c r="B14" s="36" t="s">
        <v>1229</v>
      </c>
      <c r="C14" s="37">
        <v>87.4</v>
      </c>
      <c r="D14" s="39">
        <f>1-([1]!Cost_of_Living[[#This Row],[Cost of Living Index]]-MIN([1]!Cost_of_Living[Cost of Living Index]))/(MAX([1]!Cost_of_Living[Cost of Living Index])-MIN([1]!Cost_of_Living[Cost of Living Index]))</f>
        <v>0.83211678832116776</v>
      </c>
    </row>
    <row r="15" spans="1:4">
      <c r="A15" s="36" t="s">
        <v>580</v>
      </c>
      <c r="B15" s="36" t="s">
        <v>1229</v>
      </c>
      <c r="C15" s="37">
        <v>86.8</v>
      </c>
      <c r="D15" s="39">
        <f>1-([1]!Cost_of_Living[[#This Row],[Cost of Living Index]]-MIN([1]!Cost_of_Living[Cost of Living Index]))/(MAX([1]!Cost_of_Living[Cost of Living Index])-MIN([1]!Cost_of_Living[Cost of Living Index]))</f>
        <v>0.83759124087591241</v>
      </c>
    </row>
    <row r="16" spans="1:4">
      <c r="A16" s="36" t="s">
        <v>2365</v>
      </c>
      <c r="B16" s="36" t="s">
        <v>1229</v>
      </c>
      <c r="C16" s="37">
        <v>86.3</v>
      </c>
      <c r="D16" s="39">
        <f>1-([1]!Cost_of_Living[[#This Row],[Cost of Living Index]]-MIN([1]!Cost_of_Living[Cost of Living Index]))/(MAX([1]!Cost_of_Living[Cost of Living Index])-MIN([1]!Cost_of_Living[Cost of Living Index]))</f>
        <v>0.84215328467153283</v>
      </c>
    </row>
    <row r="17" spans="1:4">
      <c r="A17" s="36" t="s">
        <v>2366</v>
      </c>
      <c r="B17" s="36" t="s">
        <v>1229</v>
      </c>
      <c r="C17" s="37">
        <v>86</v>
      </c>
      <c r="D17" s="39">
        <f>1-([1]!Cost_of_Living[[#This Row],[Cost of Living Index]]-MIN([1]!Cost_of_Living[Cost of Living Index]))/(MAX([1]!Cost_of_Living[Cost of Living Index])-MIN([1]!Cost_of_Living[Cost of Living Index]))</f>
        <v>0.8448905109489051</v>
      </c>
    </row>
    <row r="18" spans="1:4">
      <c r="A18" s="36" t="s">
        <v>2367</v>
      </c>
      <c r="B18" s="36" t="s">
        <v>1229</v>
      </c>
      <c r="C18" s="37">
        <v>85.7</v>
      </c>
      <c r="D18" s="39">
        <f>1-([1]!Cost_of_Living[[#This Row],[Cost of Living Index]]-MIN([1]!Cost_of_Living[Cost of Living Index]))/(MAX([1]!Cost_of_Living[Cost of Living Index])-MIN([1]!Cost_of_Living[Cost of Living Index]))</f>
        <v>0.84762773722627738</v>
      </c>
    </row>
    <row r="19" spans="1:4">
      <c r="A19" s="36" t="s">
        <v>189</v>
      </c>
      <c r="B19" s="36" t="s">
        <v>1352</v>
      </c>
      <c r="C19" s="37">
        <v>90.4</v>
      </c>
      <c r="D19" s="39">
        <f>1-([1]!Cost_of_Living[[#This Row],[Cost of Living Index]]-MIN([1]!Cost_of_Living[Cost of Living Index]))/(MAX([1]!Cost_of_Living[Cost of Living Index])-MIN([1]!Cost_of_Living[Cost of Living Index]))</f>
        <v>0.80474452554744524</v>
      </c>
    </row>
    <row r="20" spans="1:4">
      <c r="A20" s="36" t="s">
        <v>394</v>
      </c>
      <c r="B20" s="36" t="s">
        <v>1352</v>
      </c>
      <c r="C20" s="37">
        <v>88</v>
      </c>
      <c r="D20" s="39">
        <f>1-([1]!Cost_of_Living[[#This Row],[Cost of Living Index]]-MIN([1]!Cost_of_Living[Cost of Living Index]))/(MAX([1]!Cost_of_Living[Cost of Living Index])-MIN([1]!Cost_of_Living[Cost of Living Index]))</f>
        <v>0.82664233576642332</v>
      </c>
    </row>
    <row r="21" spans="1:4">
      <c r="A21" s="36" t="s">
        <v>2368</v>
      </c>
      <c r="B21" s="36" t="s">
        <v>1352</v>
      </c>
      <c r="C21" s="37">
        <v>87.3</v>
      </c>
      <c r="D21" s="39">
        <f>1-([1]!Cost_of_Living[[#This Row],[Cost of Living Index]]-MIN([1]!Cost_of_Living[Cost of Living Index]))/(MAX([1]!Cost_of_Living[Cost of Living Index])-MIN([1]!Cost_of_Living[Cost of Living Index]))</f>
        <v>0.83302919708029199</v>
      </c>
    </row>
    <row r="22" spans="1:4">
      <c r="A22" s="36" t="s">
        <v>605</v>
      </c>
      <c r="B22" s="36" t="s">
        <v>1352</v>
      </c>
      <c r="C22" s="37">
        <v>85.5</v>
      </c>
      <c r="D22" s="39">
        <f>1-([1]!Cost_of_Living[[#This Row],[Cost of Living Index]]-MIN([1]!Cost_of_Living[Cost of Living Index]))/(MAX([1]!Cost_of_Living[Cost of Living Index])-MIN([1]!Cost_of_Living[Cost of Living Index]))</f>
        <v>0.84945255474452552</v>
      </c>
    </row>
    <row r="23" spans="1:4">
      <c r="A23" s="36" t="s">
        <v>2369</v>
      </c>
      <c r="B23" s="36" t="s">
        <v>1352</v>
      </c>
      <c r="C23" s="37">
        <v>85.4</v>
      </c>
      <c r="D23" s="39">
        <f>1-([1]!Cost_of_Living[[#This Row],[Cost of Living Index]]-MIN([1]!Cost_of_Living[Cost of Living Index]))/(MAX([1]!Cost_of_Living[Cost of Living Index])-MIN([1]!Cost_of_Living[Cost of Living Index]))</f>
        <v>0.85036496350364954</v>
      </c>
    </row>
    <row r="24" spans="1:4">
      <c r="A24" s="36" t="s">
        <v>412</v>
      </c>
      <c r="B24" s="36" t="s">
        <v>1352</v>
      </c>
      <c r="C24" s="37">
        <v>85.2</v>
      </c>
      <c r="D24" s="39">
        <f>1-([1]!Cost_of_Living[[#This Row],[Cost of Living Index]]-MIN([1]!Cost_of_Living[Cost of Living Index]))/(MAX([1]!Cost_of_Living[Cost of Living Index])-MIN([1]!Cost_of_Living[Cost of Living Index]))</f>
        <v>0.8521897810218978</v>
      </c>
    </row>
    <row r="25" spans="1:4">
      <c r="A25" s="36" t="s">
        <v>692</v>
      </c>
      <c r="B25" s="36" t="s">
        <v>1352</v>
      </c>
      <c r="C25" s="37">
        <v>84.2</v>
      </c>
      <c r="D25" s="39">
        <f>1-([1]!Cost_of_Living[[#This Row],[Cost of Living Index]]-MIN([1]!Cost_of_Living[Cost of Living Index]))/(MAX([1]!Cost_of_Living[Cost of Living Index])-MIN([1]!Cost_of_Living[Cost of Living Index]))</f>
        <v>0.86131386861313863</v>
      </c>
    </row>
    <row r="26" spans="1:4">
      <c r="A26" s="36" t="s">
        <v>684</v>
      </c>
      <c r="B26" s="36" t="s">
        <v>1352</v>
      </c>
      <c r="C26" s="37">
        <v>82.3</v>
      </c>
      <c r="D26" s="39">
        <f>1-([1]!Cost_of_Living[[#This Row],[Cost of Living Index]]-MIN([1]!Cost_of_Living[Cost of Living Index]))/(MAX([1]!Cost_of_Living[Cost of Living Index])-MIN([1]!Cost_of_Living[Cost of Living Index]))</f>
        <v>0.8786496350364964</v>
      </c>
    </row>
    <row r="27" spans="1:4">
      <c r="A27" s="36" t="s">
        <v>797</v>
      </c>
      <c r="B27" s="36" t="s">
        <v>1199</v>
      </c>
      <c r="C27" s="37">
        <v>108.5</v>
      </c>
      <c r="D27" s="39">
        <f>1-([1]!Cost_of_Living[[#This Row],[Cost of Living Index]]-MIN([1]!Cost_of_Living[Cost of Living Index]))/(MAX([1]!Cost_of_Living[Cost of Living Index])-MIN([1]!Cost_of_Living[Cost of Living Index]))</f>
        <v>0.63959854014598538</v>
      </c>
    </row>
    <row r="28" spans="1:4">
      <c r="A28" s="36" t="s">
        <v>665</v>
      </c>
      <c r="B28" s="36" t="s">
        <v>1199</v>
      </c>
      <c r="C28" s="37">
        <v>104.6</v>
      </c>
      <c r="D28" s="39">
        <f>1-([1]!Cost_of_Living[[#This Row],[Cost of Living Index]]-MIN([1]!Cost_of_Living[Cost of Living Index]))/(MAX([1]!Cost_of_Living[Cost of Living Index])-MIN([1]!Cost_of_Living[Cost of Living Index]))</f>
        <v>0.67518248175182483</v>
      </c>
    </row>
    <row r="29" spans="1:4">
      <c r="A29" s="36" t="s">
        <v>235</v>
      </c>
      <c r="B29" s="36" t="s">
        <v>1199</v>
      </c>
      <c r="C29" s="37">
        <v>104.3</v>
      </c>
      <c r="D29" s="39">
        <f>1-([1]!Cost_of_Living[[#This Row],[Cost of Living Index]]-MIN([1]!Cost_of_Living[Cost of Living Index]))/(MAX([1]!Cost_of_Living[Cost of Living Index])-MIN([1]!Cost_of_Living[Cost of Living Index]))</f>
        <v>0.6779197080291971</v>
      </c>
    </row>
    <row r="30" spans="1:4">
      <c r="A30" s="36" t="s">
        <v>2370</v>
      </c>
      <c r="B30" s="36" t="s">
        <v>1199</v>
      </c>
      <c r="C30" s="37">
        <v>101.9</v>
      </c>
      <c r="D30" s="39">
        <f>1-([1]!Cost_of_Living[[#This Row],[Cost of Living Index]]-MIN([1]!Cost_of_Living[Cost of Living Index]))/(MAX([1]!Cost_of_Living[Cost of Living Index])-MIN([1]!Cost_of_Living[Cost of Living Index]))</f>
        <v>0.69981751824817517</v>
      </c>
    </row>
    <row r="31" spans="1:4">
      <c r="A31" s="36" t="s">
        <v>2371</v>
      </c>
      <c r="B31" s="36" t="s">
        <v>1199</v>
      </c>
      <c r="C31" s="37">
        <v>98.4</v>
      </c>
      <c r="D31" s="39">
        <f>1-([1]!Cost_of_Living[[#This Row],[Cost of Living Index]]-MIN([1]!Cost_of_Living[Cost of Living Index]))/(MAX([1]!Cost_of_Living[Cost of Living Index])-MIN([1]!Cost_of_Living[Cost of Living Index]))</f>
        <v>0.7317518248175181</v>
      </c>
    </row>
    <row r="32" spans="1:4">
      <c r="A32" s="36" t="s">
        <v>58</v>
      </c>
      <c r="B32" s="36" t="s">
        <v>1199</v>
      </c>
      <c r="C32" s="37">
        <v>97.7</v>
      </c>
      <c r="D32" s="39">
        <f>1-([1]!Cost_of_Living[[#This Row],[Cost of Living Index]]-MIN([1]!Cost_of_Living[Cost of Living Index]))/(MAX([1]!Cost_of_Living[Cost of Living Index])-MIN([1]!Cost_of_Living[Cost of Living Index]))</f>
        <v>0.73813868613138678</v>
      </c>
    </row>
    <row r="33" spans="1:4">
      <c r="A33" s="36" t="s">
        <v>2372</v>
      </c>
      <c r="B33" s="36" t="s">
        <v>1199</v>
      </c>
      <c r="C33" s="37">
        <v>94.5</v>
      </c>
      <c r="D33" s="39">
        <f>1-([1]!Cost_of_Living[[#This Row],[Cost of Living Index]]-MIN([1]!Cost_of_Living[Cost of Living Index]))/(MAX([1]!Cost_of_Living[Cost of Living Index])-MIN([1]!Cost_of_Living[Cost of Living Index]))</f>
        <v>0.76733576642335766</v>
      </c>
    </row>
    <row r="34" spans="1:4">
      <c r="A34" s="36" t="s">
        <v>2373</v>
      </c>
      <c r="B34" s="36" t="s">
        <v>1199</v>
      </c>
      <c r="C34" s="37">
        <v>93.2</v>
      </c>
      <c r="D34" s="39">
        <f>1-([1]!Cost_of_Living[[#This Row],[Cost of Living Index]]-MIN([1]!Cost_of_Living[Cost of Living Index]))/(MAX([1]!Cost_of_Living[Cost of Living Index])-MIN([1]!Cost_of_Living[Cost of Living Index]))</f>
        <v>0.77919708029197077</v>
      </c>
    </row>
    <row r="35" spans="1:4">
      <c r="A35" s="36" t="s">
        <v>198</v>
      </c>
      <c r="B35" s="36" t="s">
        <v>822</v>
      </c>
      <c r="C35" s="37">
        <v>178.6</v>
      </c>
      <c r="D35" s="39">
        <f>1-([1]!Cost_of_Living[[#This Row],[Cost of Living Index]]-MIN([1]!Cost_of_Living[Cost of Living Index]))/(MAX([1]!Cost_of_Living[Cost of Living Index])-MIN([1]!Cost_of_Living[Cost of Living Index]))</f>
        <v>0</v>
      </c>
    </row>
    <row r="36" spans="1:4">
      <c r="A36" s="36" t="s">
        <v>194</v>
      </c>
      <c r="B36" s="36" t="s">
        <v>822</v>
      </c>
      <c r="C36" s="37">
        <v>173.5</v>
      </c>
      <c r="D36" s="39">
        <f>1-([1]!Cost_of_Living[[#This Row],[Cost of Living Index]]-MIN([1]!Cost_of_Living[Cost of Living Index]))/(MAX([1]!Cost_of_Living[Cost of Living Index])-MIN([1]!Cost_of_Living[Cost of Living Index]))</f>
        <v>4.6532846715328424E-2</v>
      </c>
    </row>
    <row r="37" spans="1:4">
      <c r="A37" s="36" t="s">
        <v>772</v>
      </c>
      <c r="B37" s="36" t="s">
        <v>822</v>
      </c>
      <c r="C37" s="37">
        <v>163.9</v>
      </c>
      <c r="D37" s="39">
        <f>1-([1]!Cost_of_Living[[#This Row],[Cost of Living Index]]-MIN([1]!Cost_of_Living[Cost of Living Index]))/(MAX([1]!Cost_of_Living[Cost of Living Index])-MIN([1]!Cost_of_Living[Cost of Living Index]))</f>
        <v>0.13412408759124073</v>
      </c>
    </row>
    <row r="38" spans="1:4">
      <c r="A38" s="36" t="s">
        <v>2374</v>
      </c>
      <c r="B38" s="36" t="s">
        <v>822</v>
      </c>
      <c r="C38" s="37">
        <v>149.6</v>
      </c>
      <c r="D38" s="39">
        <f>1-([1]!Cost_of_Living[[#This Row],[Cost of Living Index]]-MIN([1]!Cost_of_Living[Cost of Living Index]))/(MAX([1]!Cost_of_Living[Cost of Living Index])-MIN([1]!Cost_of_Living[Cost of Living Index]))</f>
        <v>0.26459854014598538</v>
      </c>
    </row>
    <row r="39" spans="1:4">
      <c r="A39" s="36" t="s">
        <v>2375</v>
      </c>
      <c r="B39" s="36" t="s">
        <v>822</v>
      </c>
      <c r="C39" s="37">
        <v>143</v>
      </c>
      <c r="D39" s="39">
        <f>1-([1]!Cost_of_Living[[#This Row],[Cost of Living Index]]-MIN([1]!Cost_of_Living[Cost of Living Index]))/(MAX([1]!Cost_of_Living[Cost of Living Index])-MIN([1]!Cost_of_Living[Cost of Living Index]))</f>
        <v>0.32481751824817517</v>
      </c>
    </row>
    <row r="40" spans="1:4">
      <c r="A40" s="36" t="s">
        <v>2376</v>
      </c>
      <c r="B40" s="36" t="s">
        <v>822</v>
      </c>
      <c r="C40" s="37">
        <v>141.69999999999999</v>
      </c>
      <c r="D40" s="39">
        <f>1-([1]!Cost_of_Living[[#This Row],[Cost of Living Index]]-MIN([1]!Cost_of_Living[Cost of Living Index]))/(MAX([1]!Cost_of_Living[Cost of Living Index])-MIN([1]!Cost_of_Living[Cost of Living Index]))</f>
        <v>0.3366788321167884</v>
      </c>
    </row>
    <row r="41" spans="1:4">
      <c r="A41" s="36" t="s">
        <v>41</v>
      </c>
      <c r="B41" s="36" t="s">
        <v>822</v>
      </c>
      <c r="C41" s="37">
        <v>140.6</v>
      </c>
      <c r="D41" s="39">
        <f>1-([1]!Cost_of_Living[[#This Row],[Cost of Living Index]]-MIN([1]!Cost_of_Living[Cost of Living Index]))/(MAX([1]!Cost_of_Living[Cost of Living Index])-MIN([1]!Cost_of_Living[Cost of Living Index]))</f>
        <v>0.34671532846715325</v>
      </c>
    </row>
    <row r="42" spans="1:4">
      <c r="A42" s="36" t="s">
        <v>2377</v>
      </c>
      <c r="B42" s="36" t="s">
        <v>822</v>
      </c>
      <c r="C42" s="37">
        <v>138.30000000000001</v>
      </c>
      <c r="D42" s="39">
        <f>1-([1]!Cost_of_Living[[#This Row],[Cost of Living Index]]-MIN([1]!Cost_of_Living[Cost of Living Index]))/(MAX([1]!Cost_of_Living[Cost of Living Index])-MIN([1]!Cost_of_Living[Cost of Living Index]))</f>
        <v>0.3677007299270072</v>
      </c>
    </row>
    <row r="43" spans="1:4">
      <c r="A43" s="36" t="s">
        <v>284</v>
      </c>
      <c r="B43" s="36" t="s">
        <v>822</v>
      </c>
      <c r="C43" s="37">
        <v>136.19999999999999</v>
      </c>
      <c r="D43" s="39">
        <f>1-([1]!Cost_of_Living[[#This Row],[Cost of Living Index]]-MIN([1]!Cost_of_Living[Cost of Living Index]))/(MAX([1]!Cost_of_Living[Cost of Living Index])-MIN([1]!Cost_of_Living[Cost of Living Index]))</f>
        <v>0.38686131386861322</v>
      </c>
    </row>
    <row r="44" spans="1:4">
      <c r="A44" s="36" t="s">
        <v>218</v>
      </c>
      <c r="B44" s="36" t="s">
        <v>822</v>
      </c>
      <c r="C44" s="37">
        <v>136.1</v>
      </c>
      <c r="D44" s="39">
        <f>1-([1]!Cost_of_Living[[#This Row],[Cost of Living Index]]-MIN([1]!Cost_of_Living[Cost of Living Index]))/(MAX([1]!Cost_of_Living[Cost of Living Index])-MIN([1]!Cost_of_Living[Cost of Living Index]))</f>
        <v>0.38777372262773724</v>
      </c>
    </row>
    <row r="45" spans="1:4">
      <c r="A45" s="36" t="s">
        <v>2378</v>
      </c>
      <c r="B45" s="36" t="s">
        <v>822</v>
      </c>
      <c r="C45" s="37">
        <v>132.80000000000001</v>
      </c>
      <c r="D45" s="39">
        <f>1-([1]!Cost_of_Living[[#This Row],[Cost of Living Index]]-MIN([1]!Cost_of_Living[Cost of Living Index]))/(MAX([1]!Cost_of_Living[Cost of Living Index])-MIN([1]!Cost_of_Living[Cost of Living Index]))</f>
        <v>0.41788321167883202</v>
      </c>
    </row>
    <row r="46" spans="1:4">
      <c r="A46" s="36" t="s">
        <v>2379</v>
      </c>
      <c r="B46" s="36" t="s">
        <v>822</v>
      </c>
      <c r="C46" s="37">
        <v>132.19999999999999</v>
      </c>
      <c r="D46" s="39">
        <f>1-([1]!Cost_of_Living[[#This Row],[Cost of Living Index]]-MIN([1]!Cost_of_Living[Cost of Living Index]))/(MAX([1]!Cost_of_Living[Cost of Living Index])-MIN([1]!Cost_of_Living[Cost of Living Index]))</f>
        <v>0.42335766423357668</v>
      </c>
    </row>
    <row r="47" spans="1:4">
      <c r="A47" s="36" t="s">
        <v>733</v>
      </c>
      <c r="B47" s="36" t="s">
        <v>822</v>
      </c>
      <c r="C47" s="37">
        <v>128</v>
      </c>
      <c r="D47" s="39">
        <f>1-([1]!Cost_of_Living[[#This Row],[Cost of Living Index]]-MIN([1]!Cost_of_Living[Cost of Living Index]))/(MAX([1]!Cost_of_Living[Cost of Living Index])-MIN([1]!Cost_of_Living[Cost of Living Index]))</f>
        <v>0.46167883211678828</v>
      </c>
    </row>
    <row r="48" spans="1:4">
      <c r="A48" s="36" t="s">
        <v>654</v>
      </c>
      <c r="B48" s="36" t="s">
        <v>822</v>
      </c>
      <c r="C48" s="37">
        <v>125.2</v>
      </c>
      <c r="D48" s="39">
        <f>1-([1]!Cost_of_Living[[#This Row],[Cost of Living Index]]-MIN([1]!Cost_of_Living[Cost of Living Index]))/(MAX([1]!Cost_of_Living[Cost of Living Index])-MIN([1]!Cost_of_Living[Cost of Living Index]))</f>
        <v>0.48722627737226276</v>
      </c>
    </row>
    <row r="49" spans="1:4">
      <c r="A49" s="36" t="s">
        <v>298</v>
      </c>
      <c r="B49" s="36" t="s">
        <v>822</v>
      </c>
      <c r="C49" s="37">
        <v>120.3</v>
      </c>
      <c r="D49" s="39">
        <f>1-([1]!Cost_of_Living[[#This Row],[Cost of Living Index]]-MIN([1]!Cost_of_Living[Cost of Living Index]))/(MAX([1]!Cost_of_Living[Cost of Living Index])-MIN([1]!Cost_of_Living[Cost of Living Index]))</f>
        <v>0.53193430656934304</v>
      </c>
    </row>
    <row r="50" spans="1:4">
      <c r="A50" s="36" t="s">
        <v>2380</v>
      </c>
      <c r="B50" s="36" t="s">
        <v>822</v>
      </c>
      <c r="C50" s="37">
        <v>116.5</v>
      </c>
      <c r="D50" s="39">
        <f>1-([1]!Cost_of_Living[[#This Row],[Cost of Living Index]]-MIN([1]!Cost_of_Living[Cost of Living Index]))/(MAX([1]!Cost_of_Living[Cost of Living Index])-MIN([1]!Cost_of_Living[Cost of Living Index]))</f>
        <v>0.56660583941605835</v>
      </c>
    </row>
    <row r="51" spans="1:4">
      <c r="A51" s="36" t="s">
        <v>631</v>
      </c>
      <c r="B51" s="36" t="s">
        <v>822</v>
      </c>
      <c r="C51" s="37">
        <v>116.1</v>
      </c>
      <c r="D51" s="39">
        <f>1-([1]!Cost_of_Living[[#This Row],[Cost of Living Index]]-MIN([1]!Cost_of_Living[Cost of Living Index]))/(MAX([1]!Cost_of_Living[Cost of Living Index])-MIN([1]!Cost_of_Living[Cost of Living Index]))</f>
        <v>0.57025547445255476</v>
      </c>
    </row>
    <row r="52" spans="1:4">
      <c r="A52" s="36" t="s">
        <v>727</v>
      </c>
      <c r="B52" s="36" t="s">
        <v>822</v>
      </c>
      <c r="C52" s="37">
        <v>113.6</v>
      </c>
      <c r="D52" s="39">
        <f>1-([1]!Cost_of_Living[[#This Row],[Cost of Living Index]]-MIN([1]!Cost_of_Living[Cost of Living Index]))/(MAX([1]!Cost_of_Living[Cost of Living Index])-MIN([1]!Cost_of_Living[Cost of Living Index]))</f>
        <v>0.59306569343065696</v>
      </c>
    </row>
    <row r="53" spans="1:4">
      <c r="A53" s="36" t="s">
        <v>2381</v>
      </c>
      <c r="B53" s="36" t="s">
        <v>822</v>
      </c>
      <c r="C53" s="37">
        <v>112.3</v>
      </c>
      <c r="D53" s="39">
        <f>1-([1]!Cost_of_Living[[#This Row],[Cost of Living Index]]-MIN([1]!Cost_of_Living[Cost of Living Index]))/(MAX([1]!Cost_of_Living[Cost of Living Index])-MIN([1]!Cost_of_Living[Cost of Living Index]))</f>
        <v>0.60492700729927007</v>
      </c>
    </row>
    <row r="54" spans="1:4">
      <c r="A54" s="36" t="s">
        <v>265</v>
      </c>
      <c r="B54" s="36" t="s">
        <v>822</v>
      </c>
      <c r="C54" s="37">
        <v>110.5</v>
      </c>
      <c r="D54" s="39">
        <f>1-([1]!Cost_of_Living[[#This Row],[Cost of Living Index]]-MIN([1]!Cost_of_Living[Cost of Living Index]))/(MAX([1]!Cost_of_Living[Cost of Living Index])-MIN([1]!Cost_of_Living[Cost of Living Index]))</f>
        <v>0.62135036496350371</v>
      </c>
    </row>
    <row r="55" spans="1:4">
      <c r="A55" s="36" t="s">
        <v>2382</v>
      </c>
      <c r="B55" s="36" t="s">
        <v>822</v>
      </c>
      <c r="C55" s="37">
        <v>108.9</v>
      </c>
      <c r="D55" s="39">
        <f>1-([1]!Cost_of_Living[[#This Row],[Cost of Living Index]]-MIN([1]!Cost_of_Living[Cost of Living Index]))/(MAX([1]!Cost_of_Living[Cost of Living Index])-MIN([1]!Cost_of_Living[Cost of Living Index]))</f>
        <v>0.63594890510948898</v>
      </c>
    </row>
    <row r="56" spans="1:4">
      <c r="A56" s="36" t="s">
        <v>2383</v>
      </c>
      <c r="B56" s="36" t="s">
        <v>822</v>
      </c>
      <c r="C56" s="37">
        <v>108.8</v>
      </c>
      <c r="D56" s="39">
        <f>1-([1]!Cost_of_Living[[#This Row],[Cost of Living Index]]-MIN([1]!Cost_of_Living[Cost of Living Index]))/(MAX([1]!Cost_of_Living[Cost of Living Index])-MIN([1]!Cost_of_Living[Cost of Living Index]))</f>
        <v>0.63686131386861322</v>
      </c>
    </row>
    <row r="57" spans="1:4">
      <c r="A57" s="36" t="s">
        <v>720</v>
      </c>
      <c r="B57" s="36" t="s">
        <v>822</v>
      </c>
      <c r="C57" s="37">
        <v>108.7</v>
      </c>
      <c r="D57" s="39">
        <f>1-([1]!Cost_of_Living[[#This Row],[Cost of Living Index]]-MIN([1]!Cost_of_Living[Cost of Living Index]))/(MAX([1]!Cost_of_Living[Cost of Living Index])-MIN([1]!Cost_of_Living[Cost of Living Index]))</f>
        <v>0.63777372262773713</v>
      </c>
    </row>
    <row r="58" spans="1:4">
      <c r="A58" s="36" t="s">
        <v>2384</v>
      </c>
      <c r="B58" s="36" t="s">
        <v>822</v>
      </c>
      <c r="C58" s="37">
        <v>108.7</v>
      </c>
      <c r="D58" s="39">
        <f>1-([1]!Cost_of_Living[[#This Row],[Cost of Living Index]]-MIN([1]!Cost_of_Living[Cost of Living Index]))/(MAX([1]!Cost_of_Living[Cost of Living Index])-MIN([1]!Cost_of_Living[Cost of Living Index]))</f>
        <v>0.63777372262773713</v>
      </c>
    </row>
    <row r="59" spans="1:4">
      <c r="A59" s="36" t="s">
        <v>805</v>
      </c>
      <c r="B59" s="36" t="s">
        <v>822</v>
      </c>
      <c r="C59" s="37">
        <v>108.2</v>
      </c>
      <c r="D59" s="39">
        <f>1-([1]!Cost_of_Living[[#This Row],[Cost of Living Index]]-MIN([1]!Cost_of_Living[Cost of Living Index]))/(MAX([1]!Cost_of_Living[Cost of Living Index])-MIN([1]!Cost_of_Living[Cost of Living Index]))</f>
        <v>0.64233576642335755</v>
      </c>
    </row>
    <row r="60" spans="1:4">
      <c r="A60" s="36" t="s">
        <v>336</v>
      </c>
      <c r="B60" s="36" t="s">
        <v>822</v>
      </c>
      <c r="C60" s="37">
        <v>105.9</v>
      </c>
      <c r="D60" s="39">
        <f>1-([1]!Cost_of_Living[[#This Row],[Cost of Living Index]]-MIN([1]!Cost_of_Living[Cost of Living Index]))/(MAX([1]!Cost_of_Living[Cost of Living Index])-MIN([1]!Cost_of_Living[Cost of Living Index]))</f>
        <v>0.6633211678832116</v>
      </c>
    </row>
    <row r="61" spans="1:4">
      <c r="A61" s="36" t="s">
        <v>2385</v>
      </c>
      <c r="B61" s="36" t="s">
        <v>822</v>
      </c>
      <c r="C61" s="37">
        <v>105.4</v>
      </c>
      <c r="D61" s="39">
        <f>1-([1]!Cost_of_Living[[#This Row],[Cost of Living Index]]-MIN([1]!Cost_of_Living[Cost of Living Index]))/(MAX([1]!Cost_of_Living[Cost of Living Index])-MIN([1]!Cost_of_Living[Cost of Living Index]))</f>
        <v>0.66788321167883202</v>
      </c>
    </row>
    <row r="62" spans="1:4">
      <c r="A62" s="34" t="s">
        <v>2386</v>
      </c>
      <c r="B62" s="34" t="s">
        <v>822</v>
      </c>
      <c r="C62" s="35">
        <v>103.6</v>
      </c>
      <c r="D62" s="39">
        <f>1-([1]!Cost_of_Living[[#This Row],[Cost of Living Index]]-MIN([1]!Cost_of_Living[Cost of Living Index]))/(MAX([1]!Cost_of_Living[Cost of Living Index])-MIN([1]!Cost_of_Living[Cost of Living Index]))</f>
        <v>0.68430656934306566</v>
      </c>
    </row>
    <row r="63" spans="1:4">
      <c r="A63" s="34" t="s">
        <v>525</v>
      </c>
      <c r="B63" s="34" t="s">
        <v>822</v>
      </c>
      <c r="C63" s="35">
        <v>102.9</v>
      </c>
      <c r="D63" s="39">
        <f>1-([1]!Cost_of_Living[[#This Row],[Cost of Living Index]]-MIN([1]!Cost_of_Living[Cost of Living Index]))/(MAX([1]!Cost_of_Living[Cost of Living Index])-MIN([1]!Cost_of_Living[Cost of Living Index]))</f>
        <v>0.69069343065693423</v>
      </c>
    </row>
    <row r="64" spans="1:4">
      <c r="A64" s="34" t="s">
        <v>2387</v>
      </c>
      <c r="B64" s="34" t="s">
        <v>822</v>
      </c>
      <c r="C64" s="35">
        <v>102.3</v>
      </c>
      <c r="D64" s="39">
        <f>1-([1]!Cost_of_Living[[#This Row],[Cost of Living Index]]-MIN([1]!Cost_of_Living[Cost of Living Index]))/(MAX([1]!Cost_of_Living[Cost of Living Index])-MIN([1]!Cost_of_Living[Cost of Living Index]))</f>
        <v>0.69616788321167888</v>
      </c>
    </row>
    <row r="65" spans="1:4">
      <c r="A65" s="34" t="s">
        <v>2388</v>
      </c>
      <c r="B65" s="34" t="s">
        <v>1183</v>
      </c>
      <c r="C65" s="35">
        <v>127.8</v>
      </c>
      <c r="D65" s="39">
        <f>1-([1]!Cost_of_Living[[#This Row],[Cost of Living Index]]-MIN([1]!Cost_of_Living[Cost of Living Index]))/(MAX([1]!Cost_of_Living[Cost of Living Index])-MIN([1]!Cost_of_Living[Cost of Living Index]))</f>
        <v>0.46350364963503654</v>
      </c>
    </row>
    <row r="66" spans="1:4">
      <c r="A66" s="34" t="s">
        <v>54</v>
      </c>
      <c r="B66" s="34" t="s">
        <v>1183</v>
      </c>
      <c r="C66" s="35">
        <v>118.7</v>
      </c>
      <c r="D66" s="39">
        <f>1-([1]!Cost_of_Living[[#This Row],[Cost of Living Index]]-MIN([1]!Cost_of_Living[Cost of Living Index]))/(MAX([1]!Cost_of_Living[Cost of Living Index])-MIN([1]!Cost_of_Living[Cost of Living Index]))</f>
        <v>0.54653284671532842</v>
      </c>
    </row>
    <row r="67" spans="1:4">
      <c r="A67" s="34" t="s">
        <v>210</v>
      </c>
      <c r="B67" s="34" t="s">
        <v>1183</v>
      </c>
      <c r="C67" s="35">
        <v>112.1</v>
      </c>
      <c r="D67" s="39">
        <f>1-([1]!Cost_of_Living[[#This Row],[Cost of Living Index]]-MIN([1]!Cost_of_Living[Cost of Living Index]))/(MAX([1]!Cost_of_Living[Cost of Living Index])-MIN([1]!Cost_of_Living[Cost of Living Index]))</f>
        <v>0.60675182481751833</v>
      </c>
    </row>
    <row r="68" spans="1:4">
      <c r="A68" s="34" t="s">
        <v>98</v>
      </c>
      <c r="B68" s="34" t="s">
        <v>1183</v>
      </c>
      <c r="C68" s="35">
        <v>109.2</v>
      </c>
      <c r="D68" s="39">
        <f>1-([1]!Cost_of_Living[[#This Row],[Cost of Living Index]]-MIN([1]!Cost_of_Living[Cost of Living Index]))/(MAX([1]!Cost_of_Living[Cost of Living Index])-MIN([1]!Cost_of_Living[Cost of Living Index]))</f>
        <v>0.63321167883211671</v>
      </c>
    </row>
    <row r="69" spans="1:4">
      <c r="A69" s="34" t="s">
        <v>398</v>
      </c>
      <c r="B69" s="34" t="s">
        <v>1183</v>
      </c>
      <c r="C69" s="35">
        <v>106.1</v>
      </c>
      <c r="D69" s="39">
        <f>1-([1]!Cost_of_Living[[#This Row],[Cost of Living Index]]-MIN([1]!Cost_of_Living[Cost of Living Index]))/(MAX([1]!Cost_of_Living[Cost of Living Index])-MIN([1]!Cost_of_Living[Cost of Living Index]))</f>
        <v>0.66149635036496357</v>
      </c>
    </row>
    <row r="70" spans="1:4">
      <c r="A70" s="34" t="s">
        <v>383</v>
      </c>
      <c r="B70" s="34" t="s">
        <v>1183</v>
      </c>
      <c r="C70" s="35">
        <v>102.2</v>
      </c>
      <c r="D70" s="39">
        <f>1-([1]!Cost_of_Living[[#This Row],[Cost of Living Index]]-MIN([1]!Cost_of_Living[Cost of Living Index]))/(MAX([1]!Cost_of_Living[Cost of Living Index])-MIN([1]!Cost_of_Living[Cost of Living Index]))</f>
        <v>0.6970802919708029</v>
      </c>
    </row>
    <row r="71" spans="1:4">
      <c r="A71" s="34" t="s">
        <v>582</v>
      </c>
      <c r="B71" s="34" t="s">
        <v>1183</v>
      </c>
      <c r="C71" s="35">
        <v>98.1</v>
      </c>
      <c r="D71" s="39">
        <f>1-([1]!Cost_of_Living[[#This Row],[Cost of Living Index]]-MIN([1]!Cost_of_Living[Cost of Living Index]))/(MAX([1]!Cost_of_Living[Cost of Living Index])-MIN([1]!Cost_of_Living[Cost of Living Index]))</f>
        <v>0.73448905109489049</v>
      </c>
    </row>
    <row r="72" spans="1:4">
      <c r="A72" s="36" t="s">
        <v>2389</v>
      </c>
      <c r="B72" s="36" t="s">
        <v>1183</v>
      </c>
      <c r="C72" s="37">
        <v>92.2</v>
      </c>
      <c r="D72" s="39">
        <f>1-([1]!Cost_of_Living[[#This Row],[Cost of Living Index]]-MIN([1]!Cost_of_Living[Cost of Living Index]))/(MAX([1]!Cost_of_Living[Cost of Living Index])-MIN([1]!Cost_of_Living[Cost of Living Index]))</f>
        <v>0.7883211678832116</v>
      </c>
    </row>
    <row r="73" spans="1:4">
      <c r="A73" s="36" t="s">
        <v>2390</v>
      </c>
      <c r="B73" s="36" t="s">
        <v>831</v>
      </c>
      <c r="C73" s="37">
        <v>119.2</v>
      </c>
      <c r="D73" s="39">
        <f>1-([1]!Cost_of_Living[[#This Row],[Cost of Living Index]]-MIN([1]!Cost_of_Living[Cost of Living Index]))/(MAX([1]!Cost_of_Living[Cost of Living Index])-MIN([1]!Cost_of_Living[Cost of Living Index]))</f>
        <v>0.54197080291970801</v>
      </c>
    </row>
    <row r="74" spans="1:4">
      <c r="A74" s="36" t="s">
        <v>17</v>
      </c>
      <c r="B74" s="36" t="s">
        <v>831</v>
      </c>
      <c r="C74" s="37">
        <v>107.7</v>
      </c>
      <c r="D74" s="39">
        <f>1-([1]!Cost_of_Living[[#This Row],[Cost of Living Index]]-MIN([1]!Cost_of_Living[Cost of Living Index]))/(MAX([1]!Cost_of_Living[Cost of Living Index])-MIN([1]!Cost_of_Living[Cost of Living Index]))</f>
        <v>0.64689781021897808</v>
      </c>
    </row>
    <row r="75" spans="1:4">
      <c r="A75" s="36" t="s">
        <v>432</v>
      </c>
      <c r="B75" s="36" t="s">
        <v>831</v>
      </c>
      <c r="C75" s="37">
        <v>105.9</v>
      </c>
      <c r="D75" s="39">
        <f>1-([1]!Cost_of_Living[[#This Row],[Cost of Living Index]]-MIN([1]!Cost_of_Living[Cost of Living Index]))/(MAX([1]!Cost_of_Living[Cost of Living Index])-MIN([1]!Cost_of_Living[Cost of Living Index]))</f>
        <v>0.6633211678832116</v>
      </c>
    </row>
    <row r="76" spans="1:4">
      <c r="A76" s="36" t="s">
        <v>2391</v>
      </c>
      <c r="B76" s="36" t="s">
        <v>831</v>
      </c>
      <c r="C76" s="37">
        <v>105.2</v>
      </c>
      <c r="D76" s="39">
        <f>1-([1]!Cost_of_Living[[#This Row],[Cost of Living Index]]-MIN([1]!Cost_of_Living[Cost of Living Index]))/(MAX([1]!Cost_of_Living[Cost of Living Index])-MIN([1]!Cost_of_Living[Cost of Living Index]))</f>
        <v>0.66970802919708028</v>
      </c>
    </row>
    <row r="77" spans="1:4">
      <c r="A77" s="36" t="s">
        <v>387</v>
      </c>
      <c r="B77" s="36" t="s">
        <v>831</v>
      </c>
      <c r="C77" s="37">
        <v>104.8</v>
      </c>
      <c r="D77" s="39">
        <f>1-([1]!Cost_of_Living[[#This Row],[Cost of Living Index]]-MIN([1]!Cost_of_Living[Cost of Living Index]))/(MAX([1]!Cost_of_Living[Cost of Living Index])-MIN([1]!Cost_of_Living[Cost of Living Index]))</f>
        <v>0.67335766423357657</v>
      </c>
    </row>
    <row r="78" spans="1:4">
      <c r="A78" s="36" t="s">
        <v>71</v>
      </c>
      <c r="B78" s="36" t="s">
        <v>934</v>
      </c>
      <c r="C78" s="37">
        <v>120.1</v>
      </c>
      <c r="D78" s="39">
        <f>1-([1]!Cost_of_Living[[#This Row],[Cost of Living Index]]-MIN([1]!Cost_of_Living[Cost of Living Index]))/(MAX([1]!Cost_of_Living[Cost of Living Index])-MIN([1]!Cost_of_Living[Cost of Living Index]))</f>
        <v>0.53375912408759119</v>
      </c>
    </row>
    <row r="79" spans="1:4">
      <c r="A79" s="36" t="s">
        <v>550</v>
      </c>
      <c r="B79" s="36" t="s">
        <v>1263</v>
      </c>
      <c r="C79" s="37">
        <v>101.3</v>
      </c>
      <c r="D79" s="39">
        <f>1-([1]!Cost_of_Living[[#This Row],[Cost of Living Index]]-MIN([1]!Cost_of_Living[Cost of Living Index]))/(MAX([1]!Cost_of_Living[Cost of Living Index])-MIN([1]!Cost_of_Living[Cost of Living Index]))</f>
        <v>0.70529197080291972</v>
      </c>
    </row>
    <row r="80" spans="1:4">
      <c r="A80" s="36" t="s">
        <v>2392</v>
      </c>
      <c r="B80" s="36" t="s">
        <v>910</v>
      </c>
      <c r="C80" s="37">
        <v>140</v>
      </c>
      <c r="D80" s="39">
        <f>1-([1]!Cost_of_Living[[#This Row],[Cost of Living Index]]-MIN([1]!Cost_of_Living[Cost of Living Index]))/(MAX([1]!Cost_of_Living[Cost of Living Index])-MIN([1]!Cost_of_Living[Cost of Living Index]))</f>
        <v>0.3521897810218978</v>
      </c>
    </row>
    <row r="81" spans="1:4">
      <c r="A81" s="36" t="s">
        <v>147</v>
      </c>
      <c r="B81" s="36" t="s">
        <v>910</v>
      </c>
      <c r="C81" s="37">
        <v>110.1</v>
      </c>
      <c r="D81" s="39">
        <f>1-([1]!Cost_of_Living[[#This Row],[Cost of Living Index]]-MIN([1]!Cost_of_Living[Cost of Living Index]))/(MAX([1]!Cost_of_Living[Cost of Living Index])-MIN([1]!Cost_of_Living[Cost of Living Index]))</f>
        <v>0.625</v>
      </c>
    </row>
    <row r="82" spans="1:4">
      <c r="A82" s="36" t="s">
        <v>2393</v>
      </c>
      <c r="B82" s="36" t="s">
        <v>910</v>
      </c>
      <c r="C82" s="37">
        <v>109.4</v>
      </c>
      <c r="D82" s="39">
        <f>1-([1]!Cost_of_Living[[#This Row],[Cost of Living Index]]-MIN([1]!Cost_of_Living[Cost of Living Index]))/(MAX([1]!Cost_of_Living[Cost of Living Index])-MIN([1]!Cost_of_Living[Cost of Living Index]))</f>
        <v>0.63138686131386856</v>
      </c>
    </row>
    <row r="83" spans="1:4">
      <c r="A83" s="36" t="s">
        <v>2394</v>
      </c>
      <c r="B83" s="36" t="s">
        <v>910</v>
      </c>
      <c r="C83" s="37">
        <v>104.7</v>
      </c>
      <c r="D83" s="39">
        <f>1-([1]!Cost_of_Living[[#This Row],[Cost of Living Index]]-MIN([1]!Cost_of_Living[Cost of Living Index]))/(MAX([1]!Cost_of_Living[Cost of Living Index])-MIN([1]!Cost_of_Living[Cost of Living Index]))</f>
        <v>0.6742700729927007</v>
      </c>
    </row>
    <row r="84" spans="1:4">
      <c r="A84" s="36" t="s">
        <v>617</v>
      </c>
      <c r="B84" s="36" t="s">
        <v>910</v>
      </c>
      <c r="C84" s="37">
        <v>104.4</v>
      </c>
      <c r="D84" s="39">
        <f>1-([1]!Cost_of_Living[[#This Row],[Cost of Living Index]]-MIN([1]!Cost_of_Living[Cost of Living Index]))/(MAX([1]!Cost_of_Living[Cost of Living Index])-MIN([1]!Cost_of_Living[Cost of Living Index]))</f>
        <v>0.67700729927007286</v>
      </c>
    </row>
    <row r="85" spans="1:4">
      <c r="A85" s="36" t="s">
        <v>695</v>
      </c>
      <c r="B85" s="36" t="s">
        <v>910</v>
      </c>
      <c r="C85" s="37">
        <v>101.9</v>
      </c>
      <c r="D85" s="39">
        <f>1-([1]!Cost_of_Living[[#This Row],[Cost of Living Index]]-MIN([1]!Cost_of_Living[Cost of Living Index]))/(MAX([1]!Cost_of_Living[Cost of Living Index])-MIN([1]!Cost_of_Living[Cost of Living Index]))</f>
        <v>0.69981751824817517</v>
      </c>
    </row>
    <row r="86" spans="1:4">
      <c r="A86" s="36" t="s">
        <v>409</v>
      </c>
      <c r="B86" s="36" t="s">
        <v>910</v>
      </c>
      <c r="C86" s="37">
        <v>101.5</v>
      </c>
      <c r="D86" s="39">
        <f>1-([1]!Cost_of_Living[[#This Row],[Cost of Living Index]]-MIN([1]!Cost_of_Living[Cost of Living Index]))/(MAX([1]!Cost_of_Living[Cost of Living Index])-MIN([1]!Cost_of_Living[Cost of Living Index]))</f>
        <v>0.70346715328467146</v>
      </c>
    </row>
    <row r="87" spans="1:4">
      <c r="A87" s="36" t="s">
        <v>433</v>
      </c>
      <c r="B87" s="36" t="s">
        <v>910</v>
      </c>
      <c r="C87" s="37">
        <v>101.4</v>
      </c>
      <c r="D87" s="39">
        <f>1-([1]!Cost_of_Living[[#This Row],[Cost of Living Index]]-MIN([1]!Cost_of_Living[Cost of Living Index]))/(MAX([1]!Cost_of_Living[Cost of Living Index])-MIN([1]!Cost_of_Living[Cost of Living Index]))</f>
        <v>0.70437956204379559</v>
      </c>
    </row>
    <row r="88" spans="1:4">
      <c r="A88" s="36" t="s">
        <v>527</v>
      </c>
      <c r="B88" s="36" t="s">
        <v>910</v>
      </c>
      <c r="C88" s="37">
        <v>101.4</v>
      </c>
      <c r="D88" s="39">
        <f>1-([1]!Cost_of_Living[[#This Row],[Cost of Living Index]]-MIN([1]!Cost_of_Living[Cost of Living Index]))/(MAX([1]!Cost_of_Living[Cost of Living Index])-MIN([1]!Cost_of_Living[Cost of Living Index]))</f>
        <v>0.70437956204379559</v>
      </c>
    </row>
    <row r="89" spans="1:4">
      <c r="A89" s="36" t="s">
        <v>2395</v>
      </c>
      <c r="B89" s="36" t="s">
        <v>910</v>
      </c>
      <c r="C89" s="37">
        <v>101.1</v>
      </c>
      <c r="D89" s="39">
        <f>1-([1]!Cost_of_Living[[#This Row],[Cost of Living Index]]-MIN([1]!Cost_of_Living[Cost of Living Index]))/(MAX([1]!Cost_of_Living[Cost of Living Index])-MIN([1]!Cost_of_Living[Cost of Living Index]))</f>
        <v>0.70711678832116798</v>
      </c>
    </row>
    <row r="90" spans="1:4">
      <c r="A90" s="36" t="s">
        <v>2396</v>
      </c>
      <c r="B90" s="36" t="s">
        <v>910</v>
      </c>
      <c r="C90" s="37">
        <v>100.7</v>
      </c>
      <c r="D90" s="39">
        <f>1-([1]!Cost_of_Living[[#This Row],[Cost of Living Index]]-MIN([1]!Cost_of_Living[Cost of Living Index]))/(MAX([1]!Cost_of_Living[Cost of Living Index])-MIN([1]!Cost_of_Living[Cost of Living Index]))</f>
        <v>0.71076642335766427</v>
      </c>
    </row>
    <row r="91" spans="1:4">
      <c r="A91" s="36" t="s">
        <v>2397</v>
      </c>
      <c r="B91" s="36" t="s">
        <v>910</v>
      </c>
      <c r="C91" s="37">
        <v>100.3</v>
      </c>
      <c r="D91" s="39">
        <f>1-([1]!Cost_of_Living[[#This Row],[Cost of Living Index]]-MIN([1]!Cost_of_Living[Cost of Living Index]))/(MAX([1]!Cost_of_Living[Cost of Living Index])-MIN([1]!Cost_of_Living[Cost of Living Index]))</f>
        <v>0.71441605839416056</v>
      </c>
    </row>
    <row r="92" spans="1:4">
      <c r="A92" s="36" t="s">
        <v>591</v>
      </c>
      <c r="B92" s="36" t="s">
        <v>910</v>
      </c>
      <c r="C92" s="37">
        <v>99.6</v>
      </c>
      <c r="D92" s="39">
        <f>1-([1]!Cost_of_Living[[#This Row],[Cost of Living Index]]-MIN([1]!Cost_of_Living[Cost of Living Index]))/(MAX([1]!Cost_of_Living[Cost of Living Index])-MIN([1]!Cost_of_Living[Cost of Living Index]))</f>
        <v>0.72080291970802923</v>
      </c>
    </row>
    <row r="93" spans="1:4">
      <c r="A93" s="36" t="s">
        <v>359</v>
      </c>
      <c r="B93" s="36" t="s">
        <v>910</v>
      </c>
      <c r="C93" s="37">
        <v>99.3</v>
      </c>
      <c r="D93" s="39">
        <f>1-([1]!Cost_of_Living[[#This Row],[Cost of Living Index]]-MIN([1]!Cost_of_Living[Cost of Living Index]))/(MAX([1]!Cost_of_Living[Cost of Living Index])-MIN([1]!Cost_of_Living[Cost of Living Index]))</f>
        <v>0.7235401459854014</v>
      </c>
    </row>
    <row r="94" spans="1:4">
      <c r="A94" s="36" t="s">
        <v>327</v>
      </c>
      <c r="B94" s="36" t="s">
        <v>910</v>
      </c>
      <c r="C94" s="37">
        <v>99</v>
      </c>
      <c r="D94" s="39">
        <f>1-([1]!Cost_of_Living[[#This Row],[Cost of Living Index]]-MIN([1]!Cost_of_Living[Cost of Living Index]))/(MAX([1]!Cost_of_Living[Cost of Living Index])-MIN([1]!Cost_of_Living[Cost of Living Index]))</f>
        <v>0.72627737226277378</v>
      </c>
    </row>
    <row r="95" spans="1:4">
      <c r="A95" s="36" t="s">
        <v>2398</v>
      </c>
      <c r="B95" s="36" t="s">
        <v>910</v>
      </c>
      <c r="C95" s="37">
        <v>98.9</v>
      </c>
      <c r="D95" s="39">
        <f>1-([1]!Cost_of_Living[[#This Row],[Cost of Living Index]]-MIN([1]!Cost_of_Living[Cost of Living Index]))/(MAX([1]!Cost_of_Living[Cost of Living Index])-MIN([1]!Cost_of_Living[Cost of Living Index]))</f>
        <v>0.72718978102189769</v>
      </c>
    </row>
    <row r="96" spans="1:4">
      <c r="A96" s="36" t="s">
        <v>704</v>
      </c>
      <c r="B96" s="36" t="s">
        <v>910</v>
      </c>
      <c r="C96" s="37">
        <v>97.9</v>
      </c>
      <c r="D96" s="39">
        <f>1-([1]!Cost_of_Living[[#This Row],[Cost of Living Index]]-MIN([1]!Cost_of_Living[Cost of Living Index]))/(MAX([1]!Cost_of_Living[Cost of Living Index])-MIN([1]!Cost_of_Living[Cost of Living Index]))</f>
        <v>0.73631386861313863</v>
      </c>
    </row>
    <row r="97" spans="1:4">
      <c r="A97" s="36" t="s">
        <v>37</v>
      </c>
      <c r="B97" s="36" t="s">
        <v>910</v>
      </c>
      <c r="C97" s="37">
        <v>97.3</v>
      </c>
      <c r="D97" s="39">
        <f>1-([1]!Cost_of_Living[[#This Row],[Cost of Living Index]]-MIN([1]!Cost_of_Living[Cost of Living Index]))/(MAX([1]!Cost_of_Living[Cost of Living Index])-MIN([1]!Cost_of_Living[Cost of Living Index]))</f>
        <v>0.74178832116788329</v>
      </c>
    </row>
    <row r="98" spans="1:4">
      <c r="A98" s="36" t="s">
        <v>606</v>
      </c>
      <c r="B98" s="36" t="s">
        <v>910</v>
      </c>
      <c r="C98" s="37">
        <v>96.4</v>
      </c>
      <c r="D98" s="39">
        <f>1-([1]!Cost_of_Living[[#This Row],[Cost of Living Index]]-MIN([1]!Cost_of_Living[Cost of Living Index]))/(MAX([1]!Cost_of_Living[Cost of Living Index])-MIN([1]!Cost_of_Living[Cost of Living Index]))</f>
        <v>0.75</v>
      </c>
    </row>
    <row r="99" spans="1:4">
      <c r="A99" s="36" t="s">
        <v>446</v>
      </c>
      <c r="B99" s="36" t="s">
        <v>910</v>
      </c>
      <c r="C99" s="37">
        <v>96.4</v>
      </c>
      <c r="D99" s="39">
        <f>1-([1]!Cost_of_Living[[#This Row],[Cost of Living Index]]-MIN([1]!Cost_of_Living[Cost of Living Index]))/(MAX([1]!Cost_of_Living[Cost of Living Index])-MIN([1]!Cost_of_Living[Cost of Living Index]))</f>
        <v>0.75</v>
      </c>
    </row>
    <row r="100" spans="1:4">
      <c r="A100" s="36" t="s">
        <v>2399</v>
      </c>
      <c r="B100" s="36" t="s">
        <v>910</v>
      </c>
      <c r="C100" s="37">
        <v>95.5</v>
      </c>
      <c r="D100" s="39">
        <f>1-([1]!Cost_of_Living[[#This Row],[Cost of Living Index]]-MIN([1]!Cost_of_Living[Cost of Living Index]))/(MAX([1]!Cost_of_Living[Cost of Living Index])-MIN([1]!Cost_of_Living[Cost of Living Index]))</f>
        <v>0.75821167883211671</v>
      </c>
    </row>
    <row r="101" spans="1:4">
      <c r="A101" s="36" t="s">
        <v>693</v>
      </c>
      <c r="B101" s="36" t="s">
        <v>910</v>
      </c>
      <c r="C101" s="37">
        <v>94.5</v>
      </c>
      <c r="D101" s="39">
        <f>1-([1]!Cost_of_Living[[#This Row],[Cost of Living Index]]-MIN([1]!Cost_of_Living[Cost of Living Index]))/(MAX([1]!Cost_of_Living[Cost of Living Index])-MIN([1]!Cost_of_Living[Cost of Living Index]))</f>
        <v>0.76733576642335766</v>
      </c>
    </row>
    <row r="102" spans="1:4">
      <c r="A102" s="36" t="s">
        <v>723</v>
      </c>
      <c r="B102" s="36" t="s">
        <v>910</v>
      </c>
      <c r="C102" s="37">
        <v>93.6</v>
      </c>
      <c r="D102" s="39">
        <f>1-([1]!Cost_of_Living[[#This Row],[Cost of Living Index]]-MIN([1]!Cost_of_Living[Cost of Living Index]))/(MAX([1]!Cost_of_Living[Cost of Living Index])-MIN([1]!Cost_of_Living[Cost of Living Index]))</f>
        <v>0.77554744525547448</v>
      </c>
    </row>
    <row r="103" spans="1:4">
      <c r="A103" s="36" t="s">
        <v>718</v>
      </c>
      <c r="B103" s="36" t="s">
        <v>910</v>
      </c>
      <c r="C103" s="37">
        <v>93.2</v>
      </c>
      <c r="D103" s="39">
        <f>1-([1]!Cost_of_Living[[#This Row],[Cost of Living Index]]-MIN([1]!Cost_of_Living[Cost of Living Index]))/(MAX([1]!Cost_of_Living[Cost of Living Index])-MIN([1]!Cost_of_Living[Cost of Living Index]))</f>
        <v>0.77919708029197077</v>
      </c>
    </row>
    <row r="104" spans="1:4">
      <c r="A104" s="36" t="s">
        <v>2400</v>
      </c>
      <c r="B104" s="36" t="s">
        <v>910</v>
      </c>
      <c r="C104" s="37">
        <v>93.1</v>
      </c>
      <c r="D104" s="39">
        <f>1-([1]!Cost_of_Living[[#This Row],[Cost of Living Index]]-MIN([1]!Cost_of_Living[Cost of Living Index]))/(MAX([1]!Cost_of_Living[Cost of Living Index])-MIN([1]!Cost_of_Living[Cost of Living Index]))</f>
        <v>0.7801094890510949</v>
      </c>
    </row>
    <row r="105" spans="1:4">
      <c r="A105" s="36" t="s">
        <v>85</v>
      </c>
      <c r="B105" s="36" t="s">
        <v>939</v>
      </c>
      <c r="C105" s="37">
        <v>100.3</v>
      </c>
      <c r="D105" s="39">
        <f>1-([1]!Cost_of_Living[[#This Row],[Cost of Living Index]]-MIN([1]!Cost_of_Living[Cost of Living Index]))/(MAX([1]!Cost_of_Living[Cost of Living Index])-MIN([1]!Cost_of_Living[Cost of Living Index]))</f>
        <v>0.71441605839416056</v>
      </c>
    </row>
    <row r="106" spans="1:4">
      <c r="A106" s="36" t="s">
        <v>2401</v>
      </c>
      <c r="B106" s="36" t="s">
        <v>939</v>
      </c>
      <c r="C106" s="37">
        <v>97.4</v>
      </c>
      <c r="D106" s="39">
        <f>1-([1]!Cost_of_Living[[#This Row],[Cost of Living Index]]-MIN([1]!Cost_of_Living[Cost of Living Index]))/(MAX([1]!Cost_of_Living[Cost of Living Index])-MIN([1]!Cost_of_Living[Cost of Living Index]))</f>
        <v>0.74087591240875905</v>
      </c>
    </row>
    <row r="107" spans="1:4">
      <c r="A107" s="36" t="s">
        <v>565</v>
      </c>
      <c r="B107" s="36" t="s">
        <v>939</v>
      </c>
      <c r="C107" s="37">
        <v>97.3</v>
      </c>
      <c r="D107" s="39">
        <f>1-([1]!Cost_of_Living[[#This Row],[Cost of Living Index]]-MIN([1]!Cost_of_Living[Cost of Living Index]))/(MAX([1]!Cost_of_Living[Cost of Living Index])-MIN([1]!Cost_of_Living[Cost of Living Index]))</f>
        <v>0.74178832116788329</v>
      </c>
    </row>
    <row r="108" spans="1:4">
      <c r="A108" s="36" t="s">
        <v>37</v>
      </c>
      <c r="B108" s="36" t="s">
        <v>939</v>
      </c>
      <c r="C108" s="37">
        <v>97</v>
      </c>
      <c r="D108" s="39">
        <f>1-([1]!Cost_of_Living[[#This Row],[Cost of Living Index]]-MIN([1]!Cost_of_Living[Cost of Living Index]))/(MAX([1]!Cost_of_Living[Cost of Living Index])-MIN([1]!Cost_of_Living[Cost of Living Index]))</f>
        <v>0.74452554744525545</v>
      </c>
    </row>
    <row r="109" spans="1:4">
      <c r="A109" s="36" t="s">
        <v>87</v>
      </c>
      <c r="B109" s="36" t="s">
        <v>939</v>
      </c>
      <c r="C109" s="37">
        <v>95</v>
      </c>
      <c r="D109" s="39">
        <f>1-([1]!Cost_of_Living[[#This Row],[Cost of Living Index]]-MIN([1]!Cost_of_Living[Cost of Living Index]))/(MAX([1]!Cost_of_Living[Cost of Living Index])-MIN([1]!Cost_of_Living[Cost of Living Index]))</f>
        <v>0.76277372262773724</v>
      </c>
    </row>
    <row r="110" spans="1:4">
      <c r="A110" s="36" t="s">
        <v>344</v>
      </c>
      <c r="B110" s="36" t="s">
        <v>939</v>
      </c>
      <c r="C110" s="37">
        <v>94.4</v>
      </c>
      <c r="D110" s="39">
        <f>1-([1]!Cost_of_Living[[#This Row],[Cost of Living Index]]-MIN([1]!Cost_of_Living[Cost of Living Index]))/(MAX([1]!Cost_of_Living[Cost of Living Index])-MIN([1]!Cost_of_Living[Cost of Living Index]))</f>
        <v>0.76824817518248167</v>
      </c>
    </row>
    <row r="111" spans="1:4">
      <c r="A111" s="36" t="s">
        <v>377</v>
      </c>
      <c r="B111" s="36" t="s">
        <v>939</v>
      </c>
      <c r="C111" s="37">
        <v>91.6</v>
      </c>
      <c r="D111" s="39">
        <f>1-([1]!Cost_of_Living[[#This Row],[Cost of Living Index]]-MIN([1]!Cost_of_Living[Cost of Living Index]))/(MAX([1]!Cost_of_Living[Cost of Living Index])-MIN([1]!Cost_of_Living[Cost of Living Index]))</f>
        <v>0.79379562043795626</v>
      </c>
    </row>
    <row r="112" spans="1:4">
      <c r="A112" s="36" t="s">
        <v>806</v>
      </c>
      <c r="B112" s="36" t="s">
        <v>939</v>
      </c>
      <c r="C112" s="37">
        <v>91.1</v>
      </c>
      <c r="D112" s="39">
        <f>1-([1]!Cost_of_Living[[#This Row],[Cost of Living Index]]-MIN([1]!Cost_of_Living[Cost of Living Index]))/(MAX([1]!Cost_of_Living[Cost of Living Index])-MIN([1]!Cost_of_Living[Cost of Living Index]))</f>
        <v>0.79835766423357668</v>
      </c>
    </row>
    <row r="113" spans="1:4">
      <c r="A113" s="36" t="s">
        <v>2402</v>
      </c>
      <c r="B113" s="36" t="s">
        <v>939</v>
      </c>
      <c r="C113" s="37">
        <v>90.8</v>
      </c>
      <c r="D113" s="39">
        <f>1-([1]!Cost_of_Living[[#This Row],[Cost of Living Index]]-MIN([1]!Cost_of_Living[Cost of Living Index]))/(MAX([1]!Cost_of_Living[Cost of Living Index])-MIN([1]!Cost_of_Living[Cost of Living Index]))</f>
        <v>0.80109489051094895</v>
      </c>
    </row>
    <row r="114" spans="1:4">
      <c r="A114" s="36" t="s">
        <v>2403</v>
      </c>
      <c r="B114" s="36" t="s">
        <v>939</v>
      </c>
      <c r="C114" s="37">
        <v>90.5</v>
      </c>
      <c r="D114" s="39">
        <f>1-([1]!Cost_of_Living[[#This Row],[Cost of Living Index]]-MIN([1]!Cost_of_Living[Cost of Living Index]))/(MAX([1]!Cost_of_Living[Cost of Living Index])-MIN([1]!Cost_of_Living[Cost of Living Index]))</f>
        <v>0.80383211678832112</v>
      </c>
    </row>
    <row r="115" spans="1:4">
      <c r="A115" s="36" t="s">
        <v>688</v>
      </c>
      <c r="B115" s="36" t="s">
        <v>939</v>
      </c>
      <c r="C115" s="37">
        <v>89.6</v>
      </c>
      <c r="D115" s="39">
        <f>1-([1]!Cost_of_Living[[#This Row],[Cost of Living Index]]-MIN([1]!Cost_of_Living[Cost of Living Index]))/(MAX([1]!Cost_of_Living[Cost of Living Index])-MIN([1]!Cost_of_Living[Cost of Living Index]))</f>
        <v>0.81204379562043805</v>
      </c>
    </row>
    <row r="116" spans="1:4">
      <c r="A116" s="36" t="s">
        <v>478</v>
      </c>
      <c r="B116" s="36" t="s">
        <v>939</v>
      </c>
      <c r="C116" s="37">
        <v>89.2</v>
      </c>
      <c r="D116" s="39">
        <f>1-([1]!Cost_of_Living[[#This Row],[Cost of Living Index]]-MIN([1]!Cost_of_Living[Cost of Living Index]))/(MAX([1]!Cost_of_Living[Cost of Living Index])-MIN([1]!Cost_of_Living[Cost of Living Index]))</f>
        <v>0.81569343065693434</v>
      </c>
    </row>
    <row r="117" spans="1:4">
      <c r="A117" s="36" t="s">
        <v>670</v>
      </c>
      <c r="B117" s="36" t="s">
        <v>939</v>
      </c>
      <c r="C117" s="37">
        <v>89.1</v>
      </c>
      <c r="D117" s="39">
        <f>1-([1]!Cost_of_Living[[#This Row],[Cost of Living Index]]-MIN([1]!Cost_of_Living[Cost of Living Index]))/(MAX([1]!Cost_of_Living[Cost of Living Index])-MIN([1]!Cost_of_Living[Cost of Living Index]))</f>
        <v>0.81660583941605847</v>
      </c>
    </row>
    <row r="118" spans="1:4">
      <c r="A118" s="36" t="s">
        <v>544</v>
      </c>
      <c r="B118" s="36" t="s">
        <v>939</v>
      </c>
      <c r="C118" s="37">
        <v>88.5</v>
      </c>
      <c r="D118" s="39">
        <f>1-([1]!Cost_of_Living[[#This Row],[Cost of Living Index]]-MIN([1]!Cost_of_Living[Cost of Living Index]))/(MAX([1]!Cost_of_Living[Cost of Living Index])-MIN([1]!Cost_of_Living[Cost of Living Index]))</f>
        <v>0.8220802919708029</v>
      </c>
    </row>
    <row r="119" spans="1:4">
      <c r="A119" s="36" t="s">
        <v>184</v>
      </c>
      <c r="B119" s="36" t="s">
        <v>939</v>
      </c>
      <c r="C119" s="37">
        <v>87.3</v>
      </c>
      <c r="D119" s="39">
        <f>1-([1]!Cost_of_Living[[#This Row],[Cost of Living Index]]-MIN([1]!Cost_of_Living[Cost of Living Index]))/(MAX([1]!Cost_of_Living[Cost of Living Index])-MIN([1]!Cost_of_Living[Cost of Living Index]))</f>
        <v>0.83302919708029199</v>
      </c>
    </row>
    <row r="120" spans="1:4">
      <c r="A120" s="36" t="s">
        <v>655</v>
      </c>
      <c r="B120" s="36" t="s">
        <v>939</v>
      </c>
      <c r="C120" s="37">
        <v>87.2</v>
      </c>
      <c r="D120" s="39">
        <f>1-([1]!Cost_of_Living[[#This Row],[Cost of Living Index]]-MIN([1]!Cost_of_Living[Cost of Living Index]))/(MAX([1]!Cost_of_Living[Cost of Living Index])-MIN([1]!Cost_of_Living[Cost of Living Index]))</f>
        <v>0.83394160583941601</v>
      </c>
    </row>
    <row r="121" spans="1:4">
      <c r="A121" s="36" t="s">
        <v>708</v>
      </c>
      <c r="B121" s="36" t="s">
        <v>939</v>
      </c>
      <c r="C121" s="37">
        <v>86</v>
      </c>
      <c r="D121" s="39">
        <f>1-([1]!Cost_of_Living[[#This Row],[Cost of Living Index]]-MIN([1]!Cost_of_Living[Cost of Living Index]))/(MAX([1]!Cost_of_Living[Cost of Living Index])-MIN([1]!Cost_of_Living[Cost of Living Index]))</f>
        <v>0.8448905109489051</v>
      </c>
    </row>
    <row r="122" spans="1:4">
      <c r="A122" s="36" t="s">
        <v>2404</v>
      </c>
      <c r="B122" s="36" t="s">
        <v>1395</v>
      </c>
      <c r="C122" s="37">
        <v>164.9</v>
      </c>
      <c r="D122" s="39">
        <f>1-([1]!Cost_of_Living[[#This Row],[Cost of Living Index]]-MIN([1]!Cost_of_Living[Cost of Living Index]))/(MAX([1]!Cost_of_Living[Cost of Living Index])-MIN([1]!Cost_of_Living[Cost of Living Index]))</f>
        <v>0.12499999999999989</v>
      </c>
    </row>
    <row r="123" spans="1:4">
      <c r="A123" s="36" t="s">
        <v>2405</v>
      </c>
      <c r="B123" s="36" t="s">
        <v>1395</v>
      </c>
      <c r="C123" s="37">
        <v>158.5</v>
      </c>
      <c r="D123" s="39">
        <f>1-([1]!Cost_of_Living[[#This Row],[Cost of Living Index]]-MIN([1]!Cost_of_Living[Cost of Living Index]))/(MAX([1]!Cost_of_Living[Cost of Living Index])-MIN([1]!Cost_of_Living[Cost of Living Index]))</f>
        <v>0.18339416058394153</v>
      </c>
    </row>
    <row r="124" spans="1:4">
      <c r="A124" s="36" t="s">
        <v>450</v>
      </c>
      <c r="B124" s="36" t="s">
        <v>1395</v>
      </c>
      <c r="C124" s="37">
        <v>158</v>
      </c>
      <c r="D124" s="39">
        <f>1-([1]!Cost_of_Living[[#This Row],[Cost of Living Index]]-MIN([1]!Cost_of_Living[Cost of Living Index]))/(MAX([1]!Cost_of_Living[Cost of Living Index])-MIN([1]!Cost_of_Living[Cost of Living Index]))</f>
        <v>0.18795620437956195</v>
      </c>
    </row>
    <row r="125" spans="1:4">
      <c r="A125" s="36" t="s">
        <v>641</v>
      </c>
      <c r="B125" s="36" t="s">
        <v>1395</v>
      </c>
      <c r="C125" s="37">
        <v>136.9</v>
      </c>
      <c r="D125" s="39">
        <f>1-([1]!Cost_of_Living[[#This Row],[Cost of Living Index]]-MIN([1]!Cost_of_Living[Cost of Living Index]))/(MAX([1]!Cost_of_Living[Cost of Living Index])-MIN([1]!Cost_of_Living[Cost of Living Index]))</f>
        <v>0.38047445255474444</v>
      </c>
    </row>
    <row r="126" spans="1:4">
      <c r="A126" s="36" t="s">
        <v>769</v>
      </c>
      <c r="B126" s="36" t="s">
        <v>1104</v>
      </c>
      <c r="C126" s="37">
        <v>93.5</v>
      </c>
      <c r="D126" s="39">
        <f>1-([1]!Cost_of_Living[[#This Row],[Cost of Living Index]]-MIN([1]!Cost_of_Living[Cost of Living Index]))/(MAX([1]!Cost_of_Living[Cost of Living Index])-MIN([1]!Cost_of_Living[Cost of Living Index]))</f>
        <v>0.77645985401459849</v>
      </c>
    </row>
    <row r="127" spans="1:4">
      <c r="A127" s="36" t="s">
        <v>440</v>
      </c>
      <c r="B127" s="36" t="s">
        <v>1104</v>
      </c>
      <c r="C127" s="37">
        <v>91.7</v>
      </c>
      <c r="D127" s="39">
        <f>1-([1]!Cost_of_Living[[#This Row],[Cost of Living Index]]-MIN([1]!Cost_of_Living[Cost of Living Index]))/(MAX([1]!Cost_of_Living[Cost of Living Index])-MIN([1]!Cost_of_Living[Cost of Living Index]))</f>
        <v>0.79288321167883202</v>
      </c>
    </row>
    <row r="128" spans="1:4">
      <c r="A128" s="36" t="s">
        <v>96</v>
      </c>
      <c r="B128" s="36" t="s">
        <v>1104</v>
      </c>
      <c r="C128" s="37">
        <v>91.5</v>
      </c>
      <c r="D128" s="39">
        <f>1-([1]!Cost_of_Living[[#This Row],[Cost of Living Index]]-MIN([1]!Cost_of_Living[Cost of Living Index]))/(MAX([1]!Cost_of_Living[Cost of Living Index])-MIN([1]!Cost_of_Living[Cost of Living Index]))</f>
        <v>0.79470802919708028</v>
      </c>
    </row>
    <row r="129" spans="1:4">
      <c r="A129" s="36" t="s">
        <v>664</v>
      </c>
      <c r="B129" s="36" t="s">
        <v>1104</v>
      </c>
      <c r="C129" s="37">
        <v>89.6</v>
      </c>
      <c r="D129" s="39">
        <f>1-([1]!Cost_of_Living[[#This Row],[Cost of Living Index]]-MIN([1]!Cost_of_Living[Cost of Living Index]))/(MAX([1]!Cost_of_Living[Cost of Living Index])-MIN([1]!Cost_of_Living[Cost of Living Index]))</f>
        <v>0.81204379562043805</v>
      </c>
    </row>
    <row r="130" spans="1:4">
      <c r="A130" s="36" t="s">
        <v>646</v>
      </c>
      <c r="B130" s="36" t="s">
        <v>1104</v>
      </c>
      <c r="C130" s="37">
        <v>88.1</v>
      </c>
      <c r="D130" s="39">
        <f>1-([1]!Cost_of_Living[[#This Row],[Cost of Living Index]]-MIN([1]!Cost_of_Living[Cost of Living Index]))/(MAX([1]!Cost_of_Living[Cost of Living Index])-MIN([1]!Cost_of_Living[Cost of Living Index]))</f>
        <v>0.8257299270072993</v>
      </c>
    </row>
    <row r="131" spans="1:4">
      <c r="A131" s="36" t="s">
        <v>726</v>
      </c>
      <c r="B131" s="36" t="s">
        <v>1104</v>
      </c>
      <c r="C131" s="37">
        <v>87.6</v>
      </c>
      <c r="D131" s="39">
        <f>1-([1]!Cost_of_Living[[#This Row],[Cost of Living Index]]-MIN([1]!Cost_of_Living[Cost of Living Index]))/(MAX([1]!Cost_of_Living[Cost of Living Index])-MIN([1]!Cost_of_Living[Cost of Living Index]))</f>
        <v>0.83029197080291972</v>
      </c>
    </row>
    <row r="132" spans="1:4">
      <c r="A132" s="36" t="s">
        <v>619</v>
      </c>
      <c r="B132" s="36" t="s">
        <v>1104</v>
      </c>
      <c r="C132" s="37">
        <v>87.2</v>
      </c>
      <c r="D132" s="39">
        <f>1-([1]!Cost_of_Living[[#This Row],[Cost of Living Index]]-MIN([1]!Cost_of_Living[Cost of Living Index]))/(MAX([1]!Cost_of_Living[Cost of Living Index])-MIN([1]!Cost_of_Living[Cost of Living Index]))</f>
        <v>0.83394160583941601</v>
      </c>
    </row>
    <row r="133" spans="1:4">
      <c r="A133" s="36" t="s">
        <v>661</v>
      </c>
      <c r="B133" s="36" t="s">
        <v>1104</v>
      </c>
      <c r="C133" s="37">
        <v>87.1</v>
      </c>
      <c r="D133" s="39">
        <f>1-([1]!Cost_of_Living[[#This Row],[Cost of Living Index]]-MIN([1]!Cost_of_Living[Cost of Living Index]))/(MAX([1]!Cost_of_Living[Cost of Living Index])-MIN([1]!Cost_of_Living[Cost of Living Index]))</f>
        <v>0.83485401459854014</v>
      </c>
    </row>
    <row r="134" spans="1:4">
      <c r="A134" s="36" t="s">
        <v>2406</v>
      </c>
      <c r="B134" s="36" t="s">
        <v>1720</v>
      </c>
      <c r="C134" s="37">
        <v>103.3</v>
      </c>
      <c r="D134" s="39">
        <f>1-([1]!Cost_of_Living[[#This Row],[Cost of Living Index]]-MIN([1]!Cost_of_Living[Cost of Living Index]))/(MAX([1]!Cost_of_Living[Cost of Living Index])-MIN([1]!Cost_of_Living[Cost of Living Index]))</f>
        <v>0.68704379562043805</v>
      </c>
    </row>
    <row r="135" spans="1:4">
      <c r="A135" s="36" t="s">
        <v>2407</v>
      </c>
      <c r="B135" s="36" t="s">
        <v>1720</v>
      </c>
      <c r="C135" s="37">
        <v>100.3</v>
      </c>
      <c r="D135" s="39">
        <f>1-([1]!Cost_of_Living[[#This Row],[Cost of Living Index]]-MIN([1]!Cost_of_Living[Cost of Living Index]))/(MAX([1]!Cost_of_Living[Cost of Living Index])-MIN([1]!Cost_of_Living[Cost of Living Index]))</f>
        <v>0.71441605839416056</v>
      </c>
    </row>
    <row r="136" spans="1:4">
      <c r="A136" s="36" t="s">
        <v>400</v>
      </c>
      <c r="B136" s="36" t="s">
        <v>1720</v>
      </c>
      <c r="C136" s="37">
        <v>92.5</v>
      </c>
      <c r="D136" s="39">
        <f>1-([1]!Cost_of_Living[[#This Row],[Cost of Living Index]]-MIN([1]!Cost_of_Living[Cost of Living Index]))/(MAX([1]!Cost_of_Living[Cost of Living Index])-MIN([1]!Cost_of_Living[Cost of Living Index]))</f>
        <v>0.78558394160583944</v>
      </c>
    </row>
    <row r="137" spans="1:4">
      <c r="A137" s="36" t="s">
        <v>2408</v>
      </c>
      <c r="B137" s="36" t="s">
        <v>1720</v>
      </c>
      <c r="C137" s="37">
        <v>91.7</v>
      </c>
      <c r="D137" s="39">
        <f>1-([1]!Cost_of_Living[[#This Row],[Cost of Living Index]]-MIN([1]!Cost_of_Living[Cost of Living Index]))/(MAX([1]!Cost_of_Living[Cost of Living Index])-MIN([1]!Cost_of_Living[Cost of Living Index]))</f>
        <v>0.79288321167883202</v>
      </c>
    </row>
    <row r="138" spans="1:4">
      <c r="A138" s="36" t="s">
        <v>2409</v>
      </c>
      <c r="B138" s="36" t="s">
        <v>1720</v>
      </c>
      <c r="C138" s="37">
        <v>91.2</v>
      </c>
      <c r="D138" s="39">
        <f>1-([1]!Cost_of_Living[[#This Row],[Cost of Living Index]]-MIN([1]!Cost_of_Living[Cost of Living Index]))/(MAX([1]!Cost_of_Living[Cost of Living Index])-MIN([1]!Cost_of_Living[Cost of Living Index]))</f>
        <v>0.79744525547445255</v>
      </c>
    </row>
    <row r="139" spans="1:4">
      <c r="A139" s="36" t="s">
        <v>804</v>
      </c>
      <c r="B139" s="36" t="s">
        <v>1720</v>
      </c>
      <c r="C139" s="37">
        <v>90.8</v>
      </c>
      <c r="D139" s="39">
        <f>1-([1]!Cost_of_Living[[#This Row],[Cost of Living Index]]-MIN([1]!Cost_of_Living[Cost of Living Index]))/(MAX([1]!Cost_of_Living[Cost of Living Index])-MIN([1]!Cost_of_Living[Cost of Living Index]))</f>
        <v>0.80109489051094895</v>
      </c>
    </row>
    <row r="140" spans="1:4">
      <c r="A140" s="36" t="s">
        <v>25</v>
      </c>
      <c r="B140" s="36" t="s">
        <v>858</v>
      </c>
      <c r="C140" s="37">
        <v>100.1</v>
      </c>
      <c r="D140" s="39">
        <f>1-([1]!Cost_of_Living[[#This Row],[Cost of Living Index]]-MIN([1]!Cost_of_Living[Cost of Living Index]))/(MAX([1]!Cost_of_Living[Cost of Living Index])-MIN([1]!Cost_of_Living[Cost of Living Index]))</f>
        <v>0.71624087591240881</v>
      </c>
    </row>
    <row r="141" spans="1:4">
      <c r="A141" s="36" t="s">
        <v>2410</v>
      </c>
      <c r="B141" s="36" t="s">
        <v>858</v>
      </c>
      <c r="C141" s="37">
        <v>91</v>
      </c>
      <c r="D141" s="39">
        <f>1-([1]!Cost_of_Living[[#This Row],[Cost of Living Index]]-MIN([1]!Cost_of_Living[Cost of Living Index]))/(MAX([1]!Cost_of_Living[Cost of Living Index])-MIN([1]!Cost_of_Living[Cost of Living Index]))</f>
        <v>0.7992700729927007</v>
      </c>
    </row>
    <row r="142" spans="1:4">
      <c r="A142" s="36" t="s">
        <v>68</v>
      </c>
      <c r="B142" s="36" t="s">
        <v>858</v>
      </c>
      <c r="C142" s="37">
        <v>89</v>
      </c>
      <c r="D142" s="39">
        <f>1-([1]!Cost_of_Living[[#This Row],[Cost of Living Index]]-MIN([1]!Cost_of_Living[Cost of Living Index]))/(MAX([1]!Cost_of_Living[Cost of Living Index])-MIN([1]!Cost_of_Living[Cost of Living Index]))</f>
        <v>0.81751824817518248</v>
      </c>
    </row>
    <row r="143" spans="1:4">
      <c r="A143" s="36" t="s">
        <v>755</v>
      </c>
      <c r="B143" s="36" t="s">
        <v>858</v>
      </c>
      <c r="C143" s="37">
        <v>89</v>
      </c>
      <c r="D143" s="39">
        <f>1-([1]!Cost_of_Living[[#This Row],[Cost of Living Index]]-MIN([1]!Cost_of_Living[Cost of Living Index]))/(MAX([1]!Cost_of_Living[Cost of Living Index])-MIN([1]!Cost_of_Living[Cost of Living Index]))</f>
        <v>0.81751824817518248</v>
      </c>
    </row>
    <row r="144" spans="1:4">
      <c r="A144" s="36" t="s">
        <v>585</v>
      </c>
      <c r="B144" s="36" t="s">
        <v>858</v>
      </c>
      <c r="C144" s="37">
        <v>87.5</v>
      </c>
      <c r="D144" s="39">
        <f>1-([1]!Cost_of_Living[[#This Row],[Cost of Living Index]]-MIN([1]!Cost_of_Living[Cost of Living Index]))/(MAX([1]!Cost_of_Living[Cost of Living Index])-MIN([1]!Cost_of_Living[Cost of Living Index]))</f>
        <v>0.83120437956204385</v>
      </c>
    </row>
    <row r="145" spans="1:4">
      <c r="A145" s="36" t="s">
        <v>689</v>
      </c>
      <c r="B145" s="36" t="s">
        <v>858</v>
      </c>
      <c r="C145" s="37">
        <v>87.3</v>
      </c>
      <c r="D145" s="39">
        <f>1-([1]!Cost_of_Living[[#This Row],[Cost of Living Index]]-MIN([1]!Cost_of_Living[Cost of Living Index]))/(MAX([1]!Cost_of_Living[Cost of Living Index])-MIN([1]!Cost_of_Living[Cost of Living Index]))</f>
        <v>0.83302919708029199</v>
      </c>
    </row>
    <row r="146" spans="1:4">
      <c r="A146" s="36" t="s">
        <v>736</v>
      </c>
      <c r="B146" s="36" t="s">
        <v>858</v>
      </c>
      <c r="C146" s="37">
        <v>87.2</v>
      </c>
      <c r="D146" s="39">
        <f>1-([1]!Cost_of_Living[[#This Row],[Cost of Living Index]]-MIN([1]!Cost_of_Living[Cost of Living Index]))/(MAX([1]!Cost_of_Living[Cost of Living Index])-MIN([1]!Cost_of_Living[Cost of Living Index]))</f>
        <v>0.83394160583941601</v>
      </c>
    </row>
    <row r="147" spans="1:4">
      <c r="A147" s="36" t="s">
        <v>406</v>
      </c>
      <c r="B147" s="36" t="s">
        <v>858</v>
      </c>
      <c r="C147" s="37">
        <v>86.7</v>
      </c>
      <c r="D147" s="39">
        <f>1-([1]!Cost_of_Living[[#This Row],[Cost of Living Index]]-MIN([1]!Cost_of_Living[Cost of Living Index]))/(MAX([1]!Cost_of_Living[Cost of Living Index])-MIN([1]!Cost_of_Living[Cost of Living Index]))</f>
        <v>0.83850364963503643</v>
      </c>
    </row>
    <row r="148" spans="1:4">
      <c r="A148" s="36" t="s">
        <v>2411</v>
      </c>
      <c r="B148" s="36" t="s">
        <v>858</v>
      </c>
      <c r="C148" s="37">
        <v>86.6</v>
      </c>
      <c r="D148" s="39">
        <f>1-([1]!Cost_of_Living[[#This Row],[Cost of Living Index]]-MIN([1]!Cost_of_Living[Cost of Living Index]))/(MAX([1]!Cost_of_Living[Cost of Living Index])-MIN([1]!Cost_of_Living[Cost of Living Index]))</f>
        <v>0.83941605839416067</v>
      </c>
    </row>
    <row r="149" spans="1:4">
      <c r="A149" s="36" t="s">
        <v>512</v>
      </c>
      <c r="B149" s="36" t="s">
        <v>858</v>
      </c>
      <c r="C149" s="37">
        <v>84.9</v>
      </c>
      <c r="D149" s="39">
        <f>1-([1]!Cost_of_Living[[#This Row],[Cost of Living Index]]-MIN([1]!Cost_of_Living[Cost of Living Index]))/(MAX([1]!Cost_of_Living[Cost of Living Index])-MIN([1]!Cost_of_Living[Cost of Living Index]))</f>
        <v>0.85492700729927007</v>
      </c>
    </row>
    <row r="150" spans="1:4">
      <c r="A150" s="36" t="s">
        <v>569</v>
      </c>
      <c r="B150" s="36" t="s">
        <v>858</v>
      </c>
      <c r="C150" s="37">
        <v>83.9</v>
      </c>
      <c r="D150" s="39">
        <f>1-([1]!Cost_of_Living[[#This Row],[Cost of Living Index]]-MIN([1]!Cost_of_Living[Cost of Living Index]))/(MAX([1]!Cost_of_Living[Cost of Living Index])-MIN([1]!Cost_of_Living[Cost of Living Index]))</f>
        <v>0.86405109489051091</v>
      </c>
    </row>
    <row r="151" spans="1:4">
      <c r="A151" s="36" t="s">
        <v>801</v>
      </c>
      <c r="B151" s="36" t="s">
        <v>858</v>
      </c>
      <c r="C151" s="37">
        <v>83.5</v>
      </c>
      <c r="D151" s="39">
        <f>1-([1]!Cost_of_Living[[#This Row],[Cost of Living Index]]-MIN([1]!Cost_of_Living[Cost of Living Index]))/(MAX([1]!Cost_of_Living[Cost of Living Index])-MIN([1]!Cost_of_Living[Cost of Living Index]))</f>
        <v>0.86770072992700731</v>
      </c>
    </row>
    <row r="152" spans="1:4">
      <c r="A152" s="36" t="s">
        <v>68</v>
      </c>
      <c r="B152" s="36" t="s">
        <v>971</v>
      </c>
      <c r="C152" s="37">
        <v>92.4</v>
      </c>
      <c r="D152" s="39">
        <f>1-([1]!Cost_of_Living[[#This Row],[Cost of Living Index]]-MIN([1]!Cost_of_Living[Cost of Living Index]))/(MAX([1]!Cost_of_Living[Cost of Living Index])-MIN([1]!Cost_of_Living[Cost of Living Index]))</f>
        <v>0.78649635036496346</v>
      </c>
    </row>
    <row r="153" spans="1:4">
      <c r="A153" s="36" t="s">
        <v>2412</v>
      </c>
      <c r="B153" s="36" t="s">
        <v>971</v>
      </c>
      <c r="C153" s="37">
        <v>92.3</v>
      </c>
      <c r="D153" s="39">
        <f>1-([1]!Cost_of_Living[[#This Row],[Cost of Living Index]]-MIN([1]!Cost_of_Living[Cost of Living Index]))/(MAX([1]!Cost_of_Living[Cost of Living Index])-MIN([1]!Cost_of_Living[Cost of Living Index]))</f>
        <v>0.78740875912408759</v>
      </c>
    </row>
    <row r="154" spans="1:4">
      <c r="A154" s="36" t="s">
        <v>228</v>
      </c>
      <c r="B154" s="36" t="s">
        <v>971</v>
      </c>
      <c r="C154" s="37">
        <v>90.2</v>
      </c>
      <c r="D154" s="39">
        <f>1-([1]!Cost_of_Living[[#This Row],[Cost of Living Index]]-MIN([1]!Cost_of_Living[Cost of Living Index]))/(MAX([1]!Cost_of_Living[Cost of Living Index])-MIN([1]!Cost_of_Living[Cost of Living Index]))</f>
        <v>0.80656934306569339</v>
      </c>
    </row>
    <row r="155" spans="1:4">
      <c r="A155" s="36" t="s">
        <v>544</v>
      </c>
      <c r="B155" s="36" t="s">
        <v>971</v>
      </c>
      <c r="C155" s="37">
        <v>89.1</v>
      </c>
      <c r="D155" s="39">
        <f>1-([1]!Cost_of_Living[[#This Row],[Cost of Living Index]]-MIN([1]!Cost_of_Living[Cost of Living Index]))/(MAX([1]!Cost_of_Living[Cost of Living Index])-MIN([1]!Cost_of_Living[Cost of Living Index]))</f>
        <v>0.81660583941605847</v>
      </c>
    </row>
    <row r="156" spans="1:4">
      <c r="A156" s="36" t="s">
        <v>414</v>
      </c>
      <c r="B156" s="36" t="s">
        <v>971</v>
      </c>
      <c r="C156" s="37">
        <v>88.7</v>
      </c>
      <c r="D156" s="39">
        <f>1-([1]!Cost_of_Living[[#This Row],[Cost of Living Index]]-MIN([1]!Cost_of_Living[Cost of Living Index]))/(MAX([1]!Cost_of_Living[Cost of Living Index])-MIN([1]!Cost_of_Living[Cost of Living Index]))</f>
        <v>0.82025547445255476</v>
      </c>
    </row>
    <row r="157" spans="1:4">
      <c r="A157" s="36" t="s">
        <v>2413</v>
      </c>
      <c r="B157" s="36" t="s">
        <v>971</v>
      </c>
      <c r="C157" s="37">
        <v>88.5</v>
      </c>
      <c r="D157" s="39">
        <f>1-([1]!Cost_of_Living[[#This Row],[Cost of Living Index]]-MIN([1]!Cost_of_Living[Cost of Living Index]))/(MAX([1]!Cost_of_Living[Cost of Living Index])-MIN([1]!Cost_of_Living[Cost of Living Index]))</f>
        <v>0.8220802919708029</v>
      </c>
    </row>
    <row r="158" spans="1:4">
      <c r="A158" s="36" t="s">
        <v>2414</v>
      </c>
      <c r="B158" s="36" t="s">
        <v>971</v>
      </c>
      <c r="C158" s="37">
        <v>87.8</v>
      </c>
      <c r="D158" s="39">
        <f>1-([1]!Cost_of_Living[[#This Row],[Cost of Living Index]]-MIN([1]!Cost_of_Living[Cost of Living Index]))/(MAX([1]!Cost_of_Living[Cost of Living Index])-MIN([1]!Cost_of_Living[Cost of Living Index]))</f>
        <v>0.82846715328467158</v>
      </c>
    </row>
    <row r="159" spans="1:4">
      <c r="A159" s="36" t="s">
        <v>401</v>
      </c>
      <c r="B159" s="36" t="s">
        <v>971</v>
      </c>
      <c r="C159" s="37">
        <v>87.2</v>
      </c>
      <c r="D159" s="39">
        <f>1-([1]!Cost_of_Living[[#This Row],[Cost of Living Index]]-MIN([1]!Cost_of_Living[Cost of Living Index]))/(MAX([1]!Cost_of_Living[Cost of Living Index])-MIN([1]!Cost_of_Living[Cost of Living Index]))</f>
        <v>0.83394160583941601</v>
      </c>
    </row>
    <row r="160" spans="1:4">
      <c r="A160" s="36" t="s">
        <v>2415</v>
      </c>
      <c r="B160" s="36" t="s">
        <v>971</v>
      </c>
      <c r="C160" s="37">
        <v>87.2</v>
      </c>
      <c r="D160" s="39">
        <f>1-([1]!Cost_of_Living[[#This Row],[Cost of Living Index]]-MIN([1]!Cost_of_Living[Cost of Living Index]))/(MAX([1]!Cost_of_Living[Cost of Living Index])-MIN([1]!Cost_of_Living[Cost of Living Index]))</f>
        <v>0.83394160583941601</v>
      </c>
    </row>
    <row r="161" spans="1:4">
      <c r="A161" s="36" t="s">
        <v>481</v>
      </c>
      <c r="B161" s="36" t="s">
        <v>971</v>
      </c>
      <c r="C161" s="37">
        <v>86.8</v>
      </c>
      <c r="D161" s="39">
        <f>1-([1]!Cost_of_Living[[#This Row],[Cost of Living Index]]-MIN([1]!Cost_of_Living[Cost of Living Index]))/(MAX([1]!Cost_of_Living[Cost of Living Index])-MIN([1]!Cost_of_Living[Cost of Living Index]))</f>
        <v>0.83759124087591241</v>
      </c>
    </row>
    <row r="162" spans="1:4">
      <c r="A162" s="36" t="s">
        <v>697</v>
      </c>
      <c r="B162" s="36" t="s">
        <v>971</v>
      </c>
      <c r="C162" s="37">
        <v>84.9</v>
      </c>
      <c r="D162" s="39">
        <f>1-([1]!Cost_of_Living[[#This Row],[Cost of Living Index]]-MIN([1]!Cost_of_Living[Cost of Living Index]))/(MAX([1]!Cost_of_Living[Cost of Living Index])-MIN([1]!Cost_of_Living[Cost of Living Index]))</f>
        <v>0.85492700729927007</v>
      </c>
    </row>
    <row r="163" spans="1:4">
      <c r="A163" s="36" t="s">
        <v>357</v>
      </c>
      <c r="B163" s="36" t="s">
        <v>971</v>
      </c>
      <c r="C163" s="37">
        <v>84.7</v>
      </c>
      <c r="D163" s="39">
        <f>1-([1]!Cost_of_Living[[#This Row],[Cost of Living Index]]-MIN([1]!Cost_of_Living[Cost of Living Index]))/(MAX([1]!Cost_of_Living[Cost of Living Index])-MIN([1]!Cost_of_Living[Cost of Living Index]))</f>
        <v>0.85675182481751821</v>
      </c>
    </row>
    <row r="164" spans="1:4">
      <c r="A164" s="36" t="s">
        <v>165</v>
      </c>
      <c r="B164" s="36" t="s">
        <v>971</v>
      </c>
      <c r="C164" s="37">
        <v>84.2</v>
      </c>
      <c r="D164" s="39">
        <f>1-([1]!Cost_of_Living[[#This Row],[Cost of Living Index]]-MIN([1]!Cost_of_Living[Cost of Living Index]))/(MAX([1]!Cost_of_Living[Cost of Living Index])-MIN([1]!Cost_of_Living[Cost of Living Index]))</f>
        <v>0.86131386861313863</v>
      </c>
    </row>
    <row r="165" spans="1:4">
      <c r="A165" s="36" t="s">
        <v>289</v>
      </c>
      <c r="B165" s="36" t="s">
        <v>971</v>
      </c>
      <c r="C165" s="37">
        <v>83.7</v>
      </c>
      <c r="D165" s="39">
        <f>1-([1]!Cost_of_Living[[#This Row],[Cost of Living Index]]-MIN([1]!Cost_of_Living[Cost of Living Index]))/(MAX([1]!Cost_of_Living[Cost of Living Index])-MIN([1]!Cost_of_Living[Cost of Living Index]))</f>
        <v>0.86587591240875905</v>
      </c>
    </row>
    <row r="166" spans="1:4">
      <c r="A166" s="36" t="s">
        <v>528</v>
      </c>
      <c r="B166" s="36" t="s">
        <v>971</v>
      </c>
      <c r="C166" s="37">
        <v>81.8</v>
      </c>
      <c r="D166" s="39">
        <f>1-([1]!Cost_of_Living[[#This Row],[Cost of Living Index]]-MIN([1]!Cost_of_Living[Cost of Living Index]))/(MAX([1]!Cost_of_Living[Cost of Living Index])-MIN([1]!Cost_of_Living[Cost of Living Index]))</f>
        <v>0.88321167883211682</v>
      </c>
    </row>
    <row r="167" spans="1:4">
      <c r="A167" s="36" t="s">
        <v>776</v>
      </c>
      <c r="B167" s="36" t="s">
        <v>1428</v>
      </c>
      <c r="C167" s="37">
        <v>91.6</v>
      </c>
      <c r="D167" s="39">
        <f>1-([1]!Cost_of_Living[[#This Row],[Cost of Living Index]]-MIN([1]!Cost_of_Living[Cost of Living Index]))/(MAX([1]!Cost_of_Living[Cost of Living Index])-MIN([1]!Cost_of_Living[Cost of Living Index]))</f>
        <v>0.79379562043795626</v>
      </c>
    </row>
    <row r="168" spans="1:4">
      <c r="A168" s="36" t="s">
        <v>728</v>
      </c>
      <c r="B168" s="36" t="s">
        <v>1428</v>
      </c>
      <c r="C168" s="37">
        <v>89.6</v>
      </c>
      <c r="D168" s="39">
        <f>1-([1]!Cost_of_Living[[#This Row],[Cost of Living Index]]-MIN([1]!Cost_of_Living[Cost of Living Index]))/(MAX([1]!Cost_of_Living[Cost of Living Index])-MIN([1]!Cost_of_Living[Cost of Living Index]))</f>
        <v>0.81204379562043805</v>
      </c>
    </row>
    <row r="169" spans="1:4">
      <c r="A169" s="36" t="s">
        <v>341</v>
      </c>
      <c r="B169" s="36" t="s">
        <v>1428</v>
      </c>
      <c r="C169" s="37">
        <v>86.8</v>
      </c>
      <c r="D169" s="39">
        <f>1-([1]!Cost_of_Living[[#This Row],[Cost of Living Index]]-MIN([1]!Cost_of_Living[Cost of Living Index]))/(MAX([1]!Cost_of_Living[Cost of Living Index])-MIN([1]!Cost_of_Living[Cost of Living Index]))</f>
        <v>0.83759124087591241</v>
      </c>
    </row>
    <row r="170" spans="1:4">
      <c r="A170" s="36" t="s">
        <v>549</v>
      </c>
      <c r="B170" s="36" t="s">
        <v>1428</v>
      </c>
      <c r="C170" s="37">
        <v>85.6</v>
      </c>
      <c r="D170" s="39">
        <f>1-([1]!Cost_of_Living[[#This Row],[Cost of Living Index]]-MIN([1]!Cost_of_Living[Cost of Living Index]))/(MAX([1]!Cost_of_Living[Cost of Living Index])-MIN([1]!Cost_of_Living[Cost of Living Index]))</f>
        <v>0.84854014598540151</v>
      </c>
    </row>
    <row r="171" spans="1:4">
      <c r="A171" s="36" t="s">
        <v>2416</v>
      </c>
      <c r="B171" s="36" t="s">
        <v>1428</v>
      </c>
      <c r="C171" s="37">
        <v>84</v>
      </c>
      <c r="D171" s="39">
        <f>1-([1]!Cost_of_Living[[#This Row],[Cost of Living Index]]-MIN([1]!Cost_of_Living[Cost of Living Index]))/(MAX([1]!Cost_of_Living[Cost of Living Index])-MIN([1]!Cost_of_Living[Cost of Living Index]))</f>
        <v>0.86313868613138689</v>
      </c>
    </row>
    <row r="172" spans="1:4">
      <c r="A172" s="36" t="s">
        <v>518</v>
      </c>
      <c r="B172" s="36" t="s">
        <v>1358</v>
      </c>
      <c r="C172" s="37">
        <v>91.6</v>
      </c>
      <c r="D172" s="39">
        <f>1-([1]!Cost_of_Living[[#This Row],[Cost of Living Index]]-MIN([1]!Cost_of_Living[Cost of Living Index]))/(MAX([1]!Cost_of_Living[Cost of Living Index])-MIN([1]!Cost_of_Living[Cost of Living Index]))</f>
        <v>0.79379562043795626</v>
      </c>
    </row>
    <row r="173" spans="1:4">
      <c r="A173" s="36" t="s">
        <v>125</v>
      </c>
      <c r="B173" s="36" t="s">
        <v>1358</v>
      </c>
      <c r="C173" s="37">
        <v>91.1</v>
      </c>
      <c r="D173" s="39">
        <f>1-([1]!Cost_of_Living[[#This Row],[Cost of Living Index]]-MIN([1]!Cost_of_Living[Cost of Living Index]))/(MAX([1]!Cost_of_Living[Cost of Living Index])-MIN([1]!Cost_of_Living[Cost of Living Index]))</f>
        <v>0.79835766423357668</v>
      </c>
    </row>
    <row r="174" spans="1:4">
      <c r="A174" s="36" t="s">
        <v>165</v>
      </c>
      <c r="B174" s="36" t="s">
        <v>1358</v>
      </c>
      <c r="C174" s="37">
        <v>90.8</v>
      </c>
      <c r="D174" s="39">
        <f>1-([1]!Cost_of_Living[[#This Row],[Cost of Living Index]]-MIN([1]!Cost_of_Living[Cost of Living Index]))/(MAX([1]!Cost_of_Living[Cost of Living Index])-MIN([1]!Cost_of_Living[Cost of Living Index]))</f>
        <v>0.80109489051094895</v>
      </c>
    </row>
    <row r="175" spans="1:4">
      <c r="A175" s="36" t="s">
        <v>516</v>
      </c>
      <c r="B175" s="36" t="s">
        <v>1358</v>
      </c>
      <c r="C175" s="37">
        <v>88.1</v>
      </c>
      <c r="D175" s="39">
        <f>1-([1]!Cost_of_Living[[#This Row],[Cost of Living Index]]-MIN([1]!Cost_of_Living[Cost of Living Index]))/(MAX([1]!Cost_of_Living[Cost of Living Index])-MIN([1]!Cost_of_Living[Cost of Living Index]))</f>
        <v>0.8257299270072993</v>
      </c>
    </row>
    <row r="176" spans="1:4">
      <c r="A176" s="36" t="s">
        <v>599</v>
      </c>
      <c r="B176" s="36" t="s">
        <v>1358</v>
      </c>
      <c r="C176" s="37">
        <v>88.1</v>
      </c>
      <c r="D176" s="39">
        <f>1-([1]!Cost_of_Living[[#This Row],[Cost of Living Index]]-MIN([1]!Cost_of_Living[Cost of Living Index]))/(MAX([1]!Cost_of_Living[Cost of Living Index])-MIN([1]!Cost_of_Living[Cost of Living Index]))</f>
        <v>0.8257299270072993</v>
      </c>
    </row>
    <row r="177" spans="1:4">
      <c r="A177" s="36" t="s">
        <v>296</v>
      </c>
      <c r="B177" s="36" t="s">
        <v>1358</v>
      </c>
      <c r="C177" s="37">
        <v>87</v>
      </c>
      <c r="D177" s="39">
        <f>1-([1]!Cost_of_Living[[#This Row],[Cost of Living Index]]-MIN([1]!Cost_of_Living[Cost of Living Index]))/(MAX([1]!Cost_of_Living[Cost of Living Index])-MIN([1]!Cost_of_Living[Cost of Living Index]))</f>
        <v>0.83576642335766427</v>
      </c>
    </row>
    <row r="178" spans="1:4">
      <c r="A178" s="36" t="s">
        <v>716</v>
      </c>
      <c r="B178" s="36" t="s">
        <v>1358</v>
      </c>
      <c r="C178" s="37">
        <v>86.6</v>
      </c>
      <c r="D178" s="39">
        <f>1-([1]!Cost_of_Living[[#This Row],[Cost of Living Index]]-MIN([1]!Cost_of_Living[Cost of Living Index]))/(MAX([1]!Cost_of_Living[Cost of Living Index])-MIN([1]!Cost_of_Living[Cost of Living Index]))</f>
        <v>0.83941605839416067</v>
      </c>
    </row>
    <row r="179" spans="1:4">
      <c r="A179" s="36" t="s">
        <v>2417</v>
      </c>
      <c r="B179" s="36" t="s">
        <v>1358</v>
      </c>
      <c r="C179" s="37">
        <v>85.7</v>
      </c>
      <c r="D179" s="39">
        <f>1-([1]!Cost_of_Living[[#This Row],[Cost of Living Index]]-MIN([1]!Cost_of_Living[Cost of Living Index]))/(MAX([1]!Cost_of_Living[Cost of Living Index])-MIN([1]!Cost_of_Living[Cost of Living Index]))</f>
        <v>0.84762773722627738</v>
      </c>
    </row>
    <row r="180" spans="1:4">
      <c r="A180" s="36" t="s">
        <v>2418</v>
      </c>
      <c r="B180" s="36" t="s">
        <v>1358</v>
      </c>
      <c r="C180" s="37">
        <v>84.6</v>
      </c>
      <c r="D180" s="39">
        <f>1-([1]!Cost_of_Living[[#This Row],[Cost of Living Index]]-MIN([1]!Cost_of_Living[Cost of Living Index]))/(MAX([1]!Cost_of_Living[Cost of Living Index])-MIN([1]!Cost_of_Living[Cost of Living Index]))</f>
        <v>0.85766423357664234</v>
      </c>
    </row>
    <row r="181" spans="1:4">
      <c r="A181" s="36" t="s">
        <v>177</v>
      </c>
      <c r="B181" s="36" t="s">
        <v>1303</v>
      </c>
      <c r="C181" s="37">
        <v>92.4</v>
      </c>
      <c r="D181" s="39">
        <f>1-([1]!Cost_of_Living[[#This Row],[Cost of Living Index]]-MIN([1]!Cost_of_Living[Cost of Living Index]))/(MAX([1]!Cost_of_Living[Cost of Living Index])-MIN([1]!Cost_of_Living[Cost of Living Index]))</f>
        <v>0.78649635036496346</v>
      </c>
    </row>
    <row r="182" spans="1:4">
      <c r="A182" s="36" t="s">
        <v>145</v>
      </c>
      <c r="B182" s="36" t="s">
        <v>1303</v>
      </c>
      <c r="C182" s="37">
        <v>91.1</v>
      </c>
      <c r="D182" s="39">
        <f>1-([1]!Cost_of_Living[[#This Row],[Cost of Living Index]]-MIN([1]!Cost_of_Living[Cost of Living Index]))/(MAX([1]!Cost_of_Living[Cost of Living Index])-MIN([1]!Cost_of_Living[Cost of Living Index]))</f>
        <v>0.79835766423357668</v>
      </c>
    </row>
    <row r="183" spans="1:4">
      <c r="A183" s="36" t="s">
        <v>2419</v>
      </c>
      <c r="B183" s="36" t="s">
        <v>1303</v>
      </c>
      <c r="C183" s="37">
        <v>89.9</v>
      </c>
      <c r="D183" s="39">
        <f>1-([1]!Cost_of_Living[[#This Row],[Cost of Living Index]]-MIN([1]!Cost_of_Living[Cost of Living Index]))/(MAX([1]!Cost_of_Living[Cost of Living Index])-MIN([1]!Cost_of_Living[Cost of Living Index]))</f>
        <v>0.80930656934306566</v>
      </c>
    </row>
    <row r="184" spans="1:4">
      <c r="A184" s="36" t="s">
        <v>414</v>
      </c>
      <c r="B184" s="36" t="s">
        <v>1303</v>
      </c>
      <c r="C184" s="37">
        <v>89.6</v>
      </c>
      <c r="D184" s="39">
        <f>1-([1]!Cost_of_Living[[#This Row],[Cost of Living Index]]-MIN([1]!Cost_of_Living[Cost of Living Index]))/(MAX([1]!Cost_of_Living[Cost of Living Index])-MIN([1]!Cost_of_Living[Cost of Living Index]))</f>
        <v>0.81204379562043805</v>
      </c>
    </row>
    <row r="185" spans="1:4">
      <c r="A185" s="36" t="s">
        <v>625</v>
      </c>
      <c r="B185" s="36" t="s">
        <v>1303</v>
      </c>
      <c r="C185" s="37">
        <v>89.4</v>
      </c>
      <c r="D185" s="39">
        <f>1-([1]!Cost_of_Living[[#This Row],[Cost of Living Index]]-MIN([1]!Cost_of_Living[Cost of Living Index]))/(MAX([1]!Cost_of_Living[Cost of Living Index])-MIN([1]!Cost_of_Living[Cost of Living Index]))</f>
        <v>0.81386861313868608</v>
      </c>
    </row>
    <row r="186" spans="1:4">
      <c r="A186" s="36" t="s">
        <v>495</v>
      </c>
      <c r="B186" s="36" t="s">
        <v>1303</v>
      </c>
      <c r="C186" s="37">
        <v>89</v>
      </c>
      <c r="D186" s="39">
        <f>1-([1]!Cost_of_Living[[#This Row],[Cost of Living Index]]-MIN([1]!Cost_of_Living[Cost of Living Index]))/(MAX([1]!Cost_of_Living[Cost of Living Index])-MIN([1]!Cost_of_Living[Cost of Living Index]))</f>
        <v>0.81751824817518248</v>
      </c>
    </row>
    <row r="187" spans="1:4">
      <c r="A187" s="36" t="s">
        <v>556</v>
      </c>
      <c r="B187" s="36" t="s">
        <v>1303</v>
      </c>
      <c r="C187" s="37">
        <v>86.5</v>
      </c>
      <c r="D187" s="39">
        <f>1-([1]!Cost_of_Living[[#This Row],[Cost of Living Index]]-MIN([1]!Cost_of_Living[Cost of Living Index]))/(MAX([1]!Cost_of_Living[Cost of Living Index])-MIN([1]!Cost_of_Living[Cost of Living Index]))</f>
        <v>0.84032846715328469</v>
      </c>
    </row>
    <row r="188" spans="1:4">
      <c r="A188" s="36" t="s">
        <v>698</v>
      </c>
      <c r="B188" s="36" t="s">
        <v>1303</v>
      </c>
      <c r="C188" s="37">
        <v>86.2</v>
      </c>
      <c r="D188" s="39">
        <f>1-([1]!Cost_of_Living[[#This Row],[Cost of Living Index]]-MIN([1]!Cost_of_Living[Cost of Living Index]))/(MAX([1]!Cost_of_Living[Cost of Living Index])-MIN([1]!Cost_of_Living[Cost of Living Index]))</f>
        <v>0.84306569343065685</v>
      </c>
    </row>
    <row r="189" spans="1:4">
      <c r="A189" s="36" t="s">
        <v>2420</v>
      </c>
      <c r="B189" s="36" t="s">
        <v>1303</v>
      </c>
      <c r="C189" s="37">
        <v>86.1</v>
      </c>
      <c r="D189" s="39">
        <f>1-([1]!Cost_of_Living[[#This Row],[Cost of Living Index]]-MIN([1]!Cost_of_Living[Cost of Living Index]))/(MAX([1]!Cost_of_Living[Cost of Living Index])-MIN([1]!Cost_of_Living[Cost of Living Index]))</f>
        <v>0.84397810218978109</v>
      </c>
    </row>
    <row r="190" spans="1:4">
      <c r="A190" s="36" t="s">
        <v>627</v>
      </c>
      <c r="B190" s="36" t="s">
        <v>1303</v>
      </c>
      <c r="C190" s="37">
        <v>85.8</v>
      </c>
      <c r="D190" s="39">
        <f>1-([1]!Cost_of_Living[[#This Row],[Cost of Living Index]]-MIN([1]!Cost_of_Living[Cost of Living Index]))/(MAX([1]!Cost_of_Living[Cost of Living Index])-MIN([1]!Cost_of_Living[Cost of Living Index]))</f>
        <v>0.84671532846715336</v>
      </c>
    </row>
    <row r="191" spans="1:4">
      <c r="A191" s="36" t="s">
        <v>256</v>
      </c>
      <c r="B191" s="36" t="s">
        <v>827</v>
      </c>
      <c r="C191" s="37">
        <v>132.6</v>
      </c>
      <c r="D191" s="39">
        <f>1-([1]!Cost_of_Living[[#This Row],[Cost of Living Index]]-MIN([1]!Cost_of_Living[Cost of Living Index]))/(MAX([1]!Cost_of_Living[Cost of Living Index])-MIN([1]!Cost_of_Living[Cost of Living Index]))</f>
        <v>0.41970802919708028</v>
      </c>
    </row>
    <row r="192" spans="1:4">
      <c r="A192" s="36" t="s">
        <v>2421</v>
      </c>
      <c r="B192" s="36" t="s">
        <v>827</v>
      </c>
      <c r="C192" s="37">
        <v>122.4</v>
      </c>
      <c r="D192" s="39">
        <f>1-([1]!Cost_of_Living[[#This Row],[Cost of Living Index]]-MIN([1]!Cost_of_Living[Cost of Living Index]))/(MAX([1]!Cost_of_Living[Cost of Living Index])-MIN([1]!Cost_of_Living[Cost of Living Index]))</f>
        <v>0.51277372262773713</v>
      </c>
    </row>
    <row r="193" spans="1:4">
      <c r="A193" s="36" t="s">
        <v>261</v>
      </c>
      <c r="B193" s="36" t="s">
        <v>827</v>
      </c>
      <c r="C193" s="37">
        <v>113.2</v>
      </c>
      <c r="D193" s="39">
        <f>1-([1]!Cost_of_Living[[#This Row],[Cost of Living Index]]-MIN([1]!Cost_of_Living[Cost of Living Index]))/(MAX([1]!Cost_of_Living[Cost of Living Index])-MIN([1]!Cost_of_Living[Cost of Living Index]))</f>
        <v>0.59671532846715325</v>
      </c>
    </row>
    <row r="194" spans="1:4">
      <c r="A194" s="36" t="s">
        <v>585</v>
      </c>
      <c r="B194" s="36" t="s">
        <v>827</v>
      </c>
      <c r="C194" s="37">
        <v>106.5</v>
      </c>
      <c r="D194" s="39">
        <f>1-([1]!Cost_of_Living[[#This Row],[Cost of Living Index]]-MIN([1]!Cost_of_Living[Cost of Living Index]))/(MAX([1]!Cost_of_Living[Cost of Living Index])-MIN([1]!Cost_of_Living[Cost of Living Index]))</f>
        <v>0.65784671532846706</v>
      </c>
    </row>
    <row r="195" spans="1:4">
      <c r="A195" s="36" t="s">
        <v>2422</v>
      </c>
      <c r="B195" s="36" t="s">
        <v>827</v>
      </c>
      <c r="C195" s="37">
        <v>106.4</v>
      </c>
      <c r="D195" s="39">
        <f>1-([1]!Cost_of_Living[[#This Row],[Cost of Living Index]]-MIN([1]!Cost_of_Living[Cost of Living Index]))/(MAX([1]!Cost_of_Living[Cost of Living Index])-MIN([1]!Cost_of_Living[Cost of Living Index]))</f>
        <v>0.65875912408759119</v>
      </c>
    </row>
    <row r="196" spans="1:4">
      <c r="A196" s="36" t="s">
        <v>2423</v>
      </c>
      <c r="B196" s="36" t="s">
        <v>827</v>
      </c>
      <c r="C196" s="37">
        <v>106.2</v>
      </c>
      <c r="D196" s="39">
        <f>1-([1]!Cost_of_Living[[#This Row],[Cost of Living Index]]-MIN([1]!Cost_of_Living[Cost of Living Index]))/(MAX([1]!Cost_of_Living[Cost of Living Index])-MIN([1]!Cost_of_Living[Cost of Living Index]))</f>
        <v>0.66058394160583944</v>
      </c>
    </row>
    <row r="197" spans="1:4">
      <c r="A197" s="36" t="s">
        <v>191</v>
      </c>
      <c r="B197" s="36" t="s">
        <v>862</v>
      </c>
      <c r="C197" s="37">
        <v>107</v>
      </c>
      <c r="D197" s="39">
        <f>1-([1]!Cost_of_Living[[#This Row],[Cost of Living Index]]-MIN([1]!Cost_of_Living[Cost of Living Index]))/(MAX([1]!Cost_of_Living[Cost of Living Index])-MIN([1]!Cost_of_Living[Cost of Living Index]))</f>
        <v>0.65328467153284664</v>
      </c>
    </row>
    <row r="198" spans="1:4">
      <c r="A198" s="36" t="s">
        <v>666</v>
      </c>
      <c r="B198" s="36" t="s">
        <v>862</v>
      </c>
      <c r="C198" s="37">
        <v>104.8</v>
      </c>
      <c r="D198" s="39">
        <f>1-([1]!Cost_of_Living[[#This Row],[Cost of Living Index]]-MIN([1]!Cost_of_Living[Cost of Living Index]))/(MAX([1]!Cost_of_Living[Cost of Living Index])-MIN([1]!Cost_of_Living[Cost of Living Index]))</f>
        <v>0.67335766423357657</v>
      </c>
    </row>
    <row r="199" spans="1:4">
      <c r="A199" s="36" t="s">
        <v>490</v>
      </c>
      <c r="B199" s="36" t="s">
        <v>862</v>
      </c>
      <c r="C199" s="37">
        <v>103.2</v>
      </c>
      <c r="D199" s="39">
        <f>1-([1]!Cost_of_Living[[#This Row],[Cost of Living Index]]-MIN([1]!Cost_of_Living[Cost of Living Index]))/(MAX([1]!Cost_of_Living[Cost of Living Index])-MIN([1]!Cost_of_Living[Cost of Living Index]))</f>
        <v>0.68795620437956195</v>
      </c>
    </row>
    <row r="200" spans="1:4">
      <c r="A200" s="36" t="s">
        <v>2424</v>
      </c>
      <c r="B200" s="36" t="s">
        <v>862</v>
      </c>
      <c r="C200" s="37">
        <v>99.7</v>
      </c>
      <c r="D200" s="39">
        <f>1-([1]!Cost_of_Living[[#This Row],[Cost of Living Index]]-MIN([1]!Cost_of_Living[Cost of Living Index]))/(MAX([1]!Cost_of_Living[Cost of Living Index])-MIN([1]!Cost_of_Living[Cost of Living Index]))</f>
        <v>0.7198905109489051</v>
      </c>
    </row>
    <row r="201" spans="1:4">
      <c r="A201" s="36" t="s">
        <v>2425</v>
      </c>
      <c r="B201" s="36" t="s">
        <v>862</v>
      </c>
      <c r="C201" s="37">
        <v>90.9</v>
      </c>
      <c r="D201" s="39">
        <f>1-([1]!Cost_of_Living[[#This Row],[Cost of Living Index]]-MIN([1]!Cost_of_Living[Cost of Living Index]))/(MAX([1]!Cost_of_Living[Cost of Living Index])-MIN([1]!Cost_of_Living[Cost of Living Index]))</f>
        <v>0.80018248175182471</v>
      </c>
    </row>
    <row r="202" spans="1:4">
      <c r="A202" s="36" t="s">
        <v>172</v>
      </c>
      <c r="B202" s="36" t="s">
        <v>906</v>
      </c>
      <c r="C202" s="37">
        <v>113</v>
      </c>
      <c r="D202" s="39">
        <f>1-([1]!Cost_of_Living[[#This Row],[Cost of Living Index]]-MIN([1]!Cost_of_Living[Cost of Living Index]))/(MAX([1]!Cost_of_Living[Cost of Living Index])-MIN([1]!Cost_of_Living[Cost of Living Index]))</f>
        <v>0.5985401459854014</v>
      </c>
    </row>
    <row r="203" spans="1:4">
      <c r="A203" s="36" t="s">
        <v>377</v>
      </c>
      <c r="B203" s="36" t="s">
        <v>906</v>
      </c>
      <c r="C203" s="37">
        <v>100</v>
      </c>
      <c r="D203" s="39">
        <f>1-([1]!Cost_of_Living[[#This Row],[Cost of Living Index]]-MIN([1]!Cost_of_Living[Cost of Living Index]))/(MAX([1]!Cost_of_Living[Cost of Living Index])-MIN([1]!Cost_of_Living[Cost of Living Index]))</f>
        <v>0.71715328467153283</v>
      </c>
    </row>
    <row r="204" spans="1:4">
      <c r="A204" s="36" t="s">
        <v>400</v>
      </c>
      <c r="B204" s="36" t="s">
        <v>906</v>
      </c>
      <c r="C204" s="37">
        <v>99.7</v>
      </c>
      <c r="D204" s="39">
        <f>1-([1]!Cost_of_Living[[#This Row],[Cost of Living Index]]-MIN([1]!Cost_of_Living[Cost of Living Index]))/(MAX([1]!Cost_of_Living[Cost of Living Index])-MIN([1]!Cost_of_Living[Cost of Living Index]))</f>
        <v>0.7198905109489051</v>
      </c>
    </row>
    <row r="205" spans="1:4">
      <c r="A205" s="36" t="s">
        <v>632</v>
      </c>
      <c r="B205" s="36" t="s">
        <v>906</v>
      </c>
      <c r="C205" s="37">
        <v>98</v>
      </c>
      <c r="D205" s="39">
        <f>1-([1]!Cost_of_Living[[#This Row],[Cost of Living Index]]-MIN([1]!Cost_of_Living[Cost of Living Index]))/(MAX([1]!Cost_of_Living[Cost of Living Index])-MIN([1]!Cost_of_Living[Cost of Living Index]))</f>
        <v>0.73540145985401462</v>
      </c>
    </row>
    <row r="206" spans="1:4">
      <c r="A206" s="36" t="s">
        <v>2426</v>
      </c>
      <c r="B206" s="36" t="s">
        <v>922</v>
      </c>
      <c r="C206" s="37">
        <v>99.6</v>
      </c>
      <c r="D206" s="39">
        <f>1-([1]!Cost_of_Living[[#This Row],[Cost of Living Index]]-MIN([1]!Cost_of_Living[Cost of Living Index]))/(MAX([1]!Cost_of_Living[Cost of Living Index])-MIN([1]!Cost_of_Living[Cost of Living Index]))</f>
        <v>0.72080291970802923</v>
      </c>
    </row>
    <row r="207" spans="1:4">
      <c r="A207" s="36" t="s">
        <v>705</v>
      </c>
      <c r="B207" s="36" t="s">
        <v>922</v>
      </c>
      <c r="C207" s="37">
        <v>99.3</v>
      </c>
      <c r="D207" s="39">
        <f>1-([1]!Cost_of_Living[[#This Row],[Cost of Living Index]]-MIN([1]!Cost_of_Living[Cost of Living Index]))/(MAX([1]!Cost_of_Living[Cost of Living Index])-MIN([1]!Cost_of_Living[Cost of Living Index]))</f>
        <v>0.7235401459854014</v>
      </c>
    </row>
    <row r="208" spans="1:4">
      <c r="A208" s="36" t="s">
        <v>467</v>
      </c>
      <c r="B208" s="36" t="s">
        <v>922</v>
      </c>
      <c r="C208" s="37">
        <v>96.2</v>
      </c>
      <c r="D208" s="39">
        <f>1-([1]!Cost_of_Living[[#This Row],[Cost of Living Index]]-MIN([1]!Cost_of_Living[Cost of Living Index]))/(MAX([1]!Cost_of_Living[Cost of Living Index])-MIN([1]!Cost_of_Living[Cost of Living Index]))</f>
        <v>0.75182481751824815</v>
      </c>
    </row>
    <row r="209" spans="1:4">
      <c r="A209" s="36" t="s">
        <v>310</v>
      </c>
      <c r="B209" s="36" t="s">
        <v>922</v>
      </c>
      <c r="C209" s="37">
        <v>93.7</v>
      </c>
      <c r="D209" s="39">
        <f>1-([1]!Cost_of_Living[[#This Row],[Cost of Living Index]]-MIN([1]!Cost_of_Living[Cost of Living Index]))/(MAX([1]!Cost_of_Living[Cost of Living Index])-MIN([1]!Cost_of_Living[Cost of Living Index]))</f>
        <v>0.77463503649635035</v>
      </c>
    </row>
    <row r="210" spans="1:4">
      <c r="A210" s="36" t="s">
        <v>182</v>
      </c>
      <c r="B210" s="36" t="s">
        <v>922</v>
      </c>
      <c r="C210" s="37">
        <v>93.2</v>
      </c>
      <c r="D210" s="39">
        <f>1-([1]!Cost_of_Living[[#This Row],[Cost of Living Index]]-MIN([1]!Cost_of_Living[Cost of Living Index]))/(MAX([1]!Cost_of_Living[Cost of Living Index])-MIN([1]!Cost_of_Living[Cost of Living Index]))</f>
        <v>0.77919708029197077</v>
      </c>
    </row>
    <row r="211" spans="1:4">
      <c r="A211" s="36" t="s">
        <v>397</v>
      </c>
      <c r="B211" s="36" t="s">
        <v>922</v>
      </c>
      <c r="C211" s="37">
        <v>91.3</v>
      </c>
      <c r="D211" s="39">
        <f>1-([1]!Cost_of_Living[[#This Row],[Cost of Living Index]]-MIN([1]!Cost_of_Living[Cost of Living Index]))/(MAX([1]!Cost_of_Living[Cost of Living Index])-MIN([1]!Cost_of_Living[Cost of Living Index]))</f>
        <v>0.79653284671532854</v>
      </c>
    </row>
    <row r="212" spans="1:4">
      <c r="A212" s="36" t="s">
        <v>675</v>
      </c>
      <c r="B212" s="36" t="s">
        <v>922</v>
      </c>
      <c r="C212" s="37">
        <v>90.5</v>
      </c>
      <c r="D212" s="39">
        <f>1-([1]!Cost_of_Living[[#This Row],[Cost of Living Index]]-MIN([1]!Cost_of_Living[Cost of Living Index]))/(MAX([1]!Cost_of_Living[Cost of Living Index])-MIN([1]!Cost_of_Living[Cost of Living Index]))</f>
        <v>0.80383211678832112</v>
      </c>
    </row>
    <row r="213" spans="1:4">
      <c r="A213" s="36" t="s">
        <v>556</v>
      </c>
      <c r="B213" s="36" t="s">
        <v>922</v>
      </c>
      <c r="C213" s="37">
        <v>90.5</v>
      </c>
      <c r="D213" s="39">
        <f>1-([1]!Cost_of_Living[[#This Row],[Cost of Living Index]]-MIN([1]!Cost_of_Living[Cost of Living Index]))/(MAX([1]!Cost_of_Living[Cost of Living Index])-MIN([1]!Cost_of_Living[Cost of Living Index]))</f>
        <v>0.80383211678832112</v>
      </c>
    </row>
    <row r="214" spans="1:4">
      <c r="A214" s="36" t="s">
        <v>2427</v>
      </c>
      <c r="B214" s="36" t="s">
        <v>922</v>
      </c>
      <c r="C214" s="37">
        <v>89.7</v>
      </c>
      <c r="D214" s="39">
        <f>1-([1]!Cost_of_Living[[#This Row],[Cost of Living Index]]-MIN([1]!Cost_of_Living[Cost of Living Index]))/(MAX([1]!Cost_of_Living[Cost of Living Index])-MIN([1]!Cost_of_Living[Cost of Living Index]))</f>
        <v>0.81113138686131381</v>
      </c>
    </row>
    <row r="215" spans="1:4">
      <c r="A215" s="36" t="s">
        <v>242</v>
      </c>
      <c r="B215" s="36" t="s">
        <v>922</v>
      </c>
      <c r="C215" s="37">
        <v>89.3</v>
      </c>
      <c r="D215" s="39">
        <f>1-([1]!Cost_of_Living[[#This Row],[Cost of Living Index]]-MIN([1]!Cost_of_Living[Cost of Living Index]))/(MAX([1]!Cost_of_Living[Cost of Living Index])-MIN([1]!Cost_of_Living[Cost of Living Index]))</f>
        <v>0.81478102189781021</v>
      </c>
    </row>
    <row r="216" spans="1:4">
      <c r="A216" s="36" t="s">
        <v>732</v>
      </c>
      <c r="B216" s="36" t="s">
        <v>922</v>
      </c>
      <c r="C216" s="37">
        <v>88.7</v>
      </c>
      <c r="D216" s="39">
        <f>1-([1]!Cost_of_Living[[#This Row],[Cost of Living Index]]-MIN([1]!Cost_of_Living[Cost of Living Index]))/(MAX([1]!Cost_of_Living[Cost of Living Index])-MIN([1]!Cost_of_Living[Cost of Living Index]))</f>
        <v>0.82025547445255476</v>
      </c>
    </row>
    <row r="217" spans="1:4">
      <c r="A217" s="36" t="s">
        <v>2428</v>
      </c>
      <c r="B217" s="36" t="s">
        <v>922</v>
      </c>
      <c r="C217" s="37">
        <v>87.7</v>
      </c>
      <c r="D217" s="39">
        <f>1-([1]!Cost_of_Living[[#This Row],[Cost of Living Index]]-MIN([1]!Cost_of_Living[Cost of Living Index]))/(MAX([1]!Cost_of_Living[Cost of Living Index])-MIN([1]!Cost_of_Living[Cost of Living Index]))</f>
        <v>0.82937956204379559</v>
      </c>
    </row>
    <row r="218" spans="1:4">
      <c r="A218" s="36" t="s">
        <v>430</v>
      </c>
      <c r="B218" s="36" t="s">
        <v>922</v>
      </c>
      <c r="C218" s="37">
        <v>87.4</v>
      </c>
      <c r="D218" s="39">
        <f>1-([1]!Cost_of_Living[[#This Row],[Cost of Living Index]]-MIN([1]!Cost_of_Living[Cost of Living Index]))/(MAX([1]!Cost_of_Living[Cost of Living Index])-MIN([1]!Cost_of_Living[Cost of Living Index]))</f>
        <v>0.83211678832116776</v>
      </c>
    </row>
    <row r="219" spans="1:4">
      <c r="A219" s="36" t="s">
        <v>700</v>
      </c>
      <c r="B219" s="36" t="s">
        <v>922</v>
      </c>
      <c r="C219" s="37">
        <v>87</v>
      </c>
      <c r="D219" s="39">
        <f>1-([1]!Cost_of_Living[[#This Row],[Cost of Living Index]]-MIN([1]!Cost_of_Living[Cost of Living Index]))/(MAX([1]!Cost_of_Living[Cost of Living Index])-MIN([1]!Cost_of_Living[Cost of Living Index]))</f>
        <v>0.83576642335766427</v>
      </c>
    </row>
    <row r="220" spans="1:4">
      <c r="A220" s="36" t="s">
        <v>325</v>
      </c>
      <c r="B220" s="36" t="s">
        <v>922</v>
      </c>
      <c r="C220" s="37">
        <v>86.8</v>
      </c>
      <c r="D220" s="39">
        <f>1-([1]!Cost_of_Living[[#This Row],[Cost of Living Index]]-MIN([1]!Cost_of_Living[Cost of Living Index]))/(MAX([1]!Cost_of_Living[Cost of Living Index])-MIN([1]!Cost_of_Living[Cost of Living Index]))</f>
        <v>0.83759124087591241</v>
      </c>
    </row>
    <row r="221" spans="1:4">
      <c r="A221" s="36" t="s">
        <v>2429</v>
      </c>
      <c r="B221" s="36" t="s">
        <v>922</v>
      </c>
      <c r="C221" s="37">
        <v>85.9</v>
      </c>
      <c r="D221" s="39">
        <f>1-([1]!Cost_of_Living[[#This Row],[Cost of Living Index]]-MIN([1]!Cost_of_Living[Cost of Living Index]))/(MAX([1]!Cost_of_Living[Cost of Living Index])-MIN([1]!Cost_of_Living[Cost of Living Index]))</f>
        <v>0.84580291970802912</v>
      </c>
    </row>
    <row r="222" spans="1:4">
      <c r="A222" s="36" t="s">
        <v>2430</v>
      </c>
      <c r="B222" s="36" t="s">
        <v>1082</v>
      </c>
      <c r="C222" s="37">
        <v>93.2</v>
      </c>
      <c r="D222" s="39">
        <f>1-([1]!Cost_of_Living[[#This Row],[Cost of Living Index]]-MIN([1]!Cost_of_Living[Cost of Living Index]))/(MAX([1]!Cost_of_Living[Cost of Living Index])-MIN([1]!Cost_of_Living[Cost of Living Index]))</f>
        <v>0.77919708029197077</v>
      </c>
    </row>
    <row r="223" spans="1:4">
      <c r="A223" s="36" t="s">
        <v>232</v>
      </c>
      <c r="B223" s="36" t="s">
        <v>926</v>
      </c>
      <c r="C223" s="37">
        <v>91.6</v>
      </c>
      <c r="D223" s="39">
        <f>1-([1]!Cost_of_Living[[#This Row],[Cost of Living Index]]-MIN([1]!Cost_of_Living[Cost of Living Index]))/(MAX([1]!Cost_of_Living[Cost of Living Index])-MIN([1]!Cost_of_Living[Cost of Living Index]))</f>
        <v>0.79379562043795626</v>
      </c>
    </row>
    <row r="224" spans="1:4">
      <c r="A224" s="36" t="s">
        <v>131</v>
      </c>
      <c r="B224" s="36" t="s">
        <v>926</v>
      </c>
      <c r="C224" s="37">
        <v>89.8</v>
      </c>
      <c r="D224" s="39">
        <f>1-([1]!Cost_of_Living[[#This Row],[Cost of Living Index]]-MIN([1]!Cost_of_Living[Cost of Living Index]))/(MAX([1]!Cost_of_Living[Cost of Living Index])-MIN([1]!Cost_of_Living[Cost of Living Index]))</f>
        <v>0.81021897810218979</v>
      </c>
    </row>
    <row r="225" spans="1:4">
      <c r="A225" s="36" t="s">
        <v>74</v>
      </c>
      <c r="B225" s="36" t="s">
        <v>926</v>
      </c>
      <c r="C225" s="37">
        <v>89.6</v>
      </c>
      <c r="D225" s="39">
        <f>1-([1]!Cost_of_Living[[#This Row],[Cost of Living Index]]-MIN([1]!Cost_of_Living[Cost of Living Index]))/(MAX([1]!Cost_of_Living[Cost of Living Index])-MIN([1]!Cost_of_Living[Cost of Living Index]))</f>
        <v>0.81204379562043805</v>
      </c>
    </row>
    <row r="226" spans="1:4">
      <c r="A226" s="36" t="s">
        <v>2431</v>
      </c>
      <c r="B226" s="36" t="s">
        <v>926</v>
      </c>
      <c r="C226" s="37">
        <v>89.5</v>
      </c>
      <c r="D226" s="39">
        <f>1-([1]!Cost_of_Living[[#This Row],[Cost of Living Index]]-MIN([1]!Cost_of_Living[Cost of Living Index]))/(MAX([1]!Cost_of_Living[Cost of Living Index])-MIN([1]!Cost_of_Living[Cost of Living Index]))</f>
        <v>0.81295620437956206</v>
      </c>
    </row>
    <row r="227" spans="1:4">
      <c r="A227" s="36" t="s">
        <v>501</v>
      </c>
      <c r="B227" s="36" t="s">
        <v>926</v>
      </c>
      <c r="C227" s="37">
        <v>88.1</v>
      </c>
      <c r="D227" s="39">
        <f>1-([1]!Cost_of_Living[[#This Row],[Cost of Living Index]]-MIN([1]!Cost_of_Living[Cost of Living Index]))/(MAX([1]!Cost_of_Living[Cost of Living Index])-MIN([1]!Cost_of_Living[Cost of Living Index]))</f>
        <v>0.8257299270072993</v>
      </c>
    </row>
    <row r="228" spans="1:4">
      <c r="A228" s="36" t="s">
        <v>585</v>
      </c>
      <c r="B228" s="36" t="s">
        <v>926</v>
      </c>
      <c r="C228" s="37">
        <v>86.7</v>
      </c>
      <c r="D228" s="39">
        <f>1-([1]!Cost_of_Living[[#This Row],[Cost of Living Index]]-MIN([1]!Cost_of_Living[Cost of Living Index]))/(MAX([1]!Cost_of_Living[Cost of Living Index])-MIN([1]!Cost_of_Living[Cost of Living Index]))</f>
        <v>0.83850364963503643</v>
      </c>
    </row>
    <row r="229" spans="1:4">
      <c r="A229" s="36" t="s">
        <v>546</v>
      </c>
      <c r="B229" s="36" t="s">
        <v>926</v>
      </c>
      <c r="C229" s="37">
        <v>86.3</v>
      </c>
      <c r="D229" s="39">
        <f>1-([1]!Cost_of_Living[[#This Row],[Cost of Living Index]]-MIN([1]!Cost_of_Living[Cost of Living Index]))/(MAX([1]!Cost_of_Living[Cost of Living Index])-MIN([1]!Cost_of_Living[Cost of Living Index]))</f>
        <v>0.84215328467153283</v>
      </c>
    </row>
    <row r="230" spans="1:4">
      <c r="A230" s="36" t="s">
        <v>645</v>
      </c>
      <c r="B230" s="36" t="s">
        <v>926</v>
      </c>
      <c r="C230" s="37">
        <v>85.5</v>
      </c>
      <c r="D230" s="39">
        <f>1-([1]!Cost_of_Living[[#This Row],[Cost of Living Index]]-MIN([1]!Cost_of_Living[Cost of Living Index]))/(MAX([1]!Cost_of_Living[Cost of Living Index])-MIN([1]!Cost_of_Living[Cost of Living Index]))</f>
        <v>0.84945255474452552</v>
      </c>
    </row>
    <row r="231" spans="1:4">
      <c r="A231" s="36" t="s">
        <v>735</v>
      </c>
      <c r="B231" s="36" t="s">
        <v>926</v>
      </c>
      <c r="C231" s="37">
        <v>85.4</v>
      </c>
      <c r="D231" s="39">
        <f>1-([1]!Cost_of_Living[[#This Row],[Cost of Living Index]]-MIN([1]!Cost_of_Living[Cost of Living Index]))/(MAX([1]!Cost_of_Living[Cost of Living Index])-MIN([1]!Cost_of_Living[Cost of Living Index]))</f>
        <v>0.85036496350364954</v>
      </c>
    </row>
    <row r="232" spans="1:4">
      <c r="A232" s="36" t="s">
        <v>678</v>
      </c>
      <c r="B232" s="36" t="s">
        <v>926</v>
      </c>
      <c r="C232" s="37">
        <v>85.2</v>
      </c>
      <c r="D232" s="39">
        <f>1-([1]!Cost_of_Living[[#This Row],[Cost of Living Index]]-MIN([1]!Cost_of_Living[Cost of Living Index]))/(MAX([1]!Cost_of_Living[Cost of Living Index])-MIN([1]!Cost_of_Living[Cost of Living Index]))</f>
        <v>0.8521897810218978</v>
      </c>
    </row>
    <row r="233" spans="1:4">
      <c r="A233" s="36" t="s">
        <v>430</v>
      </c>
      <c r="B233" s="36" t="s">
        <v>1531</v>
      </c>
      <c r="C233" s="37">
        <v>87.8</v>
      </c>
      <c r="D233" s="39">
        <f>1-([1]!Cost_of_Living[[#This Row],[Cost of Living Index]]-MIN([1]!Cost_of_Living[Cost of Living Index]))/(MAX([1]!Cost_of_Living[Cost of Living Index])-MIN([1]!Cost_of_Living[Cost of Living Index]))</f>
        <v>0.82846715328467158</v>
      </c>
    </row>
    <row r="234" spans="1:4">
      <c r="A234" s="36" t="s">
        <v>2432</v>
      </c>
      <c r="B234" s="36" t="s">
        <v>1531</v>
      </c>
      <c r="C234" s="37">
        <v>87.2</v>
      </c>
      <c r="D234" s="39">
        <f>1-([1]!Cost_of_Living[[#This Row],[Cost of Living Index]]-MIN([1]!Cost_of_Living[Cost of Living Index]))/(MAX([1]!Cost_of_Living[Cost of Living Index])-MIN([1]!Cost_of_Living[Cost of Living Index]))</f>
        <v>0.83394160583941601</v>
      </c>
    </row>
    <row r="235" spans="1:4">
      <c r="A235" s="36" t="s">
        <v>2433</v>
      </c>
      <c r="B235" s="36" t="s">
        <v>1531</v>
      </c>
      <c r="C235" s="37">
        <v>86.8</v>
      </c>
      <c r="D235" s="39">
        <f>1-([1]!Cost_of_Living[[#This Row],[Cost of Living Index]]-MIN([1]!Cost_of_Living[Cost of Living Index]))/(MAX([1]!Cost_of_Living[Cost of Living Index])-MIN([1]!Cost_of_Living[Cost of Living Index]))</f>
        <v>0.83759124087591241</v>
      </c>
    </row>
    <row r="236" spans="1:4">
      <c r="A236" s="36" t="s">
        <v>306</v>
      </c>
      <c r="B236" s="36" t="s">
        <v>1531</v>
      </c>
      <c r="C236" s="37">
        <v>86.1</v>
      </c>
      <c r="D236" s="39">
        <f>1-([1]!Cost_of_Living[[#This Row],[Cost of Living Index]]-MIN([1]!Cost_of_Living[Cost of Living Index]))/(MAX([1]!Cost_of_Living[Cost of Living Index])-MIN([1]!Cost_of_Living[Cost of Living Index]))</f>
        <v>0.84397810218978109</v>
      </c>
    </row>
    <row r="237" spans="1:4">
      <c r="A237" s="36" t="s">
        <v>636</v>
      </c>
      <c r="B237" s="36" t="s">
        <v>1531</v>
      </c>
      <c r="C237" s="37">
        <v>85.9</v>
      </c>
      <c r="D237" s="39">
        <f>1-([1]!Cost_of_Living[[#This Row],[Cost of Living Index]]-MIN([1]!Cost_of_Living[Cost of Living Index]))/(MAX([1]!Cost_of_Living[Cost of Living Index])-MIN([1]!Cost_of_Living[Cost of Living Index]))</f>
        <v>0.84580291970802912</v>
      </c>
    </row>
    <row r="238" spans="1:4">
      <c r="A238" s="36" t="s">
        <v>2434</v>
      </c>
      <c r="B238" s="36" t="s">
        <v>1531</v>
      </c>
      <c r="C238" s="37">
        <v>82</v>
      </c>
      <c r="D238" s="39">
        <f>1-([1]!Cost_of_Living[[#This Row],[Cost of Living Index]]-MIN([1]!Cost_of_Living[Cost of Living Index]))/(MAX([1]!Cost_of_Living[Cost of Living Index])-MIN([1]!Cost_of_Living[Cost of Living Index]))</f>
        <v>0.88138686131386856</v>
      </c>
    </row>
    <row r="239" spans="1:4">
      <c r="A239" s="36" t="s">
        <v>222</v>
      </c>
      <c r="B239" s="36" t="s">
        <v>1707</v>
      </c>
      <c r="C239" s="37">
        <v>125.3</v>
      </c>
      <c r="D239" s="39">
        <f>1-([1]!Cost_of_Living[[#This Row],[Cost of Living Index]]-MIN([1]!Cost_of_Living[Cost of Living Index]))/(MAX([1]!Cost_of_Living[Cost of Living Index])-MIN([1]!Cost_of_Living[Cost of Living Index]))</f>
        <v>0.48631386861313863</v>
      </c>
    </row>
    <row r="240" spans="1:4">
      <c r="A240" s="36" t="s">
        <v>2435</v>
      </c>
      <c r="B240" s="36" t="s">
        <v>1707</v>
      </c>
      <c r="C240" s="37">
        <v>112.7</v>
      </c>
      <c r="D240" s="39">
        <f>1-([1]!Cost_of_Living[[#This Row],[Cost of Living Index]]-MIN([1]!Cost_of_Living[Cost of Living Index]))/(MAX([1]!Cost_of_Living[Cost of Living Index])-MIN([1]!Cost_of_Living[Cost of Living Index]))</f>
        <v>0.60127737226277367</v>
      </c>
    </row>
    <row r="241" spans="1:4">
      <c r="A241" s="36" t="s">
        <v>647</v>
      </c>
      <c r="B241" s="36" t="s">
        <v>1707</v>
      </c>
      <c r="C241" s="37">
        <v>104.2</v>
      </c>
      <c r="D241" s="39">
        <f>1-([1]!Cost_of_Living[[#This Row],[Cost of Living Index]]-MIN([1]!Cost_of_Living[Cost of Living Index]))/(MAX([1]!Cost_of_Living[Cost of Living Index])-MIN([1]!Cost_of_Living[Cost of Living Index]))</f>
        <v>0.67883211678832112</v>
      </c>
    </row>
    <row r="242" spans="1:4">
      <c r="A242" s="36" t="s">
        <v>250</v>
      </c>
      <c r="B242" s="36" t="s">
        <v>1707</v>
      </c>
      <c r="C242" s="37">
        <v>103.4</v>
      </c>
      <c r="D242" s="39">
        <f>1-([1]!Cost_of_Living[[#This Row],[Cost of Living Index]]-MIN([1]!Cost_of_Living[Cost of Living Index]))/(MAX([1]!Cost_of_Living[Cost of Living Index])-MIN([1]!Cost_of_Living[Cost of Living Index]))</f>
        <v>0.68613138686131381</v>
      </c>
    </row>
    <row r="243" spans="1:4">
      <c r="A243" s="36" t="s">
        <v>614</v>
      </c>
      <c r="B243" s="36" t="s">
        <v>1707</v>
      </c>
      <c r="C243" s="37">
        <v>95.7</v>
      </c>
      <c r="D243" s="39">
        <f>1-([1]!Cost_of_Living[[#This Row],[Cost of Living Index]]-MIN([1]!Cost_of_Living[Cost of Living Index]))/(MAX([1]!Cost_of_Living[Cost of Living Index])-MIN([1]!Cost_of_Living[Cost of Living Index]))</f>
        <v>0.75638686131386856</v>
      </c>
    </row>
    <row r="244" spans="1:4">
      <c r="A244" s="36" t="s">
        <v>707</v>
      </c>
      <c r="B244" s="36" t="s">
        <v>1707</v>
      </c>
      <c r="C244" s="37">
        <v>91.1</v>
      </c>
      <c r="D244" s="39">
        <f>1-([1]!Cost_of_Living[[#This Row],[Cost of Living Index]]-MIN([1]!Cost_of_Living[Cost of Living Index]))/(MAX([1]!Cost_of_Living[Cost of Living Index])-MIN([1]!Cost_of_Living[Cost of Living Index]))</f>
        <v>0.79835766423357668</v>
      </c>
    </row>
    <row r="245" spans="1:4">
      <c r="A245" s="36" t="s">
        <v>502</v>
      </c>
      <c r="B245" s="36" t="s">
        <v>889</v>
      </c>
      <c r="C245" s="37">
        <v>103.3</v>
      </c>
      <c r="D245" s="39">
        <f>1-([1]!Cost_of_Living[[#This Row],[Cost of Living Index]]-MIN([1]!Cost_of_Living[Cost of Living Index]))/(MAX([1]!Cost_of_Living[Cost of Living Index])-MIN([1]!Cost_of_Living[Cost of Living Index]))</f>
        <v>0.68704379562043805</v>
      </c>
    </row>
    <row r="246" spans="1:4">
      <c r="A246" s="36" t="s">
        <v>2436</v>
      </c>
      <c r="B246" s="36" t="s">
        <v>889</v>
      </c>
      <c r="C246" s="37">
        <v>102.2</v>
      </c>
      <c r="D246" s="39">
        <f>1-([1]!Cost_of_Living[[#This Row],[Cost of Living Index]]-MIN([1]!Cost_of_Living[Cost of Living Index]))/(MAX([1]!Cost_of_Living[Cost of Living Index])-MIN([1]!Cost_of_Living[Cost of Living Index]))</f>
        <v>0.6970802919708029</v>
      </c>
    </row>
    <row r="247" spans="1:4">
      <c r="A247" s="36" t="s">
        <v>47</v>
      </c>
      <c r="B247" s="36" t="s">
        <v>889</v>
      </c>
      <c r="C247" s="37">
        <v>99.8</v>
      </c>
      <c r="D247" s="39">
        <f>1-([1]!Cost_of_Living[[#This Row],[Cost of Living Index]]-MIN([1]!Cost_of_Living[Cost of Living Index]))/(MAX([1]!Cost_of_Living[Cost of Living Index])-MIN([1]!Cost_of_Living[Cost of Living Index]))</f>
        <v>0.71897810218978098</v>
      </c>
    </row>
    <row r="248" spans="1:4">
      <c r="A248" s="36" t="s">
        <v>64</v>
      </c>
      <c r="B248" s="36" t="s">
        <v>889</v>
      </c>
      <c r="C248" s="37">
        <v>99.7</v>
      </c>
      <c r="D248" s="39">
        <f>1-([1]!Cost_of_Living[[#This Row],[Cost of Living Index]]-MIN([1]!Cost_of_Living[Cost of Living Index]))/(MAX([1]!Cost_of_Living[Cost of Living Index])-MIN([1]!Cost_of_Living[Cost of Living Index]))</f>
        <v>0.7198905109489051</v>
      </c>
    </row>
    <row r="249" spans="1:4">
      <c r="A249" s="36" t="s">
        <v>334</v>
      </c>
      <c r="B249" s="36" t="s">
        <v>889</v>
      </c>
      <c r="C249" s="37">
        <v>99</v>
      </c>
      <c r="D249" s="39">
        <f>1-([1]!Cost_of_Living[[#This Row],[Cost of Living Index]]-MIN([1]!Cost_of_Living[Cost of Living Index]))/(MAX([1]!Cost_of_Living[Cost of Living Index])-MIN([1]!Cost_of_Living[Cost of Living Index]))</f>
        <v>0.72627737226277378</v>
      </c>
    </row>
    <row r="250" spans="1:4">
      <c r="A250" s="36" t="s">
        <v>195</v>
      </c>
      <c r="B250" s="36" t="s">
        <v>889</v>
      </c>
      <c r="C250" s="37">
        <v>97.9</v>
      </c>
      <c r="D250" s="39">
        <f>1-([1]!Cost_of_Living[[#This Row],[Cost of Living Index]]-MIN([1]!Cost_of_Living[Cost of Living Index]))/(MAX([1]!Cost_of_Living[Cost of Living Index])-MIN([1]!Cost_of_Living[Cost of Living Index]))</f>
        <v>0.73631386861313863</v>
      </c>
    </row>
    <row r="251" spans="1:4">
      <c r="A251" s="36" t="s">
        <v>158</v>
      </c>
      <c r="B251" s="36" t="s">
        <v>889</v>
      </c>
      <c r="C251" s="37">
        <v>91.8</v>
      </c>
      <c r="D251" s="39">
        <f>1-([1]!Cost_of_Living[[#This Row],[Cost of Living Index]]-MIN([1]!Cost_of_Living[Cost of Living Index]))/(MAX([1]!Cost_of_Living[Cost of Living Index])-MIN([1]!Cost_of_Living[Cost of Living Index]))</f>
        <v>0.79197080291970801</v>
      </c>
    </row>
    <row r="252" spans="1:4">
      <c r="A252" s="36" t="s">
        <v>327</v>
      </c>
      <c r="B252" s="36" t="s">
        <v>889</v>
      </c>
      <c r="C252" s="37">
        <v>91.7</v>
      </c>
      <c r="D252" s="39">
        <f>1-([1]!Cost_of_Living[[#This Row],[Cost of Living Index]]-MIN([1]!Cost_of_Living[Cost of Living Index]))/(MAX([1]!Cost_of_Living[Cost of Living Index])-MIN([1]!Cost_of_Living[Cost of Living Index]))</f>
        <v>0.79288321167883202</v>
      </c>
    </row>
    <row r="253" spans="1:4">
      <c r="A253" s="36" t="s">
        <v>2437</v>
      </c>
      <c r="B253" s="36" t="s">
        <v>889</v>
      </c>
      <c r="C253" s="37">
        <v>91.4</v>
      </c>
      <c r="D253" s="39">
        <f>1-([1]!Cost_of_Living[[#This Row],[Cost of Living Index]]-MIN([1]!Cost_of_Living[Cost of Living Index]))/(MAX([1]!Cost_of_Living[Cost of Living Index])-MIN([1]!Cost_of_Living[Cost of Living Index]))</f>
        <v>0.7956204379562043</v>
      </c>
    </row>
    <row r="254" spans="1:4">
      <c r="A254" s="36" t="s">
        <v>237</v>
      </c>
      <c r="B254" s="36" t="s">
        <v>889</v>
      </c>
      <c r="C254" s="37">
        <v>91.2</v>
      </c>
      <c r="D254" s="39">
        <f>1-([1]!Cost_of_Living[[#This Row],[Cost of Living Index]]-MIN([1]!Cost_of_Living[Cost of Living Index]))/(MAX([1]!Cost_of_Living[Cost of Living Index])-MIN([1]!Cost_of_Living[Cost of Living Index]))</f>
        <v>0.79744525547445255</v>
      </c>
    </row>
    <row r="255" spans="1:4">
      <c r="A255" s="36" t="s">
        <v>673</v>
      </c>
      <c r="B255" s="36" t="s">
        <v>889</v>
      </c>
      <c r="C255" s="37">
        <v>91.1</v>
      </c>
      <c r="D255" s="39">
        <f>1-([1]!Cost_of_Living[[#This Row],[Cost of Living Index]]-MIN([1]!Cost_of_Living[Cost of Living Index]))/(MAX([1]!Cost_of_Living[Cost of Living Index])-MIN([1]!Cost_of_Living[Cost of Living Index]))</f>
        <v>0.79835766423357668</v>
      </c>
    </row>
    <row r="256" spans="1:4">
      <c r="A256" s="36" t="s">
        <v>258</v>
      </c>
      <c r="B256" s="36" t="s">
        <v>889</v>
      </c>
      <c r="C256" s="37">
        <v>91</v>
      </c>
      <c r="D256" s="39">
        <f>1-([1]!Cost_of_Living[[#This Row],[Cost of Living Index]]-MIN([1]!Cost_of_Living[Cost of Living Index]))/(MAX([1]!Cost_of_Living[Cost of Living Index])-MIN([1]!Cost_of_Living[Cost of Living Index]))</f>
        <v>0.7992700729927007</v>
      </c>
    </row>
    <row r="257" spans="1:4">
      <c r="A257" s="36" t="s">
        <v>2438</v>
      </c>
      <c r="B257" s="36" t="s">
        <v>889</v>
      </c>
      <c r="C257" s="37">
        <v>90.5</v>
      </c>
      <c r="D257" s="39">
        <f>1-([1]!Cost_of_Living[[#This Row],[Cost of Living Index]]-MIN([1]!Cost_of_Living[Cost of Living Index]))/(MAX([1]!Cost_of_Living[Cost of Living Index])-MIN([1]!Cost_of_Living[Cost of Living Index]))</f>
        <v>0.80383211678832112</v>
      </c>
    </row>
    <row r="258" spans="1:4">
      <c r="A258" s="36" t="s">
        <v>2439</v>
      </c>
      <c r="B258" s="36" t="s">
        <v>889</v>
      </c>
      <c r="C258" s="37">
        <v>90.2</v>
      </c>
      <c r="D258" s="39">
        <f>1-([1]!Cost_of_Living[[#This Row],[Cost of Living Index]]-MIN([1]!Cost_of_Living[Cost of Living Index]))/(MAX([1]!Cost_of_Living[Cost of Living Index])-MIN([1]!Cost_of_Living[Cost of Living Index]))</f>
        <v>0.80656934306569339</v>
      </c>
    </row>
    <row r="259" spans="1:4">
      <c r="A259" s="36" t="s">
        <v>268</v>
      </c>
      <c r="B259" s="36" t="s">
        <v>889</v>
      </c>
      <c r="C259" s="37">
        <v>89.8</v>
      </c>
      <c r="D259" s="39">
        <f>1-([1]!Cost_of_Living[[#This Row],[Cost of Living Index]]-MIN([1]!Cost_of_Living[Cost of Living Index]))/(MAX([1]!Cost_of_Living[Cost of Living Index])-MIN([1]!Cost_of_Living[Cost of Living Index]))</f>
        <v>0.81021897810218979</v>
      </c>
    </row>
    <row r="260" spans="1:4">
      <c r="A260" s="36" t="s">
        <v>643</v>
      </c>
      <c r="B260" s="36" t="s">
        <v>889</v>
      </c>
      <c r="C260" s="37">
        <v>89.8</v>
      </c>
      <c r="D260" s="39">
        <f>1-([1]!Cost_of_Living[[#This Row],[Cost of Living Index]]-MIN([1]!Cost_of_Living[Cost of Living Index]))/(MAX([1]!Cost_of_Living[Cost of Living Index])-MIN([1]!Cost_of_Living[Cost of Living Index]))</f>
        <v>0.81021897810218979</v>
      </c>
    </row>
    <row r="261" spans="1:4">
      <c r="A261" s="36" t="s">
        <v>189</v>
      </c>
      <c r="B261" s="36" t="s">
        <v>889</v>
      </c>
      <c r="C261" s="37">
        <v>89.5</v>
      </c>
      <c r="D261" s="39">
        <f>1-([1]!Cost_of_Living[[#This Row],[Cost of Living Index]]-MIN([1]!Cost_of_Living[Cost of Living Index]))/(MAX([1]!Cost_of_Living[Cost of Living Index])-MIN([1]!Cost_of_Living[Cost of Living Index]))</f>
        <v>0.81295620437956206</v>
      </c>
    </row>
    <row r="262" spans="1:4">
      <c r="A262" s="36" t="s">
        <v>712</v>
      </c>
      <c r="B262" s="36" t="s">
        <v>889</v>
      </c>
      <c r="C262" s="37">
        <v>89.4</v>
      </c>
      <c r="D262" s="39">
        <f>1-([1]!Cost_of_Living[[#This Row],[Cost of Living Index]]-MIN([1]!Cost_of_Living[Cost of Living Index]))/(MAX([1]!Cost_of_Living[Cost of Living Index])-MIN([1]!Cost_of_Living[Cost of Living Index]))</f>
        <v>0.81386861313868608</v>
      </c>
    </row>
    <row r="263" spans="1:4">
      <c r="A263" s="36" t="s">
        <v>2440</v>
      </c>
      <c r="B263" s="36" t="s">
        <v>889</v>
      </c>
      <c r="C263" s="37">
        <v>89</v>
      </c>
      <c r="D263" s="39">
        <f>1-([1]!Cost_of_Living[[#This Row],[Cost of Living Index]]-MIN([1]!Cost_of_Living[Cost of Living Index]))/(MAX([1]!Cost_of_Living[Cost of Living Index])-MIN([1]!Cost_of_Living[Cost of Living Index]))</f>
        <v>0.81751824817518248</v>
      </c>
    </row>
    <row r="264" spans="1:4">
      <c r="A264" s="36" t="s">
        <v>2441</v>
      </c>
      <c r="B264" s="36" t="s">
        <v>889</v>
      </c>
      <c r="C264" s="37">
        <v>88.5</v>
      </c>
      <c r="D264" s="39">
        <f>1-([1]!Cost_of_Living[[#This Row],[Cost of Living Index]]-MIN([1]!Cost_of_Living[Cost of Living Index]))/(MAX([1]!Cost_of_Living[Cost of Living Index])-MIN([1]!Cost_of_Living[Cost of Living Index]))</f>
        <v>0.8220802919708029</v>
      </c>
    </row>
    <row r="265" spans="1:4">
      <c r="A265" s="36" t="s">
        <v>2442</v>
      </c>
      <c r="B265" s="36" t="s">
        <v>889</v>
      </c>
      <c r="C265" s="37">
        <v>88.3</v>
      </c>
      <c r="D265" s="39">
        <f>1-([1]!Cost_of_Living[[#This Row],[Cost of Living Index]]-MIN([1]!Cost_of_Living[Cost of Living Index]))/(MAX([1]!Cost_of_Living[Cost of Living Index])-MIN([1]!Cost_of_Living[Cost of Living Index]))</f>
        <v>0.82390510948905105</v>
      </c>
    </row>
    <row r="266" spans="1:4">
      <c r="A266" s="36" t="s">
        <v>2443</v>
      </c>
      <c r="B266" s="36" t="s">
        <v>889</v>
      </c>
      <c r="C266" s="37">
        <v>88.1</v>
      </c>
      <c r="D266" s="39">
        <f>1-([1]!Cost_of_Living[[#This Row],[Cost of Living Index]]-MIN([1]!Cost_of_Living[Cost of Living Index]))/(MAX([1]!Cost_of_Living[Cost of Living Index])-MIN([1]!Cost_of_Living[Cost of Living Index]))</f>
        <v>0.8257299270072993</v>
      </c>
    </row>
    <row r="267" spans="1:4">
      <c r="A267" s="36" t="s">
        <v>702</v>
      </c>
      <c r="B267" s="36" t="s">
        <v>889</v>
      </c>
      <c r="C267" s="37">
        <v>86.3</v>
      </c>
      <c r="D267" s="39">
        <f>1-([1]!Cost_of_Living[[#This Row],[Cost of Living Index]]-MIN([1]!Cost_of_Living[Cost of Living Index]))/(MAX([1]!Cost_of_Living[Cost of Living Index])-MIN([1]!Cost_of_Living[Cost of Living Index]))</f>
        <v>0.84215328467153283</v>
      </c>
    </row>
    <row r="268" spans="1:4">
      <c r="A268" s="36" t="s">
        <v>2444</v>
      </c>
      <c r="B268" s="36" t="s">
        <v>889</v>
      </c>
      <c r="C268" s="37">
        <v>83.4</v>
      </c>
      <c r="D268" s="39">
        <f>1-([1]!Cost_of_Living[[#This Row],[Cost of Living Index]]-MIN([1]!Cost_of_Living[Cost of Living Index]))/(MAX([1]!Cost_of_Living[Cost of Living Index])-MIN([1]!Cost_of_Living[Cost of Living Index]))</f>
        <v>0.86861313868613133</v>
      </c>
    </row>
    <row r="269" spans="1:4">
      <c r="A269" s="36" t="s">
        <v>2445</v>
      </c>
      <c r="B269" s="36" t="s">
        <v>889</v>
      </c>
      <c r="C269" s="37">
        <v>83.1</v>
      </c>
      <c r="D269" s="39">
        <f>1-([1]!Cost_of_Living[[#This Row],[Cost of Living Index]]-MIN([1]!Cost_of_Living[Cost of Living Index]))/(MAX([1]!Cost_of_Living[Cost of Living Index])-MIN([1]!Cost_of_Living[Cost of Living Index]))</f>
        <v>0.87135036496350371</v>
      </c>
    </row>
    <row r="270" spans="1:4">
      <c r="A270" s="36" t="s">
        <v>657</v>
      </c>
      <c r="B270" s="36" t="s">
        <v>1582</v>
      </c>
      <c r="C270" s="37">
        <v>93.1</v>
      </c>
      <c r="D270" s="39">
        <f>1-([1]!Cost_of_Living[[#This Row],[Cost of Living Index]]-MIN([1]!Cost_of_Living[Cost of Living Index]))/(MAX([1]!Cost_of_Living[Cost of Living Index])-MIN([1]!Cost_of_Living[Cost of Living Index]))</f>
        <v>0.7801094890510949</v>
      </c>
    </row>
    <row r="271" spans="1:4">
      <c r="A271" s="36" t="s">
        <v>288</v>
      </c>
      <c r="B271" s="36" t="s">
        <v>1582</v>
      </c>
      <c r="C271" s="37">
        <v>91.4</v>
      </c>
      <c r="D271" s="39">
        <f>1-([1]!Cost_of_Living[[#This Row],[Cost of Living Index]]-MIN([1]!Cost_of_Living[Cost of Living Index]))/(MAX([1]!Cost_of_Living[Cost of Living Index])-MIN([1]!Cost_of_Living[Cost of Living Index]))</f>
        <v>0.7956204379562043</v>
      </c>
    </row>
    <row r="272" spans="1:4">
      <c r="A272" s="36" t="s">
        <v>278</v>
      </c>
      <c r="B272" s="36" t="s">
        <v>1582</v>
      </c>
      <c r="C272" s="37">
        <v>90.7</v>
      </c>
      <c r="D272" s="39">
        <f>1-([1]!Cost_of_Living[[#This Row],[Cost of Living Index]]-MIN([1]!Cost_of_Living[Cost of Living Index]))/(MAX([1]!Cost_of_Living[Cost of Living Index])-MIN([1]!Cost_of_Living[Cost of Living Index]))</f>
        <v>0.80200729927007297</v>
      </c>
    </row>
    <row r="273" spans="1:4">
      <c r="A273" s="36" t="s">
        <v>669</v>
      </c>
      <c r="B273" s="36" t="s">
        <v>1582</v>
      </c>
      <c r="C273" s="37">
        <v>90.7</v>
      </c>
      <c r="D273" s="39">
        <f>1-([1]!Cost_of_Living[[#This Row],[Cost of Living Index]]-MIN([1]!Cost_of_Living[Cost of Living Index]))/(MAX([1]!Cost_of_Living[Cost of Living Index])-MIN([1]!Cost_of_Living[Cost of Living Index]))</f>
        <v>0.80200729927007297</v>
      </c>
    </row>
    <row r="274" spans="1:4">
      <c r="A274" s="36" t="s">
        <v>78</v>
      </c>
      <c r="B274" s="36" t="s">
        <v>1416</v>
      </c>
      <c r="C274" s="37">
        <v>94.7</v>
      </c>
      <c r="D274" s="39">
        <f>1-([1]!Cost_of_Living[[#This Row],[Cost of Living Index]]-MIN([1]!Cost_of_Living[Cost of Living Index]))/(MAX([1]!Cost_of_Living[Cost of Living Index])-MIN([1]!Cost_of_Living[Cost of Living Index]))</f>
        <v>0.76551094890510951</v>
      </c>
    </row>
    <row r="275" spans="1:4">
      <c r="A275" s="36" t="s">
        <v>312</v>
      </c>
      <c r="B275" s="36" t="s">
        <v>1416</v>
      </c>
      <c r="C275" s="37">
        <v>92.9</v>
      </c>
      <c r="D275" s="39">
        <f>1-([1]!Cost_of_Living[[#This Row],[Cost of Living Index]]-MIN([1]!Cost_of_Living[Cost of Living Index]))/(MAX([1]!Cost_of_Living[Cost of Living Index])-MIN([1]!Cost_of_Living[Cost of Living Index]))</f>
        <v>0.78193430656934304</v>
      </c>
    </row>
    <row r="276" spans="1:4">
      <c r="A276" s="36" t="s">
        <v>2446</v>
      </c>
      <c r="B276" s="36" t="s">
        <v>1416</v>
      </c>
      <c r="C276" s="37">
        <v>88.8</v>
      </c>
      <c r="D276" s="39">
        <f>1-([1]!Cost_of_Living[[#This Row],[Cost of Living Index]]-MIN([1]!Cost_of_Living[Cost of Living Index]))/(MAX([1]!Cost_of_Living[Cost of Living Index])-MIN([1]!Cost_of_Living[Cost of Living Index]))</f>
        <v>0.81934306569343063</v>
      </c>
    </row>
    <row r="277" spans="1:4">
      <c r="A277" s="36" t="s">
        <v>185</v>
      </c>
      <c r="B277" s="36" t="s">
        <v>876</v>
      </c>
      <c r="C277" s="37">
        <v>109.6</v>
      </c>
      <c r="D277" s="39">
        <f>1-([1]!Cost_of_Living[[#This Row],[Cost of Living Index]]-MIN([1]!Cost_of_Living[Cost of Living Index]))/(MAX([1]!Cost_of_Living[Cost of Living Index])-MIN([1]!Cost_of_Living[Cost of Living Index]))</f>
        <v>0.62956204379562042</v>
      </c>
    </row>
    <row r="278" spans="1:4">
      <c r="A278" s="36" t="s">
        <v>731</v>
      </c>
      <c r="B278" s="36" t="s">
        <v>876</v>
      </c>
      <c r="C278" s="37">
        <v>108.3</v>
      </c>
      <c r="D278" s="39">
        <f>1-([1]!Cost_of_Living[[#This Row],[Cost of Living Index]]-MIN([1]!Cost_of_Living[Cost of Living Index]))/(MAX([1]!Cost_of_Living[Cost of Living Index])-MIN([1]!Cost_of_Living[Cost of Living Index]))</f>
        <v>0.64142335766423364</v>
      </c>
    </row>
    <row r="279" spans="1:4">
      <c r="A279" s="36" t="s">
        <v>368</v>
      </c>
      <c r="B279" s="36" t="s">
        <v>876</v>
      </c>
      <c r="C279" s="37">
        <v>102.3</v>
      </c>
      <c r="D279" s="39">
        <f>1-([1]!Cost_of_Living[[#This Row],[Cost of Living Index]]-MIN([1]!Cost_of_Living[Cost of Living Index]))/(MAX([1]!Cost_of_Living[Cost of Living Index])-MIN([1]!Cost_of_Living[Cost of Living Index]))</f>
        <v>0.69616788321167888</v>
      </c>
    </row>
    <row r="280" spans="1:4">
      <c r="A280" s="36" t="s">
        <v>607</v>
      </c>
      <c r="B280" s="36" t="s">
        <v>876</v>
      </c>
      <c r="C280" s="37">
        <v>102.1</v>
      </c>
      <c r="D280" s="39">
        <f>1-([1]!Cost_of_Living[[#This Row],[Cost of Living Index]]-MIN([1]!Cost_of_Living[Cost of Living Index]))/(MAX([1]!Cost_of_Living[Cost of Living Index])-MIN([1]!Cost_of_Living[Cost of Living Index]))</f>
        <v>0.69799270072992703</v>
      </c>
    </row>
    <row r="281" spans="1:4">
      <c r="A281" s="36" t="s">
        <v>2447</v>
      </c>
      <c r="B281" s="36" t="s">
        <v>816</v>
      </c>
      <c r="C281" s="37">
        <v>109.5</v>
      </c>
      <c r="D281" s="39">
        <f>1-([1]!Cost_of_Living[[#This Row],[Cost of Living Index]]-MIN([1]!Cost_of_Living[Cost of Living Index]))/(MAX([1]!Cost_of_Living[Cost of Living Index])-MIN([1]!Cost_of_Living[Cost of Living Index]))</f>
        <v>0.63047445255474455</v>
      </c>
    </row>
    <row r="282" spans="1:4">
      <c r="A282" s="36" t="s">
        <v>644</v>
      </c>
      <c r="B282" s="36" t="s">
        <v>816</v>
      </c>
      <c r="C282" s="37">
        <v>104.3</v>
      </c>
      <c r="D282" s="39">
        <f>1-([1]!Cost_of_Living[[#This Row],[Cost of Living Index]]-MIN([1]!Cost_of_Living[Cost of Living Index]))/(MAX([1]!Cost_of_Living[Cost of Living Index])-MIN([1]!Cost_of_Living[Cost of Living Index]))</f>
        <v>0.6779197080291971</v>
      </c>
    </row>
    <row r="283" spans="1:4">
      <c r="A283" s="36" t="s">
        <v>2448</v>
      </c>
      <c r="B283" s="36" t="s">
        <v>816</v>
      </c>
      <c r="C283" s="37">
        <v>102</v>
      </c>
      <c r="D283" s="39">
        <f>1-([1]!Cost_of_Living[[#This Row],[Cost of Living Index]]-MIN([1]!Cost_of_Living[Cost of Living Index]))/(MAX([1]!Cost_of_Living[Cost of Living Index])-MIN([1]!Cost_of_Living[Cost of Living Index]))</f>
        <v>0.69890510948905105</v>
      </c>
    </row>
    <row r="284" spans="1:4">
      <c r="A284" s="36" t="s">
        <v>2449</v>
      </c>
      <c r="B284" s="36" t="s">
        <v>816</v>
      </c>
      <c r="C284" s="37">
        <v>97.8</v>
      </c>
      <c r="D284" s="39">
        <f>1-([1]!Cost_of_Living[[#This Row],[Cost of Living Index]]-MIN([1]!Cost_of_Living[Cost of Living Index]))/(MAX([1]!Cost_of_Living[Cost of Living Index])-MIN([1]!Cost_of_Living[Cost of Living Index]))</f>
        <v>0.73722627737226276</v>
      </c>
    </row>
    <row r="285" spans="1:4">
      <c r="A285" s="36" t="s">
        <v>734</v>
      </c>
      <c r="B285" s="36" t="s">
        <v>1678</v>
      </c>
      <c r="C285" s="37">
        <v>105.1</v>
      </c>
      <c r="D285" s="39">
        <f>1-([1]!Cost_of_Living[[#This Row],[Cost of Living Index]]-MIN([1]!Cost_of_Living[Cost of Living Index]))/(MAX([1]!Cost_of_Living[Cost of Living Index])-MIN([1]!Cost_of_Living[Cost of Living Index]))</f>
        <v>0.67062043795620441</v>
      </c>
    </row>
    <row r="286" spans="1:4">
      <c r="A286" s="36" t="s">
        <v>779</v>
      </c>
      <c r="B286" s="36" t="s">
        <v>1678</v>
      </c>
      <c r="C286" s="37">
        <v>92.9</v>
      </c>
      <c r="D286" s="39">
        <f>1-([1]!Cost_of_Living[[#This Row],[Cost of Living Index]]-MIN([1]!Cost_of_Living[Cost of Living Index]))/(MAX([1]!Cost_of_Living[Cost of Living Index])-MIN([1]!Cost_of_Living[Cost of Living Index]))</f>
        <v>0.78193430656934304</v>
      </c>
    </row>
    <row r="287" spans="1:4">
      <c r="A287" s="36" t="s">
        <v>2450</v>
      </c>
      <c r="B287" s="36" t="s">
        <v>1678</v>
      </c>
      <c r="C287" s="37">
        <v>90</v>
      </c>
      <c r="D287" s="39">
        <f>1-([1]!Cost_of_Living[[#This Row],[Cost of Living Index]]-MIN([1]!Cost_of_Living[Cost of Living Index]))/(MAX([1]!Cost_of_Living[Cost of Living Index])-MIN([1]!Cost_of_Living[Cost of Living Index]))</f>
        <v>0.80839416058394153</v>
      </c>
    </row>
    <row r="288" spans="1:4">
      <c r="A288" s="36" t="s">
        <v>220</v>
      </c>
      <c r="B288" s="36" t="s">
        <v>1678</v>
      </c>
      <c r="C288" s="37">
        <v>88.8</v>
      </c>
      <c r="D288" s="39">
        <f>1-([1]!Cost_of_Living[[#This Row],[Cost of Living Index]]-MIN([1]!Cost_of_Living[Cost of Living Index]))/(MAX([1]!Cost_of_Living[Cost of Living Index])-MIN([1]!Cost_of_Living[Cost of Living Index]))</f>
        <v>0.81934306569343063</v>
      </c>
    </row>
    <row r="289" spans="1:4">
      <c r="A289" s="36" t="s">
        <v>735</v>
      </c>
      <c r="B289" s="36" t="s">
        <v>1678</v>
      </c>
      <c r="C289" s="37">
        <v>88.4</v>
      </c>
      <c r="D289" s="39">
        <f>1-([1]!Cost_of_Living[[#This Row],[Cost of Living Index]]-MIN([1]!Cost_of_Living[Cost of Living Index]))/(MAX([1]!Cost_of_Living[Cost of Living Index])-MIN([1]!Cost_of_Living[Cost of Living Index]))</f>
        <v>0.82299270072992692</v>
      </c>
    </row>
    <row r="290" spans="1:4">
      <c r="A290" s="36" t="s">
        <v>730</v>
      </c>
      <c r="B290" s="36" t="s">
        <v>1678</v>
      </c>
      <c r="C290" s="37">
        <v>87.7</v>
      </c>
      <c r="D290" s="39">
        <f>1-([1]!Cost_of_Living[[#This Row],[Cost of Living Index]]-MIN([1]!Cost_of_Living[Cost of Living Index]))/(MAX([1]!Cost_of_Living[Cost of Living Index])-MIN([1]!Cost_of_Living[Cost of Living Index]))</f>
        <v>0.82937956204379559</v>
      </c>
    </row>
    <row r="291" spans="1:4">
      <c r="A291" s="36" t="s">
        <v>2451</v>
      </c>
      <c r="B291" s="36" t="s">
        <v>1678</v>
      </c>
      <c r="C291" s="37">
        <v>86.3</v>
      </c>
      <c r="D291" s="39">
        <f>1-([1]!Cost_of_Living[[#This Row],[Cost of Living Index]]-MIN([1]!Cost_of_Living[Cost of Living Index]))/(MAX([1]!Cost_of_Living[Cost of Living Index])-MIN([1]!Cost_of_Living[Cost of Living Index]))</f>
        <v>0.84215328467153283</v>
      </c>
    </row>
    <row r="292" spans="1:4">
      <c r="A292" s="36" t="s">
        <v>2452</v>
      </c>
      <c r="B292" s="36" t="s">
        <v>1678</v>
      </c>
      <c r="C292" s="37">
        <v>85.8</v>
      </c>
      <c r="D292" s="39">
        <f>1-([1]!Cost_of_Living[[#This Row],[Cost of Living Index]]-MIN([1]!Cost_of_Living[Cost of Living Index]))/(MAX([1]!Cost_of_Living[Cost of Living Index])-MIN([1]!Cost_of_Living[Cost of Living Index]))</f>
        <v>0.84671532846715336</v>
      </c>
    </row>
    <row r="293" spans="1:4">
      <c r="A293" s="36" t="s">
        <v>206</v>
      </c>
      <c r="B293" s="36" t="s">
        <v>1379</v>
      </c>
      <c r="C293" s="37">
        <v>107.4</v>
      </c>
      <c r="D293" s="39">
        <f>1-([1]!Cost_of_Living[[#This Row],[Cost of Living Index]]-MIN([1]!Cost_of_Living[Cost of Living Index]))/(MAX([1]!Cost_of_Living[Cost of Living Index])-MIN([1]!Cost_of_Living[Cost of Living Index]))</f>
        <v>0.64963503649635035</v>
      </c>
    </row>
    <row r="294" spans="1:4">
      <c r="A294" s="36" t="s">
        <v>703</v>
      </c>
      <c r="B294" s="36" t="s">
        <v>1379</v>
      </c>
      <c r="C294" s="37">
        <v>103</v>
      </c>
      <c r="D294" s="39">
        <f>1-([1]!Cost_of_Living[[#This Row],[Cost of Living Index]]-MIN([1]!Cost_of_Living[Cost of Living Index]))/(MAX([1]!Cost_of_Living[Cost of Living Index])-MIN([1]!Cost_of_Living[Cost of Living Index]))</f>
        <v>0.68978102189781021</v>
      </c>
    </row>
    <row r="295" spans="1:4">
      <c r="A295" s="36" t="s">
        <v>213</v>
      </c>
      <c r="B295" s="36" t="s">
        <v>1379</v>
      </c>
      <c r="C295" s="37">
        <v>100.7</v>
      </c>
      <c r="D295" s="39">
        <f>1-([1]!Cost_of_Living[[#This Row],[Cost of Living Index]]-MIN([1]!Cost_of_Living[Cost of Living Index]))/(MAX([1]!Cost_of_Living[Cost of Living Index])-MIN([1]!Cost_of_Living[Cost of Living Index]))</f>
        <v>0.71076642335766427</v>
      </c>
    </row>
    <row r="296" spans="1:4">
      <c r="A296" s="36" t="s">
        <v>740</v>
      </c>
      <c r="B296" s="36" t="s">
        <v>840</v>
      </c>
      <c r="C296" s="37">
        <v>128</v>
      </c>
      <c r="D296" s="39">
        <f>1-([1]!Cost_of_Living[[#This Row],[Cost of Living Index]]-MIN([1]!Cost_of_Living[Cost of Living Index]))/(MAX([1]!Cost_of_Living[Cost of Living Index])-MIN([1]!Cost_of_Living[Cost of Living Index]))</f>
        <v>0.46167883211678828</v>
      </c>
    </row>
    <row r="297" spans="1:4">
      <c r="A297" s="36" t="s">
        <v>795</v>
      </c>
      <c r="B297" s="36" t="s">
        <v>840</v>
      </c>
      <c r="C297" s="37">
        <v>106.1</v>
      </c>
      <c r="D297" s="39">
        <f>1-([1]!Cost_of_Living[[#This Row],[Cost of Living Index]]-MIN([1]!Cost_of_Living[Cost of Living Index]))/(MAX([1]!Cost_of_Living[Cost of Living Index])-MIN([1]!Cost_of_Living[Cost of Living Index]))</f>
        <v>0.66149635036496357</v>
      </c>
    </row>
    <row r="298" spans="1:4">
      <c r="A298" s="36" t="s">
        <v>9</v>
      </c>
      <c r="B298" s="36" t="s">
        <v>840</v>
      </c>
      <c r="C298" s="37">
        <v>101.7</v>
      </c>
      <c r="D298" s="39">
        <f>1-([1]!Cost_of_Living[[#This Row],[Cost of Living Index]]-MIN([1]!Cost_of_Living[Cost of Living Index]))/(MAX([1]!Cost_of_Living[Cost of Living Index])-MIN([1]!Cost_of_Living[Cost of Living Index]))</f>
        <v>0.70164233576642332</v>
      </c>
    </row>
    <row r="299" spans="1:4">
      <c r="A299" s="36" t="s">
        <v>184</v>
      </c>
      <c r="B299" s="36" t="s">
        <v>840</v>
      </c>
      <c r="C299" s="37">
        <v>100.1</v>
      </c>
      <c r="D299" s="39">
        <f>1-([1]!Cost_of_Living[[#This Row],[Cost of Living Index]]-MIN([1]!Cost_of_Living[Cost of Living Index]))/(MAX([1]!Cost_of_Living[Cost of Living Index])-MIN([1]!Cost_of_Living[Cost of Living Index]))</f>
        <v>0.71624087591240881</v>
      </c>
    </row>
    <row r="300" spans="1:4">
      <c r="A300" s="36" t="s">
        <v>2453</v>
      </c>
      <c r="B300" s="36" t="s">
        <v>840</v>
      </c>
      <c r="C300" s="37">
        <v>98.6</v>
      </c>
      <c r="D300" s="39">
        <f>1-([1]!Cost_of_Living[[#This Row],[Cost of Living Index]]-MIN([1]!Cost_of_Living[Cost of Living Index]))/(MAX([1]!Cost_of_Living[Cost of Living Index])-MIN([1]!Cost_of_Living[Cost of Living Index]))</f>
        <v>0.72992700729927007</v>
      </c>
    </row>
    <row r="301" spans="1:4">
      <c r="A301" s="36" t="s">
        <v>552</v>
      </c>
      <c r="B301" s="36" t="s">
        <v>840</v>
      </c>
      <c r="C301" s="37">
        <v>97.3</v>
      </c>
      <c r="D301" s="39">
        <f>1-([1]!Cost_of_Living[[#This Row],[Cost of Living Index]]-MIN([1]!Cost_of_Living[Cost of Living Index]))/(MAX([1]!Cost_of_Living[Cost of Living Index])-MIN([1]!Cost_of_Living[Cost of Living Index]))</f>
        <v>0.74178832116788329</v>
      </c>
    </row>
    <row r="302" spans="1:4">
      <c r="A302" s="36" t="s">
        <v>89</v>
      </c>
      <c r="B302" s="36" t="s">
        <v>840</v>
      </c>
      <c r="C302" s="37">
        <v>96.6</v>
      </c>
      <c r="D302" s="39">
        <f>1-([1]!Cost_of_Living[[#This Row],[Cost of Living Index]]-MIN([1]!Cost_of_Living[Cost of Living Index]))/(MAX([1]!Cost_of_Living[Cost of Living Index])-MIN([1]!Cost_of_Living[Cost of Living Index]))</f>
        <v>0.74817518248175185</v>
      </c>
    </row>
    <row r="303" spans="1:4">
      <c r="A303" s="36" t="s">
        <v>711</v>
      </c>
      <c r="B303" s="36" t="s">
        <v>840</v>
      </c>
      <c r="C303" s="37">
        <v>96.4</v>
      </c>
      <c r="D303" s="39">
        <f>1-([1]!Cost_of_Living[[#This Row],[Cost of Living Index]]-MIN([1]!Cost_of_Living[Cost of Living Index]))/(MAX([1]!Cost_of_Living[Cost of Living Index])-MIN([1]!Cost_of_Living[Cost of Living Index]))</f>
        <v>0.75</v>
      </c>
    </row>
    <row r="304" spans="1:4">
      <c r="A304" s="36" t="s">
        <v>112</v>
      </c>
      <c r="B304" s="36" t="s">
        <v>840</v>
      </c>
      <c r="C304" s="37">
        <v>95.1</v>
      </c>
      <c r="D304" s="39">
        <f>1-([1]!Cost_of_Living[[#This Row],[Cost of Living Index]]-MIN([1]!Cost_of_Living[Cost of Living Index]))/(MAX([1]!Cost_of_Living[Cost of Living Index])-MIN([1]!Cost_of_Living[Cost of Living Index]))</f>
        <v>0.76186131386861322</v>
      </c>
    </row>
    <row r="305" spans="1:4">
      <c r="A305" s="36" t="s">
        <v>571</v>
      </c>
      <c r="B305" s="36" t="s">
        <v>840</v>
      </c>
      <c r="C305" s="37">
        <v>94.1</v>
      </c>
      <c r="D305" s="39">
        <f>1-([1]!Cost_of_Living[[#This Row],[Cost of Living Index]]-MIN([1]!Cost_of_Living[Cost of Living Index]))/(MAX([1]!Cost_of_Living[Cost of Living Index])-MIN([1]!Cost_of_Living[Cost of Living Index]))</f>
        <v>0.77098540145985406</v>
      </c>
    </row>
    <row r="306" spans="1:4">
      <c r="A306" s="36" t="s">
        <v>174</v>
      </c>
      <c r="B306" s="36" t="s">
        <v>840</v>
      </c>
      <c r="C306" s="37">
        <v>93.7</v>
      </c>
      <c r="D306" s="39">
        <f>1-([1]!Cost_of_Living[[#This Row],[Cost of Living Index]]-MIN([1]!Cost_of_Living[Cost of Living Index]))/(MAX([1]!Cost_of_Living[Cost of Living Index])-MIN([1]!Cost_of_Living[Cost of Living Index]))</f>
        <v>0.77463503649635035</v>
      </c>
    </row>
    <row r="307" spans="1:4">
      <c r="A307" s="36" t="s">
        <v>2454</v>
      </c>
      <c r="B307" s="36" t="s">
        <v>840</v>
      </c>
      <c r="C307" s="37">
        <v>93.7</v>
      </c>
      <c r="D307" s="39">
        <f>1-([1]!Cost_of_Living[[#This Row],[Cost of Living Index]]-MIN([1]!Cost_of_Living[Cost of Living Index]))/(MAX([1]!Cost_of_Living[Cost of Living Index])-MIN([1]!Cost_of_Living[Cost of Living Index]))</f>
        <v>0.77463503649635035</v>
      </c>
    </row>
    <row r="308" spans="1:4">
      <c r="A308" s="36" t="s">
        <v>2455</v>
      </c>
      <c r="B308" s="36" t="s">
        <v>840</v>
      </c>
      <c r="C308" s="37">
        <v>93.3</v>
      </c>
      <c r="D308" s="39">
        <f>1-([1]!Cost_of_Living[[#This Row],[Cost of Living Index]]-MIN([1]!Cost_of_Living[Cost of Living Index]))/(MAX([1]!Cost_of_Living[Cost of Living Index])-MIN([1]!Cost_of_Living[Cost of Living Index]))</f>
        <v>0.77828467153284675</v>
      </c>
    </row>
    <row r="309" spans="1:4">
      <c r="A309" s="36" t="s">
        <v>671</v>
      </c>
      <c r="B309" s="36" t="s">
        <v>840</v>
      </c>
      <c r="C309" s="37">
        <v>92.5</v>
      </c>
      <c r="D309" s="39">
        <f>1-([1]!Cost_of_Living[[#This Row],[Cost of Living Index]]-MIN([1]!Cost_of_Living[Cost of Living Index]))/(MAX([1]!Cost_of_Living[Cost of Living Index])-MIN([1]!Cost_of_Living[Cost of Living Index]))</f>
        <v>0.78558394160583944</v>
      </c>
    </row>
    <row r="310" spans="1:4">
      <c r="A310" s="36" t="s">
        <v>694</v>
      </c>
      <c r="B310" s="36" t="s">
        <v>840</v>
      </c>
      <c r="C310" s="37">
        <v>91.3</v>
      </c>
      <c r="D310" s="39">
        <f>1-([1]!Cost_of_Living[[#This Row],[Cost of Living Index]]-MIN([1]!Cost_of_Living[Cost of Living Index]))/(MAX([1]!Cost_of_Living[Cost of Living Index])-MIN([1]!Cost_of_Living[Cost of Living Index]))</f>
        <v>0.79653284671532854</v>
      </c>
    </row>
    <row r="311" spans="1:4">
      <c r="A311" s="36" t="s">
        <v>2456</v>
      </c>
      <c r="B311" s="36" t="s">
        <v>840</v>
      </c>
      <c r="C311" s="37">
        <v>90.9</v>
      </c>
      <c r="D311" s="39">
        <f>1-([1]!Cost_of_Living[[#This Row],[Cost of Living Index]]-MIN([1]!Cost_of_Living[Cost of Living Index]))/(MAX([1]!Cost_of_Living[Cost of Living Index])-MIN([1]!Cost_of_Living[Cost of Living Index]))</f>
        <v>0.80018248175182471</v>
      </c>
    </row>
    <row r="312" spans="1:4">
      <c r="A312" s="36" t="s">
        <v>2457</v>
      </c>
      <c r="B312" s="36" t="s">
        <v>840</v>
      </c>
      <c r="C312" s="37">
        <v>89</v>
      </c>
      <c r="D312" s="39">
        <f>1-([1]!Cost_of_Living[[#This Row],[Cost of Living Index]]-MIN([1]!Cost_of_Living[Cost of Living Index]))/(MAX([1]!Cost_of_Living[Cost of Living Index])-MIN([1]!Cost_of_Living[Cost of Living Index]))</f>
        <v>0.81751824817518248</v>
      </c>
    </row>
    <row r="313" spans="1:4">
      <c r="A313" s="36" t="s">
        <v>2458</v>
      </c>
      <c r="B313" s="36" t="s">
        <v>840</v>
      </c>
      <c r="C313" s="37">
        <v>88.3</v>
      </c>
      <c r="D313" s="39">
        <f>1-([1]!Cost_of_Living[[#This Row],[Cost of Living Index]]-MIN([1]!Cost_of_Living[Cost of Living Index]))/(MAX([1]!Cost_of_Living[Cost of Living Index])-MIN([1]!Cost_of_Living[Cost of Living Index]))</f>
        <v>0.82390510948905105</v>
      </c>
    </row>
    <row r="314" spans="1:4">
      <c r="A314" s="36" t="s">
        <v>507</v>
      </c>
      <c r="B314" s="36" t="s">
        <v>1124</v>
      </c>
      <c r="C314" s="37">
        <v>95.5</v>
      </c>
      <c r="D314" s="39">
        <f>1-([1]!Cost_of_Living[[#This Row],[Cost of Living Index]]-MIN([1]!Cost_of_Living[Cost of Living Index]))/(MAX([1]!Cost_of_Living[Cost of Living Index])-MIN([1]!Cost_of_Living[Cost of Living Index]))</f>
        <v>0.75821167883211671</v>
      </c>
    </row>
    <row r="315" spans="1:4">
      <c r="A315" s="36" t="s">
        <v>544</v>
      </c>
      <c r="B315" s="36" t="s">
        <v>1124</v>
      </c>
      <c r="C315" s="37">
        <v>93.9</v>
      </c>
      <c r="D315" s="39">
        <f>1-([1]!Cost_of_Living[[#This Row],[Cost of Living Index]]-MIN([1]!Cost_of_Living[Cost of Living Index]))/(MAX([1]!Cost_of_Living[Cost of Living Index])-MIN([1]!Cost_of_Living[Cost of Living Index]))</f>
        <v>0.77281021897810209</v>
      </c>
    </row>
    <row r="316" spans="1:4">
      <c r="A316" s="36" t="s">
        <v>152</v>
      </c>
      <c r="B316" s="36" t="s">
        <v>1124</v>
      </c>
      <c r="C316" s="37">
        <v>92.4</v>
      </c>
      <c r="D316" s="39">
        <f>1-([1]!Cost_of_Living[[#This Row],[Cost of Living Index]]-MIN([1]!Cost_of_Living[Cost of Living Index]))/(MAX([1]!Cost_of_Living[Cost of Living Index])-MIN([1]!Cost_of_Living[Cost of Living Index]))</f>
        <v>0.78649635036496346</v>
      </c>
    </row>
    <row r="317" spans="1:4">
      <c r="A317" s="36" t="s">
        <v>612</v>
      </c>
      <c r="B317" s="36" t="s">
        <v>1124</v>
      </c>
      <c r="C317" s="37">
        <v>91.1</v>
      </c>
      <c r="D317" s="39">
        <f>1-([1]!Cost_of_Living[[#This Row],[Cost of Living Index]]-MIN([1]!Cost_of_Living[Cost of Living Index]))/(MAX([1]!Cost_of_Living[Cost of Living Index])-MIN([1]!Cost_of_Living[Cost of Living Index]))</f>
        <v>0.79835766423357668</v>
      </c>
    </row>
    <row r="318" spans="1:4">
      <c r="A318" s="36" t="s">
        <v>2459</v>
      </c>
      <c r="B318" s="36" t="s">
        <v>1124</v>
      </c>
      <c r="C318" s="37">
        <v>90.8</v>
      </c>
      <c r="D318" s="39">
        <f>1-([1]!Cost_of_Living[[#This Row],[Cost of Living Index]]-MIN([1]!Cost_of_Living[Cost of Living Index]))/(MAX([1]!Cost_of_Living[Cost of Living Index])-MIN([1]!Cost_of_Living[Cost of Living Index]))</f>
        <v>0.80109489051094895</v>
      </c>
    </row>
    <row r="319" spans="1:4">
      <c r="A319" s="36" t="s">
        <v>162</v>
      </c>
      <c r="B319" s="36" t="s">
        <v>1124</v>
      </c>
      <c r="C319" s="37">
        <v>90</v>
      </c>
      <c r="D319" s="39">
        <f>1-([1]!Cost_of_Living[[#This Row],[Cost of Living Index]]-MIN([1]!Cost_of_Living[Cost of Living Index]))/(MAX([1]!Cost_of_Living[Cost of Living Index])-MIN([1]!Cost_of_Living[Cost of Living Index]))</f>
        <v>0.80839416058394153</v>
      </c>
    </row>
    <row r="320" spans="1:4">
      <c r="A320" s="36" t="s">
        <v>737</v>
      </c>
      <c r="B320" s="36" t="s">
        <v>1124</v>
      </c>
      <c r="C320" s="37">
        <v>89.8</v>
      </c>
      <c r="D320" s="39">
        <f>1-([1]!Cost_of_Living[[#This Row],[Cost of Living Index]]-MIN([1]!Cost_of_Living[Cost of Living Index]))/(MAX([1]!Cost_of_Living[Cost of Living Index])-MIN([1]!Cost_of_Living[Cost of Living Index]))</f>
        <v>0.81021897810218979</v>
      </c>
    </row>
    <row r="321" spans="1:4">
      <c r="A321" s="36" t="s">
        <v>803</v>
      </c>
      <c r="B321" s="36" t="s">
        <v>1124</v>
      </c>
      <c r="C321" s="37">
        <v>89.4</v>
      </c>
      <c r="D321" s="39">
        <f>1-([1]!Cost_of_Living[[#This Row],[Cost of Living Index]]-MIN([1]!Cost_of_Living[Cost of Living Index]))/(MAX([1]!Cost_of_Living[Cost of Living Index])-MIN([1]!Cost_of_Living[Cost of Living Index]))</f>
        <v>0.81386861313868608</v>
      </c>
    </row>
    <row r="322" spans="1:4">
      <c r="A322" s="36" t="s">
        <v>2460</v>
      </c>
      <c r="B322" s="36" t="s">
        <v>1124</v>
      </c>
      <c r="C322" s="37">
        <v>88.9</v>
      </c>
      <c r="D322" s="39">
        <f>1-([1]!Cost_of_Living[[#This Row],[Cost of Living Index]]-MIN([1]!Cost_of_Living[Cost of Living Index]))/(MAX([1]!Cost_of_Living[Cost of Living Index])-MIN([1]!Cost_of_Living[Cost of Living Index]))</f>
        <v>0.8184306569343065</v>
      </c>
    </row>
    <row r="323" spans="1:4">
      <c r="A323" s="36" t="s">
        <v>87</v>
      </c>
      <c r="B323" s="36" t="s">
        <v>1124</v>
      </c>
      <c r="C323" s="37">
        <v>88.5</v>
      </c>
      <c r="D323" s="39">
        <f>1-([1]!Cost_of_Living[[#This Row],[Cost of Living Index]]-MIN([1]!Cost_of_Living[Cost of Living Index]))/(MAX([1]!Cost_of_Living[Cost of Living Index])-MIN([1]!Cost_of_Living[Cost of Living Index]))</f>
        <v>0.8220802919708029</v>
      </c>
    </row>
    <row r="324" spans="1:4">
      <c r="A324" s="36" t="s">
        <v>273</v>
      </c>
      <c r="B324" s="36" t="s">
        <v>1124</v>
      </c>
      <c r="C324" s="37">
        <v>88.4</v>
      </c>
      <c r="D324" s="39">
        <f>1-([1]!Cost_of_Living[[#This Row],[Cost of Living Index]]-MIN([1]!Cost_of_Living[Cost of Living Index]))/(MAX([1]!Cost_of_Living[Cost of Living Index])-MIN([1]!Cost_of_Living[Cost of Living Index]))</f>
        <v>0.82299270072992692</v>
      </c>
    </row>
    <row r="325" spans="1:4">
      <c r="A325" s="36" t="s">
        <v>524</v>
      </c>
      <c r="B325" s="36" t="s">
        <v>1124</v>
      </c>
      <c r="C325" s="37">
        <v>88.2</v>
      </c>
      <c r="D325" s="39">
        <f>1-([1]!Cost_of_Living[[#This Row],[Cost of Living Index]]-MIN([1]!Cost_of_Living[Cost of Living Index]))/(MAX([1]!Cost_of_Living[Cost of Living Index])-MIN([1]!Cost_of_Living[Cost of Living Index]))</f>
        <v>0.82481751824817517</v>
      </c>
    </row>
    <row r="326" spans="1:4">
      <c r="A326" s="36" t="s">
        <v>2461</v>
      </c>
      <c r="B326" s="36" t="s">
        <v>1124</v>
      </c>
      <c r="C326" s="37">
        <v>87.6</v>
      </c>
      <c r="D326" s="39">
        <f>1-([1]!Cost_of_Living[[#This Row],[Cost of Living Index]]-MIN([1]!Cost_of_Living[Cost of Living Index]))/(MAX([1]!Cost_of_Living[Cost of Living Index])-MIN([1]!Cost_of_Living[Cost of Living Index]))</f>
        <v>0.83029197080291972</v>
      </c>
    </row>
    <row r="327" spans="1:4">
      <c r="A327" s="36" t="s">
        <v>585</v>
      </c>
      <c r="B327" s="36" t="s">
        <v>1124</v>
      </c>
      <c r="C327" s="37">
        <v>87.5</v>
      </c>
      <c r="D327" s="39">
        <f>1-([1]!Cost_of_Living[[#This Row],[Cost of Living Index]]-MIN([1]!Cost_of_Living[Cost of Living Index]))/(MAX([1]!Cost_of_Living[Cost of Living Index])-MIN([1]!Cost_of_Living[Cost of Living Index]))</f>
        <v>0.83120437956204385</v>
      </c>
    </row>
    <row r="328" spans="1:4">
      <c r="A328" s="36" t="s">
        <v>295</v>
      </c>
      <c r="B328" s="36" t="s">
        <v>1124</v>
      </c>
      <c r="C328" s="37">
        <v>87.5</v>
      </c>
      <c r="D328" s="39">
        <f>1-([1]!Cost_of_Living[[#This Row],[Cost of Living Index]]-MIN([1]!Cost_of_Living[Cost of Living Index]))/(MAX([1]!Cost_of_Living[Cost of Living Index])-MIN([1]!Cost_of_Living[Cost of Living Index]))</f>
        <v>0.83120437956204385</v>
      </c>
    </row>
    <row r="329" spans="1:4">
      <c r="A329" s="36" t="s">
        <v>2462</v>
      </c>
      <c r="B329" s="36" t="s">
        <v>1124</v>
      </c>
      <c r="C329" s="37">
        <v>87.4</v>
      </c>
      <c r="D329" s="39">
        <f>1-([1]!Cost_of_Living[[#This Row],[Cost of Living Index]]-MIN([1]!Cost_of_Living[Cost of Living Index]))/(MAX([1]!Cost_of_Living[Cost of Living Index])-MIN([1]!Cost_of_Living[Cost of Living Index]))</f>
        <v>0.83211678832116776</v>
      </c>
    </row>
    <row r="330" spans="1:4">
      <c r="A330" s="36" t="s">
        <v>714</v>
      </c>
      <c r="B330" s="36" t="s">
        <v>1124</v>
      </c>
      <c r="C330" s="37">
        <v>87.2</v>
      </c>
      <c r="D330" s="39">
        <f>1-([1]!Cost_of_Living[[#This Row],[Cost of Living Index]]-MIN([1]!Cost_of_Living[Cost of Living Index]))/(MAX([1]!Cost_of_Living[Cost of Living Index])-MIN([1]!Cost_of_Living[Cost of Living Index]))</f>
        <v>0.83394160583941601</v>
      </c>
    </row>
    <row r="331" spans="1:4">
      <c r="A331" s="36" t="s">
        <v>393</v>
      </c>
      <c r="B331" s="36" t="s">
        <v>1124</v>
      </c>
      <c r="C331" s="37">
        <v>86.6</v>
      </c>
      <c r="D331" s="39">
        <f>1-([1]!Cost_of_Living[[#This Row],[Cost of Living Index]]-MIN([1]!Cost_of_Living[Cost of Living Index]))/(MAX([1]!Cost_of_Living[Cost of Living Index])-MIN([1]!Cost_of_Living[Cost of Living Index]))</f>
        <v>0.83941605839416067</v>
      </c>
    </row>
    <row r="332" spans="1:4">
      <c r="A332" s="36" t="s">
        <v>474</v>
      </c>
      <c r="B332" s="36" t="s">
        <v>1124</v>
      </c>
      <c r="C332" s="37">
        <v>86.4</v>
      </c>
      <c r="D332" s="39">
        <f>1-([1]!Cost_of_Living[[#This Row],[Cost of Living Index]]-MIN([1]!Cost_of_Living[Cost of Living Index]))/(MAX([1]!Cost_of_Living[Cost of Living Index])-MIN([1]!Cost_of_Living[Cost of Living Index]))</f>
        <v>0.8412408759124087</v>
      </c>
    </row>
    <row r="333" spans="1:4">
      <c r="A333" s="36" t="s">
        <v>682</v>
      </c>
      <c r="B333" s="36" t="s">
        <v>1124</v>
      </c>
      <c r="C333" s="37">
        <v>86.2</v>
      </c>
      <c r="D333" s="39">
        <f>1-([1]!Cost_of_Living[[#This Row],[Cost of Living Index]]-MIN([1]!Cost_of_Living[Cost of Living Index]))/(MAX([1]!Cost_of_Living[Cost of Living Index])-MIN([1]!Cost_of_Living[Cost of Living Index]))</f>
        <v>0.84306569343065685</v>
      </c>
    </row>
    <row r="334" spans="1:4">
      <c r="A334" s="36" t="s">
        <v>528</v>
      </c>
      <c r="B334" s="36" t="s">
        <v>1124</v>
      </c>
      <c r="C334" s="37">
        <v>85.7</v>
      </c>
      <c r="D334" s="39">
        <f>1-([1]!Cost_of_Living[[#This Row],[Cost of Living Index]]-MIN([1]!Cost_of_Living[Cost of Living Index]))/(MAX([1]!Cost_of_Living[Cost of Living Index])-MIN([1]!Cost_of_Living[Cost of Living Index]))</f>
        <v>0.84762773722627738</v>
      </c>
    </row>
    <row r="335" spans="1:4">
      <c r="A335" s="36" t="s">
        <v>635</v>
      </c>
      <c r="B335" s="36" t="s">
        <v>1124</v>
      </c>
      <c r="C335" s="37">
        <v>84.7</v>
      </c>
      <c r="D335" s="39">
        <f>1-([1]!Cost_of_Living[[#This Row],[Cost of Living Index]]-MIN([1]!Cost_of_Living[Cost of Living Index]))/(MAX([1]!Cost_of_Living[Cost of Living Index])-MIN([1]!Cost_of_Living[Cost of Living Index]))</f>
        <v>0.85675182481751821</v>
      </c>
    </row>
    <row r="336" spans="1:4">
      <c r="A336" s="36" t="s">
        <v>480</v>
      </c>
      <c r="B336" s="36" t="s">
        <v>1214</v>
      </c>
      <c r="C336" s="37">
        <v>87.3</v>
      </c>
      <c r="D336" s="39">
        <f>1-([1]!Cost_of_Living[[#This Row],[Cost of Living Index]]-MIN([1]!Cost_of_Living[Cost of Living Index]))/(MAX([1]!Cost_of_Living[Cost of Living Index])-MIN([1]!Cost_of_Living[Cost of Living Index]))</f>
        <v>0.83302919708029199</v>
      </c>
    </row>
    <row r="337" spans="1:4">
      <c r="A337" s="36" t="s">
        <v>395</v>
      </c>
      <c r="B337" s="36" t="s">
        <v>1214</v>
      </c>
      <c r="C337" s="37">
        <v>86.7</v>
      </c>
      <c r="D337" s="39">
        <f>1-([1]!Cost_of_Living[[#This Row],[Cost of Living Index]]-MIN([1]!Cost_of_Living[Cost of Living Index]))/(MAX([1]!Cost_of_Living[Cost of Living Index])-MIN([1]!Cost_of_Living[Cost of Living Index]))</f>
        <v>0.83850364963503643</v>
      </c>
    </row>
    <row r="338" spans="1:4">
      <c r="A338" s="36" t="s">
        <v>788</v>
      </c>
      <c r="B338" s="36" t="s">
        <v>1214</v>
      </c>
      <c r="C338" s="37">
        <v>86.3</v>
      </c>
      <c r="D338" s="39">
        <f>1-([1]!Cost_of_Living[[#This Row],[Cost of Living Index]]-MIN([1]!Cost_of_Living[Cost of Living Index]))/(MAX([1]!Cost_of_Living[Cost of Living Index])-MIN([1]!Cost_of_Living[Cost of Living Index]))</f>
        <v>0.84215328467153283</v>
      </c>
    </row>
    <row r="339" spans="1:4">
      <c r="A339" s="36" t="s">
        <v>2463</v>
      </c>
      <c r="B339" s="36" t="s">
        <v>1214</v>
      </c>
      <c r="C339" s="37">
        <v>82.9</v>
      </c>
      <c r="D339" s="39">
        <f>1-([1]!Cost_of_Living[[#This Row],[Cost of Living Index]]-MIN([1]!Cost_of_Living[Cost of Living Index]))/(MAX([1]!Cost_of_Living[Cost of Living Index])-MIN([1]!Cost_of_Living[Cost of Living Index]))</f>
        <v>0.87317518248175174</v>
      </c>
    </row>
    <row r="340" spans="1:4">
      <c r="A340" s="36" t="s">
        <v>2464</v>
      </c>
      <c r="B340" s="36" t="s">
        <v>1214</v>
      </c>
      <c r="C340" s="37">
        <v>82.8</v>
      </c>
      <c r="D340" s="39">
        <f>1-([1]!Cost_of_Living[[#This Row],[Cost of Living Index]]-MIN([1]!Cost_of_Living[Cost of Living Index]))/(MAX([1]!Cost_of_Living[Cost of Living Index])-MIN([1]!Cost_of_Living[Cost of Living Index]))</f>
        <v>0.87408759124087587</v>
      </c>
    </row>
    <row r="341" spans="1:4">
      <c r="A341" s="36" t="s">
        <v>676</v>
      </c>
      <c r="B341" s="36" t="s">
        <v>1214</v>
      </c>
      <c r="C341" s="37">
        <v>82.4</v>
      </c>
      <c r="D341" s="39">
        <f>1-([1]!Cost_of_Living[[#This Row],[Cost of Living Index]]-MIN([1]!Cost_of_Living[Cost of Living Index]))/(MAX([1]!Cost_of_Living[Cost of Living Index])-MIN([1]!Cost_of_Living[Cost of Living Index]))</f>
        <v>0.87773722627737216</v>
      </c>
    </row>
    <row r="342" spans="1:4">
      <c r="A342" s="36" t="s">
        <v>724</v>
      </c>
      <c r="B342" s="36" t="s">
        <v>1214</v>
      </c>
      <c r="C342" s="37">
        <v>81.3</v>
      </c>
      <c r="D342" s="39">
        <f>1-([1]!Cost_of_Living[[#This Row],[Cost of Living Index]]-MIN([1]!Cost_of_Living[Cost of Living Index]))/(MAX([1]!Cost_of_Living[Cost of Living Index])-MIN([1]!Cost_of_Living[Cost of Living Index]))</f>
        <v>0.88777372262773724</v>
      </c>
    </row>
    <row r="343" spans="1:4">
      <c r="A343" s="36" t="s">
        <v>172</v>
      </c>
      <c r="B343" s="36" t="s">
        <v>1236</v>
      </c>
      <c r="C343" s="37">
        <v>116.5</v>
      </c>
      <c r="D343" s="39">
        <f>1-([1]!Cost_of_Living[[#This Row],[Cost of Living Index]]-MIN([1]!Cost_of_Living[Cost of Living Index]))/(MAX([1]!Cost_of_Living[Cost of Living Index])-MIN([1]!Cost_of_Living[Cost of Living Index]))</f>
        <v>0.56660583941605835</v>
      </c>
    </row>
    <row r="344" spans="1:4">
      <c r="A344" s="36" t="s">
        <v>2465</v>
      </c>
      <c r="B344" s="36" t="s">
        <v>1236</v>
      </c>
      <c r="C344" s="37">
        <v>115.9</v>
      </c>
      <c r="D344" s="39">
        <f>1-([1]!Cost_of_Living[[#This Row],[Cost of Living Index]]-MIN([1]!Cost_of_Living[Cost of Living Index]))/(MAX([1]!Cost_of_Living[Cost of Living Index])-MIN([1]!Cost_of_Living[Cost of Living Index]))</f>
        <v>0.57208029197080279</v>
      </c>
    </row>
    <row r="345" spans="1:4">
      <c r="A345" s="36" t="s">
        <v>765</v>
      </c>
      <c r="B345" s="36" t="s">
        <v>1236</v>
      </c>
      <c r="C345" s="37">
        <v>110.6</v>
      </c>
      <c r="D345" s="39">
        <f>1-([1]!Cost_of_Living[[#This Row],[Cost of Living Index]]-MIN([1]!Cost_of_Living[Cost of Living Index]))/(MAX([1]!Cost_of_Living[Cost of Living Index])-MIN([1]!Cost_of_Living[Cost of Living Index]))</f>
        <v>0.62043795620437958</v>
      </c>
    </row>
    <row r="346" spans="1:4">
      <c r="A346" s="36" t="s">
        <v>721</v>
      </c>
      <c r="B346" s="36" t="s">
        <v>1236</v>
      </c>
      <c r="C346" s="37">
        <v>108.4</v>
      </c>
      <c r="D346" s="39">
        <f>1-([1]!Cost_of_Living[[#This Row],[Cost of Living Index]]-MIN([1]!Cost_of_Living[Cost of Living Index]))/(MAX([1]!Cost_of_Living[Cost of Living Index])-MIN([1]!Cost_of_Living[Cost of Living Index]))</f>
        <v>0.6405109489051094</v>
      </c>
    </row>
    <row r="347" spans="1:4">
      <c r="A347" s="36" t="s">
        <v>76</v>
      </c>
      <c r="B347" s="36" t="s">
        <v>1236</v>
      </c>
      <c r="C347" s="37">
        <v>107.5</v>
      </c>
      <c r="D347" s="39">
        <f>1-([1]!Cost_of_Living[[#This Row],[Cost of Living Index]]-MIN([1]!Cost_of_Living[Cost of Living Index]))/(MAX([1]!Cost_of_Living[Cost of Living Index])-MIN([1]!Cost_of_Living[Cost of Living Index]))</f>
        <v>0.64872262773722622</v>
      </c>
    </row>
    <row r="348" spans="1:4">
      <c r="A348" s="36" t="s">
        <v>2466</v>
      </c>
      <c r="B348" s="36" t="s">
        <v>1236</v>
      </c>
      <c r="C348" s="37">
        <v>106.6</v>
      </c>
      <c r="D348" s="39">
        <f>1-([1]!Cost_of_Living[[#This Row],[Cost of Living Index]]-MIN([1]!Cost_of_Living[Cost of Living Index]))/(MAX([1]!Cost_of_Living[Cost of Living Index])-MIN([1]!Cost_of_Living[Cost of Living Index]))</f>
        <v>0.65693430656934315</v>
      </c>
    </row>
    <row r="349" spans="1:4">
      <c r="A349" s="36" t="s">
        <v>393</v>
      </c>
      <c r="B349" s="36" t="s">
        <v>1236</v>
      </c>
      <c r="C349" s="37">
        <v>105.8</v>
      </c>
      <c r="D349" s="39">
        <f>1-([1]!Cost_of_Living[[#This Row],[Cost of Living Index]]-MIN([1]!Cost_of_Living[Cost of Living Index]))/(MAX([1]!Cost_of_Living[Cost of Living Index])-MIN([1]!Cost_of_Living[Cost of Living Index]))</f>
        <v>0.66423357664233573</v>
      </c>
    </row>
    <row r="350" spans="1:4">
      <c r="A350" s="36" t="s">
        <v>184</v>
      </c>
      <c r="B350" s="36" t="s">
        <v>1236</v>
      </c>
      <c r="C350" s="37">
        <v>105.4</v>
      </c>
      <c r="D350" s="39">
        <f>1-([1]!Cost_of_Living[[#This Row],[Cost of Living Index]]-MIN([1]!Cost_of_Living[Cost of Living Index]))/(MAX([1]!Cost_of_Living[Cost of Living Index])-MIN([1]!Cost_of_Living[Cost of Living Index]))</f>
        <v>0.66788321167883202</v>
      </c>
    </row>
    <row r="351" spans="1:4">
      <c r="A351" s="36" t="s">
        <v>2467</v>
      </c>
      <c r="B351" s="36" t="s">
        <v>1236</v>
      </c>
      <c r="C351" s="37">
        <v>102</v>
      </c>
      <c r="D351" s="39">
        <f>1-([1]!Cost_of_Living[[#This Row],[Cost of Living Index]]-MIN([1]!Cost_of_Living[Cost of Living Index]))/(MAX([1]!Cost_of_Living[Cost of Living Index])-MIN([1]!Cost_of_Living[Cost of Living Index]))</f>
        <v>0.69890510948905105</v>
      </c>
    </row>
    <row r="352" spans="1:4">
      <c r="A352" s="36" t="s">
        <v>2468</v>
      </c>
      <c r="B352" s="36" t="s">
        <v>1236</v>
      </c>
      <c r="C352" s="37">
        <v>100.8</v>
      </c>
      <c r="D352" s="39">
        <f>1-([1]!Cost_of_Living[[#This Row],[Cost of Living Index]]-MIN([1]!Cost_of_Living[Cost of Living Index]))/(MAX([1]!Cost_of_Living[Cost of Living Index])-MIN([1]!Cost_of_Living[Cost of Living Index]))</f>
        <v>0.70985401459854014</v>
      </c>
    </row>
    <row r="353" spans="1:4">
      <c r="A353" s="36" t="s">
        <v>2469</v>
      </c>
      <c r="B353" s="36" t="s">
        <v>1236</v>
      </c>
      <c r="C353" s="37">
        <v>97.9</v>
      </c>
      <c r="D353" s="39">
        <f>1-([1]!Cost_of_Living[[#This Row],[Cost of Living Index]]-MIN([1]!Cost_of_Living[Cost of Living Index]))/(MAX([1]!Cost_of_Living[Cost of Living Index])-MIN([1]!Cost_of_Living[Cost of Living Index]))</f>
        <v>0.73631386861313863</v>
      </c>
    </row>
    <row r="354" spans="1:4">
      <c r="A354" s="36" t="s">
        <v>579</v>
      </c>
      <c r="B354" s="36" t="s">
        <v>1236</v>
      </c>
      <c r="C354" s="37">
        <v>97.1</v>
      </c>
      <c r="D354" s="39">
        <f>1-([1]!Cost_of_Living[[#This Row],[Cost of Living Index]]-MIN([1]!Cost_of_Living[Cost of Living Index]))/(MAX([1]!Cost_of_Living[Cost of Living Index])-MIN([1]!Cost_of_Living[Cost of Living Index]))</f>
        <v>0.74361313868613144</v>
      </c>
    </row>
    <row r="355" spans="1:4">
      <c r="A355" s="36" t="s">
        <v>19</v>
      </c>
      <c r="B355" s="36" t="s">
        <v>844</v>
      </c>
      <c r="C355" s="37">
        <v>103.4</v>
      </c>
      <c r="D355" s="39">
        <f>1-([1]!Cost_of_Living[[#This Row],[Cost of Living Index]]-MIN([1]!Cost_of_Living[Cost of Living Index]))/(MAX([1]!Cost_of_Living[Cost of Living Index])-MIN([1]!Cost_of_Living[Cost of Living Index]))</f>
        <v>0.68613138686131381</v>
      </c>
    </row>
    <row r="356" spans="1:4">
      <c r="A356" s="36" t="s">
        <v>2470</v>
      </c>
      <c r="B356" s="36" t="s">
        <v>844</v>
      </c>
      <c r="C356" s="37">
        <v>99.8</v>
      </c>
      <c r="D356" s="39">
        <f>1-([1]!Cost_of_Living[[#This Row],[Cost of Living Index]]-MIN([1]!Cost_of_Living[Cost of Living Index]))/(MAX([1]!Cost_of_Living[Cost of Living Index])-MIN([1]!Cost_of_Living[Cost of Living Index]))</f>
        <v>0.71897810218978098</v>
      </c>
    </row>
    <row r="357" spans="1:4">
      <c r="A357" s="36" t="s">
        <v>460</v>
      </c>
      <c r="B357" s="36" t="s">
        <v>844</v>
      </c>
      <c r="C357" s="37">
        <v>99.5</v>
      </c>
      <c r="D357" s="39">
        <f>1-([1]!Cost_of_Living[[#This Row],[Cost of Living Index]]-MIN([1]!Cost_of_Living[Cost of Living Index]))/(MAX([1]!Cost_of_Living[Cost of Living Index])-MIN([1]!Cost_of_Living[Cost of Living Index]))</f>
        <v>0.72171532846715325</v>
      </c>
    </row>
    <row r="358" spans="1:4">
      <c r="A358" s="36" t="s">
        <v>540</v>
      </c>
      <c r="B358" s="36" t="s">
        <v>844</v>
      </c>
      <c r="C358" s="37">
        <v>98.9</v>
      </c>
      <c r="D358" s="39">
        <f>1-([1]!Cost_of_Living[[#This Row],[Cost of Living Index]]-MIN([1]!Cost_of_Living[Cost of Living Index]))/(MAX([1]!Cost_of_Living[Cost of Living Index])-MIN([1]!Cost_of_Living[Cost of Living Index]))</f>
        <v>0.72718978102189769</v>
      </c>
    </row>
    <row r="359" spans="1:4">
      <c r="A359" s="36" t="s">
        <v>382</v>
      </c>
      <c r="B359" s="36" t="s">
        <v>844</v>
      </c>
      <c r="C359" s="37">
        <v>98.2</v>
      </c>
      <c r="D359" s="39">
        <f>1-([1]!Cost_of_Living[[#This Row],[Cost of Living Index]]-MIN([1]!Cost_of_Living[Cost of Living Index]))/(MAX([1]!Cost_of_Living[Cost of Living Index])-MIN([1]!Cost_of_Living[Cost of Living Index]))</f>
        <v>0.73357664233576636</v>
      </c>
    </row>
    <row r="360" spans="1:4">
      <c r="A360" s="36" t="s">
        <v>586</v>
      </c>
      <c r="B360" s="36" t="s">
        <v>844</v>
      </c>
      <c r="C360" s="37">
        <v>96.1</v>
      </c>
      <c r="D360" s="39">
        <f>1-([1]!Cost_of_Living[[#This Row],[Cost of Living Index]]-MIN([1]!Cost_of_Living[Cost of Living Index]))/(MAX([1]!Cost_of_Living[Cost of Living Index])-MIN([1]!Cost_of_Living[Cost of Living Index]))</f>
        <v>0.75273722627737227</v>
      </c>
    </row>
    <row r="361" spans="1:4">
      <c r="A361" s="36" t="s">
        <v>642</v>
      </c>
      <c r="B361" s="36" t="s">
        <v>844</v>
      </c>
      <c r="C361" s="37">
        <v>96</v>
      </c>
      <c r="D361" s="39">
        <f>1-([1]!Cost_of_Living[[#This Row],[Cost of Living Index]]-MIN([1]!Cost_of_Living[Cost of Living Index]))/(MAX([1]!Cost_of_Living[Cost of Living Index])-MIN([1]!Cost_of_Living[Cost of Living Index]))</f>
        <v>0.75364963503649629</v>
      </c>
    </row>
    <row r="362" spans="1:4">
      <c r="A362" s="36" t="s">
        <v>672</v>
      </c>
      <c r="B362" s="36" t="s">
        <v>844</v>
      </c>
      <c r="C362" s="37">
        <v>95.8</v>
      </c>
      <c r="D362" s="39">
        <f>1-([1]!Cost_of_Living[[#This Row],[Cost of Living Index]]-MIN([1]!Cost_of_Living[Cost of Living Index]))/(MAX([1]!Cost_of_Living[Cost of Living Index])-MIN([1]!Cost_of_Living[Cost of Living Index]))</f>
        <v>0.75547445255474455</v>
      </c>
    </row>
    <row r="363" spans="1:4">
      <c r="A363" s="36" t="s">
        <v>604</v>
      </c>
      <c r="B363" s="36" t="s">
        <v>844</v>
      </c>
      <c r="C363" s="37">
        <v>95.8</v>
      </c>
      <c r="D363" s="39">
        <f>1-([1]!Cost_of_Living[[#This Row],[Cost of Living Index]]-MIN([1]!Cost_of_Living[Cost of Living Index]))/(MAX([1]!Cost_of_Living[Cost of Living Index])-MIN([1]!Cost_of_Living[Cost of Living Index]))</f>
        <v>0.75547445255474455</v>
      </c>
    </row>
    <row r="364" spans="1:4">
      <c r="A364" s="36" t="s">
        <v>650</v>
      </c>
      <c r="B364" s="36" t="s">
        <v>844</v>
      </c>
      <c r="C364" s="37">
        <v>95.7</v>
      </c>
      <c r="D364" s="39">
        <f>1-([1]!Cost_of_Living[[#This Row],[Cost of Living Index]]-MIN([1]!Cost_of_Living[Cost of Living Index]))/(MAX([1]!Cost_of_Living[Cost of Living Index])-MIN([1]!Cost_of_Living[Cost of Living Index]))</f>
        <v>0.75638686131386856</v>
      </c>
    </row>
    <row r="365" spans="1:4">
      <c r="A365" s="36" t="s">
        <v>668</v>
      </c>
      <c r="B365" s="36" t="s">
        <v>844</v>
      </c>
      <c r="C365" s="37">
        <v>95.4</v>
      </c>
      <c r="D365" s="39">
        <f>1-([1]!Cost_of_Living[[#This Row],[Cost of Living Index]]-MIN([1]!Cost_of_Living[Cost of Living Index]))/(MAX([1]!Cost_of_Living[Cost of Living Index])-MIN([1]!Cost_of_Living[Cost of Living Index]))</f>
        <v>0.75912408759124084</v>
      </c>
    </row>
    <row r="366" spans="1:4">
      <c r="A366" s="36" t="s">
        <v>566</v>
      </c>
      <c r="B366" s="36" t="s">
        <v>844</v>
      </c>
      <c r="C366" s="37">
        <v>93.4</v>
      </c>
      <c r="D366" s="39">
        <f>1-([1]!Cost_of_Living[[#This Row],[Cost of Living Index]]-MIN([1]!Cost_of_Living[Cost of Living Index]))/(MAX([1]!Cost_of_Living[Cost of Living Index])-MIN([1]!Cost_of_Living[Cost of Living Index]))</f>
        <v>0.77737226277372251</v>
      </c>
    </row>
    <row r="367" spans="1:4">
      <c r="A367" s="36" t="s">
        <v>553</v>
      </c>
      <c r="B367" s="36" t="s">
        <v>844</v>
      </c>
      <c r="C367" s="37">
        <v>93.2</v>
      </c>
      <c r="D367" s="39">
        <f>1-([1]!Cost_of_Living[[#This Row],[Cost of Living Index]]-MIN([1]!Cost_of_Living[Cost of Living Index]))/(MAX([1]!Cost_of_Living[Cost of Living Index])-MIN([1]!Cost_of_Living[Cost of Living Index]))</f>
        <v>0.77919708029197077</v>
      </c>
    </row>
    <row r="368" spans="1:4">
      <c r="A368" s="36" t="s">
        <v>356</v>
      </c>
      <c r="B368" s="36" t="s">
        <v>844</v>
      </c>
      <c r="C368" s="37">
        <v>93.1</v>
      </c>
      <c r="D368" s="39">
        <f>1-([1]!Cost_of_Living[[#This Row],[Cost of Living Index]]-MIN([1]!Cost_of_Living[Cost of Living Index]))/(MAX([1]!Cost_of_Living[Cost of Living Index])-MIN([1]!Cost_of_Living[Cost of Living Index]))</f>
        <v>0.7801094890510949</v>
      </c>
    </row>
    <row r="369" spans="1:4">
      <c r="A369" s="36" t="s">
        <v>622</v>
      </c>
      <c r="B369" s="36" t="s">
        <v>844</v>
      </c>
      <c r="C369" s="37">
        <v>91.8</v>
      </c>
      <c r="D369" s="39">
        <f>1-([1]!Cost_of_Living[[#This Row],[Cost of Living Index]]-MIN([1]!Cost_of_Living[Cost of Living Index]))/(MAX([1]!Cost_of_Living[Cost of Living Index])-MIN([1]!Cost_of_Living[Cost of Living Index]))</f>
        <v>0.79197080291970801</v>
      </c>
    </row>
    <row r="370" spans="1:4">
      <c r="A370" s="36" t="s">
        <v>504</v>
      </c>
      <c r="B370" s="36" t="s">
        <v>844</v>
      </c>
      <c r="C370" s="37">
        <v>91.3</v>
      </c>
      <c r="D370" s="39">
        <f>1-([1]!Cost_of_Living[[#This Row],[Cost of Living Index]]-MIN([1]!Cost_of_Living[Cost of Living Index]))/(MAX([1]!Cost_of_Living[Cost of Living Index])-MIN([1]!Cost_of_Living[Cost of Living Index]))</f>
        <v>0.79653284671532854</v>
      </c>
    </row>
    <row r="371" spans="1:4">
      <c r="A371" s="36" t="s">
        <v>2471</v>
      </c>
      <c r="B371" s="36" t="s">
        <v>844</v>
      </c>
      <c r="C371" s="37">
        <v>90.8</v>
      </c>
      <c r="D371" s="39">
        <f>1-([1]!Cost_of_Living[[#This Row],[Cost of Living Index]]-MIN([1]!Cost_of_Living[Cost of Living Index]))/(MAX([1]!Cost_of_Living[Cost of Living Index])-MIN([1]!Cost_of_Living[Cost of Living Index]))</f>
        <v>0.80109489051094895</v>
      </c>
    </row>
    <row r="372" spans="1:4">
      <c r="A372" s="36" t="s">
        <v>416</v>
      </c>
      <c r="B372" s="36" t="s">
        <v>844</v>
      </c>
      <c r="C372" s="37">
        <v>90.8</v>
      </c>
      <c r="D372" s="39">
        <f>1-([1]!Cost_of_Living[[#This Row],[Cost of Living Index]]-MIN([1]!Cost_of_Living[Cost of Living Index]))/(MAX([1]!Cost_of_Living[Cost of Living Index])-MIN([1]!Cost_of_Living[Cost of Living Index]))</f>
        <v>0.80109489051094895</v>
      </c>
    </row>
    <row r="373" spans="1:4">
      <c r="A373" s="36" t="s">
        <v>2472</v>
      </c>
      <c r="B373" s="36" t="s">
        <v>844</v>
      </c>
      <c r="C373" s="37">
        <v>89.3</v>
      </c>
      <c r="D373" s="39">
        <f>1-([1]!Cost_of_Living[[#This Row],[Cost of Living Index]]-MIN([1]!Cost_of_Living[Cost of Living Index]))/(MAX([1]!Cost_of_Living[Cost of Living Index])-MIN([1]!Cost_of_Living[Cost of Living Index]))</f>
        <v>0.81478102189781021</v>
      </c>
    </row>
    <row r="374" spans="1:4">
      <c r="A374" s="36" t="s">
        <v>2473</v>
      </c>
      <c r="B374" s="36" t="s">
        <v>844</v>
      </c>
      <c r="C374" s="37">
        <v>88.6</v>
      </c>
      <c r="D374" s="39">
        <f>1-([1]!Cost_of_Living[[#This Row],[Cost of Living Index]]-MIN([1]!Cost_of_Living[Cost of Living Index]))/(MAX([1]!Cost_of_Living[Cost of Living Index])-MIN([1]!Cost_of_Living[Cost of Living Index]))</f>
        <v>0.82116788321167888</v>
      </c>
    </row>
    <row r="375" spans="1:4">
      <c r="A375" s="36" t="s">
        <v>603</v>
      </c>
      <c r="B375" s="36" t="s">
        <v>844</v>
      </c>
      <c r="C375" s="37">
        <v>88.5</v>
      </c>
      <c r="D375" s="39">
        <f>1-([1]!Cost_of_Living[[#This Row],[Cost of Living Index]]-MIN([1]!Cost_of_Living[Cost of Living Index]))/(MAX([1]!Cost_of_Living[Cost of Living Index])-MIN([1]!Cost_of_Living[Cost of Living Index]))</f>
        <v>0.8220802919708029</v>
      </c>
    </row>
    <row r="376" spans="1:4">
      <c r="A376" s="36" t="s">
        <v>2474</v>
      </c>
      <c r="B376" s="36" t="s">
        <v>844</v>
      </c>
      <c r="C376" s="37">
        <v>88.2</v>
      </c>
      <c r="D376" s="39">
        <f>1-([1]!Cost_of_Living[[#This Row],[Cost of Living Index]]-MIN([1]!Cost_of_Living[Cost of Living Index]))/(MAX([1]!Cost_of_Living[Cost of Living Index])-MIN([1]!Cost_of_Living[Cost of Living Index]))</f>
        <v>0.82481751824817517</v>
      </c>
    </row>
    <row r="377" spans="1:4">
      <c r="A377" s="36" t="s">
        <v>2475</v>
      </c>
      <c r="B377" s="36" t="s">
        <v>844</v>
      </c>
      <c r="C377" s="37">
        <v>88.1</v>
      </c>
      <c r="D377" s="39">
        <f>1-([1]!Cost_of_Living[[#This Row],[Cost of Living Index]]-MIN([1]!Cost_of_Living[Cost of Living Index]))/(MAX([1]!Cost_of_Living[Cost of Living Index])-MIN([1]!Cost_of_Living[Cost of Living Index]))</f>
        <v>0.8257299270072993</v>
      </c>
    </row>
    <row r="378" spans="1:4">
      <c r="A378" s="36" t="s">
        <v>2476</v>
      </c>
      <c r="B378" s="36" t="s">
        <v>844</v>
      </c>
      <c r="C378" s="37">
        <v>87.6</v>
      </c>
      <c r="D378" s="39">
        <f>1-([1]!Cost_of_Living[[#This Row],[Cost of Living Index]]-MIN([1]!Cost_of_Living[Cost of Living Index]))/(MAX([1]!Cost_of_Living[Cost of Living Index])-MIN([1]!Cost_of_Living[Cost of Living Index]))</f>
        <v>0.83029197080291972</v>
      </c>
    </row>
    <row r="379" spans="1:4">
      <c r="A379" s="36" t="s">
        <v>2477</v>
      </c>
      <c r="B379" s="36" t="s">
        <v>844</v>
      </c>
      <c r="C379" s="37">
        <v>87</v>
      </c>
      <c r="D379" s="39">
        <f>1-([1]!Cost_of_Living[[#This Row],[Cost of Living Index]]-MIN([1]!Cost_of_Living[Cost of Living Index]))/(MAX([1]!Cost_of_Living[Cost of Living Index])-MIN([1]!Cost_of_Living[Cost of Living Index]))</f>
        <v>0.83576642335766427</v>
      </c>
    </row>
    <row r="380" spans="1:4">
      <c r="A380" s="36" t="s">
        <v>91</v>
      </c>
      <c r="B380" s="36" t="s">
        <v>883</v>
      </c>
      <c r="C380" s="37">
        <v>111.5</v>
      </c>
      <c r="D380" s="39">
        <f>1-([1]!Cost_of_Living[[#This Row],[Cost of Living Index]]-MIN([1]!Cost_of_Living[Cost of Living Index]))/(MAX([1]!Cost_of_Living[Cost of Living Index])-MIN([1]!Cost_of_Living[Cost of Living Index]))</f>
        <v>0.61222627737226276</v>
      </c>
    </row>
    <row r="381" spans="1:4">
      <c r="A381" s="36" t="s">
        <v>2478</v>
      </c>
      <c r="B381" s="36" t="s">
        <v>1164</v>
      </c>
      <c r="C381" s="37">
        <v>109.4</v>
      </c>
      <c r="D381" s="39">
        <f>1-([1]!Cost_of_Living[[#This Row],[Cost of Living Index]]-MIN([1]!Cost_of_Living[Cost of Living Index]))/(MAX([1]!Cost_of_Living[Cost of Living Index])-MIN([1]!Cost_of_Living[Cost of Living Index]))</f>
        <v>0.63138686131386856</v>
      </c>
    </row>
    <row r="382" spans="1:4">
      <c r="A382" s="36" t="s">
        <v>293</v>
      </c>
      <c r="B382" s="36" t="s">
        <v>1164</v>
      </c>
      <c r="C382" s="37">
        <v>101.7</v>
      </c>
      <c r="D382" s="39">
        <f>1-([1]!Cost_of_Living[[#This Row],[Cost of Living Index]]-MIN([1]!Cost_of_Living[Cost of Living Index]))/(MAX([1]!Cost_of_Living[Cost of Living Index])-MIN([1]!Cost_of_Living[Cost of Living Index]))</f>
        <v>0.70164233576642332</v>
      </c>
    </row>
    <row r="383" spans="1:4">
      <c r="A383" s="36" t="s">
        <v>268</v>
      </c>
      <c r="B383" s="36" t="s">
        <v>1164</v>
      </c>
      <c r="C383" s="37">
        <v>95</v>
      </c>
      <c r="D383" s="39">
        <f>1-([1]!Cost_of_Living[[#This Row],[Cost of Living Index]]-MIN([1]!Cost_of_Living[Cost of Living Index]))/(MAX([1]!Cost_of_Living[Cost of Living Index])-MIN([1]!Cost_of_Living[Cost of Living Index]))</f>
        <v>0.76277372262773724</v>
      </c>
    </row>
    <row r="384" spans="1:4">
      <c r="A384" s="36" t="s">
        <v>2479</v>
      </c>
      <c r="B384" s="36" t="s">
        <v>1164</v>
      </c>
      <c r="C384" s="37">
        <v>94.7</v>
      </c>
      <c r="D384" s="39">
        <f>1-([1]!Cost_of_Living[[#This Row],[Cost of Living Index]]-MIN([1]!Cost_of_Living[Cost of Living Index]))/(MAX([1]!Cost_of_Living[Cost of Living Index])-MIN([1]!Cost_of_Living[Cost of Living Index]))</f>
        <v>0.76551094890510951</v>
      </c>
    </row>
    <row r="385" spans="1:4">
      <c r="A385" s="36" t="s">
        <v>2480</v>
      </c>
      <c r="B385" s="36" t="s">
        <v>1164</v>
      </c>
      <c r="C385" s="37">
        <v>94</v>
      </c>
      <c r="D385" s="39">
        <f>1-([1]!Cost_of_Living[[#This Row],[Cost of Living Index]]-MIN([1]!Cost_of_Living[Cost of Living Index]))/(MAX([1]!Cost_of_Living[Cost of Living Index])-MIN([1]!Cost_of_Living[Cost of Living Index]))</f>
        <v>0.77189781021897808</v>
      </c>
    </row>
    <row r="386" spans="1:4">
      <c r="A386" s="36" t="s">
        <v>131</v>
      </c>
      <c r="B386" s="36" t="s">
        <v>1164</v>
      </c>
      <c r="C386" s="37">
        <v>91.9</v>
      </c>
      <c r="D386" s="39">
        <f>1-([1]!Cost_of_Living[[#This Row],[Cost of Living Index]]-MIN([1]!Cost_of_Living[Cost of Living Index]))/(MAX([1]!Cost_of_Living[Cost of Living Index])-MIN([1]!Cost_of_Living[Cost of Living Index]))</f>
        <v>0.79105839416058388</v>
      </c>
    </row>
    <row r="387" spans="1:4">
      <c r="A387" s="36" t="s">
        <v>562</v>
      </c>
      <c r="B387" s="36" t="s">
        <v>1164</v>
      </c>
      <c r="C387" s="37">
        <v>91</v>
      </c>
      <c r="D387" s="39">
        <f>1-([1]!Cost_of_Living[[#This Row],[Cost of Living Index]]-MIN([1]!Cost_of_Living[Cost of Living Index]))/(MAX([1]!Cost_of_Living[Cost of Living Index])-MIN([1]!Cost_of_Living[Cost of Living Index]))</f>
        <v>0.7992700729927007</v>
      </c>
    </row>
    <row r="388" spans="1:4">
      <c r="A388" s="36" t="s">
        <v>601</v>
      </c>
      <c r="B388" s="36" t="s">
        <v>1164</v>
      </c>
      <c r="C388" s="37">
        <v>88.7</v>
      </c>
      <c r="D388" s="39">
        <f>1-([1]!Cost_of_Living[[#This Row],[Cost of Living Index]]-MIN([1]!Cost_of_Living[Cost of Living Index]))/(MAX([1]!Cost_of_Living[Cost of Living Index])-MIN([1]!Cost_of_Living[Cost of Living Index]))</f>
        <v>0.82025547445255476</v>
      </c>
    </row>
    <row r="389" spans="1:4">
      <c r="A389" s="36" t="s">
        <v>722</v>
      </c>
      <c r="B389" s="36" t="s">
        <v>1164</v>
      </c>
      <c r="C389" s="37">
        <v>88.1</v>
      </c>
      <c r="D389" s="39">
        <f>1-([1]!Cost_of_Living[[#This Row],[Cost of Living Index]]-MIN([1]!Cost_of_Living[Cost of Living Index]))/(MAX([1]!Cost_of_Living[Cost of Living Index])-MIN([1]!Cost_of_Living[Cost of Living Index]))</f>
        <v>0.8257299270072993</v>
      </c>
    </row>
    <row r="390" spans="1:4">
      <c r="A390" s="36" t="s">
        <v>580</v>
      </c>
      <c r="B390" s="36" t="s">
        <v>1164</v>
      </c>
      <c r="C390" s="37">
        <v>87.7</v>
      </c>
      <c r="D390" s="39">
        <f>1-([1]!Cost_of_Living[[#This Row],[Cost of Living Index]]-MIN([1]!Cost_of_Living[Cost of Living Index]))/(MAX([1]!Cost_of_Living[Cost of Living Index])-MIN([1]!Cost_of_Living[Cost of Living Index]))</f>
        <v>0.82937956204379559</v>
      </c>
    </row>
    <row r="391" spans="1:4">
      <c r="A391" s="36" t="s">
        <v>628</v>
      </c>
      <c r="B391" s="36" t="s">
        <v>1164</v>
      </c>
      <c r="C391" s="37">
        <v>85.3</v>
      </c>
      <c r="D391" s="39">
        <f>1-([1]!Cost_of_Living[[#This Row],[Cost of Living Index]]-MIN([1]!Cost_of_Living[Cost of Living Index]))/(MAX([1]!Cost_of_Living[Cost of Living Index])-MIN([1]!Cost_of_Living[Cost of Living Index]))</f>
        <v>0.85127737226277378</v>
      </c>
    </row>
    <row r="392" spans="1:4">
      <c r="A392" s="36" t="s">
        <v>573</v>
      </c>
      <c r="B392" s="36" t="s">
        <v>2000</v>
      </c>
      <c r="C392" s="37">
        <v>94.2</v>
      </c>
      <c r="D392" s="39">
        <f>1-([1]!Cost_of_Living[[#This Row],[Cost of Living Index]]-MIN([1]!Cost_of_Living[Cost of Living Index]))/(MAX([1]!Cost_of_Living[Cost of Living Index])-MIN([1]!Cost_of_Living[Cost of Living Index]))</f>
        <v>0.77007299270072993</v>
      </c>
    </row>
    <row r="393" spans="1:4">
      <c r="A393" s="36" t="s">
        <v>609</v>
      </c>
      <c r="B393" s="36" t="s">
        <v>2000</v>
      </c>
      <c r="C393" s="37">
        <v>92.8</v>
      </c>
      <c r="D393" s="39">
        <f>1-([1]!Cost_of_Living[[#This Row],[Cost of Living Index]]-MIN([1]!Cost_of_Living[Cost of Living Index]))/(MAX([1]!Cost_of_Living[Cost of Living Index])-MIN([1]!Cost_of_Living[Cost of Living Index]))</f>
        <v>0.78284671532846717</v>
      </c>
    </row>
    <row r="394" spans="1:4">
      <c r="A394" s="36" t="s">
        <v>2481</v>
      </c>
      <c r="B394" s="36" t="s">
        <v>872</v>
      </c>
      <c r="C394" s="37">
        <v>103.5</v>
      </c>
      <c r="D394" s="39">
        <f>1-([1]!Cost_of_Living[[#This Row],[Cost of Living Index]]-MIN([1]!Cost_of_Living[Cost of Living Index]))/(MAX([1]!Cost_of_Living[Cost of Living Index])-MIN([1]!Cost_of_Living[Cost of Living Index]))</f>
        <v>0.68521897810218979</v>
      </c>
    </row>
    <row r="395" spans="1:4">
      <c r="A395" s="36" t="s">
        <v>110</v>
      </c>
      <c r="B395" s="36" t="s">
        <v>872</v>
      </c>
      <c r="C395" s="37">
        <v>100.1</v>
      </c>
      <c r="D395" s="39">
        <f>1-([1]!Cost_of_Living[[#This Row],[Cost of Living Index]]-MIN([1]!Cost_of_Living[Cost of Living Index]))/(MAX([1]!Cost_of_Living[Cost of Living Index])-MIN([1]!Cost_of_Living[Cost of Living Index]))</f>
        <v>0.71624087591240881</v>
      </c>
    </row>
    <row r="396" spans="1:4">
      <c r="A396" s="36" t="s">
        <v>659</v>
      </c>
      <c r="B396" s="36" t="s">
        <v>872</v>
      </c>
      <c r="C396" s="37">
        <v>91.6</v>
      </c>
      <c r="D396" s="39">
        <f>1-([1]!Cost_of_Living[[#This Row],[Cost of Living Index]]-MIN([1]!Cost_of_Living[Cost of Living Index]))/(MAX([1]!Cost_of_Living[Cost of Living Index])-MIN([1]!Cost_of_Living[Cost of Living Index]))</f>
        <v>0.79379562043795626</v>
      </c>
    </row>
    <row r="397" spans="1:4">
      <c r="A397" s="36" t="s">
        <v>423</v>
      </c>
      <c r="B397" s="36" t="s">
        <v>872</v>
      </c>
      <c r="C397" s="37">
        <v>91.2</v>
      </c>
      <c r="D397" s="39">
        <f>1-([1]!Cost_of_Living[[#This Row],[Cost of Living Index]]-MIN([1]!Cost_of_Living[Cost of Living Index]))/(MAX([1]!Cost_of_Living[Cost of Living Index])-MIN([1]!Cost_of_Living[Cost of Living Index]))</f>
        <v>0.79744525547445255</v>
      </c>
    </row>
    <row r="398" spans="1:4">
      <c r="A398" s="36" t="s">
        <v>442</v>
      </c>
      <c r="B398" s="36" t="s">
        <v>872</v>
      </c>
      <c r="C398" s="37">
        <v>90.9</v>
      </c>
      <c r="D398" s="39">
        <f>1-([1]!Cost_of_Living[[#This Row],[Cost of Living Index]]-MIN([1]!Cost_of_Living[Cost of Living Index]))/(MAX([1]!Cost_of_Living[Cost of Living Index])-MIN([1]!Cost_of_Living[Cost of Living Index]))</f>
        <v>0.80018248175182471</v>
      </c>
    </row>
    <row r="399" spans="1:4">
      <c r="A399" s="36" t="s">
        <v>162</v>
      </c>
      <c r="B399" s="36" t="s">
        <v>872</v>
      </c>
      <c r="C399" s="37">
        <v>89.5</v>
      </c>
      <c r="D399" s="39">
        <f>1-([1]!Cost_of_Living[[#This Row],[Cost of Living Index]]-MIN([1]!Cost_of_Living[Cost of Living Index]))/(MAX([1]!Cost_of_Living[Cost of Living Index])-MIN([1]!Cost_of_Living[Cost of Living Index]))</f>
        <v>0.81295620437956206</v>
      </c>
    </row>
    <row r="400" spans="1:4">
      <c r="A400" s="36" t="s">
        <v>521</v>
      </c>
      <c r="B400" s="36" t="s">
        <v>872</v>
      </c>
      <c r="C400" s="37">
        <v>88.7</v>
      </c>
      <c r="D400" s="39">
        <f>1-([1]!Cost_of_Living[[#This Row],[Cost of Living Index]]-MIN([1]!Cost_of_Living[Cost of Living Index]))/(MAX([1]!Cost_of_Living[Cost of Living Index])-MIN([1]!Cost_of_Living[Cost of Living Index]))</f>
        <v>0.82025547445255476</v>
      </c>
    </row>
    <row r="401" spans="1:4">
      <c r="A401" s="36" t="s">
        <v>2482</v>
      </c>
      <c r="B401" s="36" t="s">
        <v>872</v>
      </c>
      <c r="C401" s="37">
        <v>88.7</v>
      </c>
      <c r="D401" s="39">
        <f>1-([1]!Cost_of_Living[[#This Row],[Cost of Living Index]]-MIN([1]!Cost_of_Living[Cost of Living Index]))/(MAX([1]!Cost_of_Living[Cost of Living Index])-MIN([1]!Cost_of_Living[Cost of Living Index]))</f>
        <v>0.82025547445255476</v>
      </c>
    </row>
    <row r="402" spans="1:4">
      <c r="A402" s="36" t="s">
        <v>506</v>
      </c>
      <c r="B402" s="36" t="s">
        <v>872</v>
      </c>
      <c r="C402" s="37">
        <v>88.2</v>
      </c>
      <c r="D402" s="39">
        <f>1-([1]!Cost_of_Living[[#This Row],[Cost of Living Index]]-MIN([1]!Cost_of_Living[Cost of Living Index]))/(MAX([1]!Cost_of_Living[Cost of Living Index])-MIN([1]!Cost_of_Living[Cost of Living Index]))</f>
        <v>0.82481751824817517</v>
      </c>
    </row>
    <row r="403" spans="1:4">
      <c r="A403" s="36" t="s">
        <v>807</v>
      </c>
      <c r="B403" s="36" t="s">
        <v>872</v>
      </c>
      <c r="C403" s="37">
        <v>88.1</v>
      </c>
      <c r="D403" s="39">
        <f>1-([1]!Cost_of_Living[[#This Row],[Cost of Living Index]]-MIN([1]!Cost_of_Living[Cost of Living Index]))/(MAX([1]!Cost_of_Living[Cost of Living Index])-MIN([1]!Cost_of_Living[Cost of Living Index]))</f>
        <v>0.8257299270072993</v>
      </c>
    </row>
    <row r="404" spans="1:4">
      <c r="A404" s="36" t="s">
        <v>706</v>
      </c>
      <c r="B404" s="36" t="s">
        <v>872</v>
      </c>
      <c r="C404" s="37">
        <v>87.3</v>
      </c>
      <c r="D404" s="39">
        <f>1-([1]!Cost_of_Living[[#This Row],[Cost of Living Index]]-MIN([1]!Cost_of_Living[Cost of Living Index]))/(MAX([1]!Cost_of_Living[Cost of Living Index])-MIN([1]!Cost_of_Living[Cost of Living Index]))</f>
        <v>0.83302919708029199</v>
      </c>
    </row>
    <row r="405" spans="1:4">
      <c r="A405" s="36" t="s">
        <v>691</v>
      </c>
      <c r="B405" s="36" t="s">
        <v>872</v>
      </c>
      <c r="C405" s="37">
        <v>86.5</v>
      </c>
      <c r="D405" s="39">
        <f>1-([1]!Cost_of_Living[[#This Row],[Cost of Living Index]]-MIN([1]!Cost_of_Living[Cost of Living Index]))/(MAX([1]!Cost_of_Living[Cost of Living Index])-MIN([1]!Cost_of_Living[Cost of Living Index]))</f>
        <v>0.84032846715328469</v>
      </c>
    </row>
    <row r="406" spans="1:4">
      <c r="A406" s="36" t="s">
        <v>2483</v>
      </c>
      <c r="B406" s="36" t="s">
        <v>872</v>
      </c>
      <c r="C406" s="37">
        <v>86</v>
      </c>
      <c r="D406" s="39">
        <f>1-([1]!Cost_of_Living[[#This Row],[Cost of Living Index]]-MIN([1]!Cost_of_Living[Cost of Living Index]))/(MAX([1]!Cost_of_Living[Cost of Living Index])-MIN([1]!Cost_of_Living[Cost of Living Index]))</f>
        <v>0.8448905109489051</v>
      </c>
    </row>
    <row r="407" spans="1:4">
      <c r="A407" s="36" t="s">
        <v>430</v>
      </c>
      <c r="B407" s="36" t="s">
        <v>872</v>
      </c>
      <c r="C407" s="37">
        <v>85.2</v>
      </c>
      <c r="D407" s="39">
        <f>1-([1]!Cost_of_Living[[#This Row],[Cost of Living Index]]-MIN([1]!Cost_of_Living[Cost of Living Index]))/(MAX([1]!Cost_of_Living[Cost of Living Index])-MIN([1]!Cost_of_Living[Cost of Living Index]))</f>
        <v>0.8521897810218978</v>
      </c>
    </row>
    <row r="408" spans="1:4">
      <c r="A408" s="36" t="s">
        <v>23</v>
      </c>
      <c r="B408" s="36" t="s">
        <v>851</v>
      </c>
      <c r="C408" s="37">
        <v>106.6</v>
      </c>
      <c r="D408" s="39">
        <f>1-([1]!Cost_of_Living[[#This Row],[Cost of Living Index]]-MIN([1]!Cost_of_Living[Cost of Living Index]))/(MAX([1]!Cost_of_Living[Cost of Living Index])-MIN([1]!Cost_of_Living[Cost of Living Index]))</f>
        <v>0.65693430656934315</v>
      </c>
    </row>
    <row r="409" spans="1:4">
      <c r="A409" s="36" t="s">
        <v>202</v>
      </c>
      <c r="B409" s="36" t="s">
        <v>851</v>
      </c>
      <c r="C409" s="37">
        <v>98.5</v>
      </c>
      <c r="D409" s="39">
        <f>1-([1]!Cost_of_Living[[#This Row],[Cost of Living Index]]-MIN([1]!Cost_of_Living[Cost of Living Index]))/(MAX([1]!Cost_of_Living[Cost of Living Index])-MIN([1]!Cost_of_Living[Cost of Living Index]))</f>
        <v>0.7308394160583942</v>
      </c>
    </row>
    <row r="410" spans="1:4">
      <c r="A410" s="36" t="s">
        <v>700</v>
      </c>
      <c r="B410" s="36" t="s">
        <v>851</v>
      </c>
      <c r="C410" s="37">
        <v>97.8</v>
      </c>
      <c r="D410" s="39">
        <f>1-([1]!Cost_of_Living[[#This Row],[Cost of Living Index]]-MIN([1]!Cost_of_Living[Cost of Living Index]))/(MAX([1]!Cost_of_Living[Cost of Living Index])-MIN([1]!Cost_of_Living[Cost of Living Index]))</f>
        <v>0.73722627737226276</v>
      </c>
    </row>
    <row r="411" spans="1:4">
      <c r="A411" s="36" t="s">
        <v>122</v>
      </c>
      <c r="B411" s="36" t="s">
        <v>851</v>
      </c>
      <c r="C411" s="37">
        <v>95.8</v>
      </c>
      <c r="D411" s="39">
        <f>1-([1]!Cost_of_Living[[#This Row],[Cost of Living Index]]-MIN([1]!Cost_of_Living[Cost of Living Index]))/(MAX([1]!Cost_of_Living[Cost of Living Index])-MIN([1]!Cost_of_Living[Cost of Living Index]))</f>
        <v>0.75547445255474455</v>
      </c>
    </row>
    <row r="412" spans="1:4">
      <c r="A412" s="36" t="s">
        <v>469</v>
      </c>
      <c r="B412" s="36" t="s">
        <v>851</v>
      </c>
      <c r="C412" s="37">
        <v>93.3</v>
      </c>
      <c r="D412" s="39">
        <f>1-([1]!Cost_of_Living[[#This Row],[Cost of Living Index]]-MIN([1]!Cost_of_Living[Cost of Living Index]))/(MAX([1]!Cost_of_Living[Cost of Living Index])-MIN([1]!Cost_of_Living[Cost of Living Index]))</f>
        <v>0.77828467153284675</v>
      </c>
    </row>
    <row r="413" spans="1:4">
      <c r="A413" s="36" t="s">
        <v>87</v>
      </c>
      <c r="B413" s="36" t="s">
        <v>851</v>
      </c>
      <c r="C413" s="37">
        <v>92.9</v>
      </c>
      <c r="D413" s="39">
        <f>1-([1]!Cost_of_Living[[#This Row],[Cost of Living Index]]-MIN([1]!Cost_of_Living[Cost of Living Index]))/(MAX([1]!Cost_of_Living[Cost of Living Index])-MIN([1]!Cost_of_Living[Cost of Living Index]))</f>
        <v>0.78193430656934304</v>
      </c>
    </row>
    <row r="414" spans="1:4">
      <c r="A414" s="36" t="s">
        <v>715</v>
      </c>
      <c r="B414" s="36" t="s">
        <v>851</v>
      </c>
      <c r="C414" s="37">
        <v>92.8</v>
      </c>
      <c r="D414" s="39">
        <f>1-([1]!Cost_of_Living[[#This Row],[Cost of Living Index]]-MIN([1]!Cost_of_Living[Cost of Living Index]))/(MAX([1]!Cost_of_Living[Cost of Living Index])-MIN([1]!Cost_of_Living[Cost of Living Index]))</f>
        <v>0.78284671532846717</v>
      </c>
    </row>
    <row r="415" spans="1:4">
      <c r="A415" s="36" t="s">
        <v>600</v>
      </c>
      <c r="B415" s="36" t="s">
        <v>851</v>
      </c>
      <c r="C415" s="37">
        <v>92.7</v>
      </c>
      <c r="D415" s="39">
        <f>1-([1]!Cost_of_Living[[#This Row],[Cost of Living Index]]-MIN([1]!Cost_of_Living[Cost of Living Index]))/(MAX([1]!Cost_of_Living[Cost of Living Index])-MIN([1]!Cost_of_Living[Cost of Living Index]))</f>
        <v>0.78375912408759119</v>
      </c>
    </row>
    <row r="416" spans="1:4">
      <c r="A416" s="36" t="s">
        <v>249</v>
      </c>
      <c r="B416" s="36" t="s">
        <v>851</v>
      </c>
      <c r="C416" s="37">
        <v>92.7</v>
      </c>
      <c r="D416" s="39">
        <f>1-([1]!Cost_of_Living[[#This Row],[Cost of Living Index]]-MIN([1]!Cost_of_Living[Cost of Living Index]))/(MAX([1]!Cost_of_Living[Cost of Living Index])-MIN([1]!Cost_of_Living[Cost of Living Index]))</f>
        <v>0.78375912408759119</v>
      </c>
    </row>
    <row r="417" spans="1:4">
      <c r="A417" s="36" t="s">
        <v>56</v>
      </c>
      <c r="B417" s="36" t="s">
        <v>851</v>
      </c>
      <c r="C417" s="37">
        <v>92.3</v>
      </c>
      <c r="D417" s="39">
        <f>1-([1]!Cost_of_Living[[#This Row],[Cost of Living Index]]-MIN([1]!Cost_of_Living[Cost of Living Index]))/(MAX([1]!Cost_of_Living[Cost of Living Index])-MIN([1]!Cost_of_Living[Cost of Living Index]))</f>
        <v>0.78740875912408759</v>
      </c>
    </row>
    <row r="418" spans="1:4">
      <c r="A418" s="36" t="s">
        <v>639</v>
      </c>
      <c r="B418" s="36" t="s">
        <v>851</v>
      </c>
      <c r="C418" s="37">
        <v>91.3</v>
      </c>
      <c r="D418" s="39">
        <f>1-([1]!Cost_of_Living[[#This Row],[Cost of Living Index]]-MIN([1]!Cost_of_Living[Cost of Living Index]))/(MAX([1]!Cost_of_Living[Cost of Living Index])-MIN([1]!Cost_of_Living[Cost of Living Index]))</f>
        <v>0.79653284671532854</v>
      </c>
    </row>
    <row r="419" spans="1:4">
      <c r="A419" s="36" t="s">
        <v>351</v>
      </c>
      <c r="B419" s="36" t="s">
        <v>851</v>
      </c>
      <c r="C419" s="37">
        <v>91.2</v>
      </c>
      <c r="D419" s="39">
        <f>1-([1]!Cost_of_Living[[#This Row],[Cost of Living Index]]-MIN([1]!Cost_of_Living[Cost of Living Index]))/(MAX([1]!Cost_of_Living[Cost of Living Index])-MIN([1]!Cost_of_Living[Cost of Living Index]))</f>
        <v>0.79744525547445255</v>
      </c>
    </row>
    <row r="420" spans="1:4">
      <c r="A420" s="36" t="s">
        <v>520</v>
      </c>
      <c r="B420" s="36" t="s">
        <v>851</v>
      </c>
      <c r="C420" s="37">
        <v>90.7</v>
      </c>
      <c r="D420" s="39">
        <f>1-([1]!Cost_of_Living[[#This Row],[Cost of Living Index]]-MIN([1]!Cost_of_Living[Cost of Living Index]))/(MAX([1]!Cost_of_Living[Cost of Living Index])-MIN([1]!Cost_of_Living[Cost of Living Index]))</f>
        <v>0.80200729927007297</v>
      </c>
    </row>
    <row r="421" spans="1:4">
      <c r="A421" s="36" t="s">
        <v>577</v>
      </c>
      <c r="B421" s="36" t="s">
        <v>851</v>
      </c>
      <c r="C421" s="37">
        <v>90.1</v>
      </c>
      <c r="D421" s="39">
        <f>1-([1]!Cost_of_Living[[#This Row],[Cost of Living Index]]-MIN([1]!Cost_of_Living[Cost of Living Index]))/(MAX([1]!Cost_of_Living[Cost of Living Index])-MIN([1]!Cost_of_Living[Cost of Living Index]))</f>
        <v>0.80748175182481763</v>
      </c>
    </row>
    <row r="422" spans="1:4">
      <c r="A422" s="36" t="s">
        <v>611</v>
      </c>
      <c r="B422" s="36" t="s">
        <v>851</v>
      </c>
      <c r="C422" s="37">
        <v>89.9</v>
      </c>
      <c r="D422" s="39">
        <f>1-([1]!Cost_of_Living[[#This Row],[Cost of Living Index]]-MIN([1]!Cost_of_Living[Cost of Living Index]))/(MAX([1]!Cost_of_Living[Cost of Living Index])-MIN([1]!Cost_of_Living[Cost of Living Index]))</f>
        <v>0.80930656934306566</v>
      </c>
    </row>
    <row r="423" spans="1:4">
      <c r="A423" s="36" t="s">
        <v>404</v>
      </c>
      <c r="B423" s="36" t="s">
        <v>851</v>
      </c>
      <c r="C423" s="37">
        <v>89.6</v>
      </c>
      <c r="D423" s="39">
        <f>1-([1]!Cost_of_Living[[#This Row],[Cost of Living Index]]-MIN([1]!Cost_of_Living[Cost of Living Index]))/(MAX([1]!Cost_of_Living[Cost of Living Index])-MIN([1]!Cost_of_Living[Cost of Living Index]))</f>
        <v>0.81204379562043805</v>
      </c>
    </row>
    <row r="424" spans="1:4">
      <c r="A424" s="36" t="s">
        <v>634</v>
      </c>
      <c r="B424" s="36" t="s">
        <v>851</v>
      </c>
      <c r="C424" s="37">
        <v>89.5</v>
      </c>
      <c r="D424" s="39">
        <f>1-([1]!Cost_of_Living[[#This Row],[Cost of Living Index]]-MIN([1]!Cost_of_Living[Cost of Living Index]))/(MAX([1]!Cost_of_Living[Cost of Living Index])-MIN([1]!Cost_of_Living[Cost of Living Index]))</f>
        <v>0.81295620437956206</v>
      </c>
    </row>
    <row r="425" spans="1:4">
      <c r="A425" s="36" t="s">
        <v>187</v>
      </c>
      <c r="B425" s="36" t="s">
        <v>851</v>
      </c>
      <c r="C425" s="37">
        <v>89.5</v>
      </c>
      <c r="D425" s="39">
        <f>1-([1]!Cost_of_Living[[#This Row],[Cost of Living Index]]-MIN([1]!Cost_of_Living[Cost of Living Index]))/(MAX([1]!Cost_of_Living[Cost of Living Index])-MIN([1]!Cost_of_Living[Cost of Living Index]))</f>
        <v>0.81295620437956206</v>
      </c>
    </row>
    <row r="426" spans="1:4">
      <c r="A426" s="36" t="s">
        <v>488</v>
      </c>
      <c r="B426" s="36" t="s">
        <v>851</v>
      </c>
      <c r="C426" s="37">
        <v>89.1</v>
      </c>
      <c r="D426" s="39">
        <f>1-([1]!Cost_of_Living[[#This Row],[Cost of Living Index]]-MIN([1]!Cost_of_Living[Cost of Living Index]))/(MAX([1]!Cost_of_Living[Cost of Living Index])-MIN([1]!Cost_of_Living[Cost of Living Index]))</f>
        <v>0.81660583941605847</v>
      </c>
    </row>
    <row r="427" spans="1:4">
      <c r="A427" s="36" t="s">
        <v>193</v>
      </c>
      <c r="B427" s="36" t="s">
        <v>851</v>
      </c>
      <c r="C427" s="37">
        <v>88.8</v>
      </c>
      <c r="D427" s="39">
        <f>1-([1]!Cost_of_Living[[#This Row],[Cost of Living Index]]-MIN([1]!Cost_of_Living[Cost of Living Index]))/(MAX([1]!Cost_of_Living[Cost of Living Index])-MIN([1]!Cost_of_Living[Cost of Living Index]))</f>
        <v>0.81934306569343063</v>
      </c>
    </row>
    <row r="428" spans="1:4">
      <c r="A428" s="36" t="s">
        <v>352</v>
      </c>
      <c r="B428" s="36" t="s">
        <v>851</v>
      </c>
      <c r="C428" s="37">
        <v>88.6</v>
      </c>
      <c r="D428" s="39">
        <f>1-([1]!Cost_of_Living[[#This Row],[Cost of Living Index]]-MIN([1]!Cost_of_Living[Cost of Living Index]))/(MAX([1]!Cost_of_Living[Cost of Living Index])-MIN([1]!Cost_of_Living[Cost of Living Index]))</f>
        <v>0.82116788321167888</v>
      </c>
    </row>
    <row r="429" spans="1:4">
      <c r="A429" s="36" t="s">
        <v>282</v>
      </c>
      <c r="B429" s="36" t="s">
        <v>851</v>
      </c>
      <c r="C429" s="37">
        <v>88.6</v>
      </c>
      <c r="D429" s="39">
        <f>1-([1]!Cost_of_Living[[#This Row],[Cost of Living Index]]-MIN([1]!Cost_of_Living[Cost of Living Index]))/(MAX([1]!Cost_of_Living[Cost of Living Index])-MIN([1]!Cost_of_Living[Cost of Living Index]))</f>
        <v>0.82116788321167888</v>
      </c>
    </row>
    <row r="430" spans="1:4">
      <c r="A430" s="36" t="s">
        <v>2484</v>
      </c>
      <c r="B430" s="36" t="s">
        <v>851</v>
      </c>
      <c r="C430" s="37">
        <v>88.6</v>
      </c>
      <c r="D430" s="39">
        <f>1-([1]!Cost_of_Living[[#This Row],[Cost of Living Index]]-MIN([1]!Cost_of_Living[Cost of Living Index]))/(MAX([1]!Cost_of_Living[Cost of Living Index])-MIN([1]!Cost_of_Living[Cost of Living Index]))</f>
        <v>0.82116788321167888</v>
      </c>
    </row>
    <row r="431" spans="1:4">
      <c r="A431" s="36" t="s">
        <v>658</v>
      </c>
      <c r="B431" s="36" t="s">
        <v>851</v>
      </c>
      <c r="C431" s="37">
        <v>88.5</v>
      </c>
      <c r="D431" s="39">
        <f>1-([1]!Cost_of_Living[[#This Row],[Cost of Living Index]]-MIN([1]!Cost_of_Living[Cost of Living Index]))/(MAX([1]!Cost_of_Living[Cost of Living Index])-MIN([1]!Cost_of_Living[Cost of Living Index]))</f>
        <v>0.8220802919708029</v>
      </c>
    </row>
    <row r="432" spans="1:4">
      <c r="A432" s="36" t="s">
        <v>2485</v>
      </c>
      <c r="B432" s="36" t="s">
        <v>851</v>
      </c>
      <c r="C432" s="37">
        <v>88.2</v>
      </c>
      <c r="D432" s="39">
        <f>1-([1]!Cost_of_Living[[#This Row],[Cost of Living Index]]-MIN([1]!Cost_of_Living[Cost of Living Index]))/(MAX([1]!Cost_of_Living[Cost of Living Index])-MIN([1]!Cost_of_Living[Cost of Living Index]))</f>
        <v>0.82481751824817517</v>
      </c>
    </row>
    <row r="433" spans="1:4">
      <c r="A433" s="36" t="s">
        <v>2486</v>
      </c>
      <c r="B433" s="36" t="s">
        <v>851</v>
      </c>
      <c r="C433" s="37">
        <v>88.2</v>
      </c>
      <c r="D433" s="39">
        <f>1-([1]!Cost_of_Living[[#This Row],[Cost of Living Index]]-MIN([1]!Cost_of_Living[Cost of Living Index]))/(MAX([1]!Cost_of_Living[Cost of Living Index])-MIN([1]!Cost_of_Living[Cost of Living Index]))</f>
        <v>0.82481751824817517</v>
      </c>
    </row>
    <row r="434" spans="1:4">
      <c r="A434" s="36" t="s">
        <v>2487</v>
      </c>
      <c r="B434" s="36" t="s">
        <v>851</v>
      </c>
      <c r="C434" s="37">
        <v>87.8</v>
      </c>
      <c r="D434" s="39">
        <f>1-([1]!Cost_of_Living[[#This Row],[Cost of Living Index]]-MIN([1]!Cost_of_Living[Cost of Living Index]))/(MAX([1]!Cost_of_Living[Cost of Living Index])-MIN([1]!Cost_of_Living[Cost of Living Index]))</f>
        <v>0.82846715328467158</v>
      </c>
    </row>
    <row r="435" spans="1:4">
      <c r="A435" s="36" t="s">
        <v>699</v>
      </c>
      <c r="B435" s="36" t="s">
        <v>851</v>
      </c>
      <c r="C435" s="37">
        <v>86.3</v>
      </c>
      <c r="D435" s="39">
        <f>1-([1]!Cost_of_Living[[#This Row],[Cost of Living Index]]-MIN([1]!Cost_of_Living[Cost of Living Index]))/(MAX([1]!Cost_of_Living[Cost of Living Index])-MIN([1]!Cost_of_Living[Cost of Living Index]))</f>
        <v>0.84215328467153283</v>
      </c>
    </row>
    <row r="436" spans="1:4">
      <c r="A436" s="36" t="s">
        <v>656</v>
      </c>
      <c r="B436" s="36" t="s">
        <v>851</v>
      </c>
      <c r="C436" s="37">
        <v>86</v>
      </c>
      <c r="D436" s="39">
        <f>1-([1]!Cost_of_Living[[#This Row],[Cost of Living Index]]-MIN([1]!Cost_of_Living[Cost of Living Index]))/(MAX([1]!Cost_of_Living[Cost of Living Index])-MIN([1]!Cost_of_Living[Cost of Living Index]))</f>
        <v>0.8448905109489051</v>
      </c>
    </row>
    <row r="437" spans="1:4">
      <c r="A437" s="36" t="s">
        <v>590</v>
      </c>
      <c r="B437" s="36" t="s">
        <v>851</v>
      </c>
      <c r="C437" s="37">
        <v>85.7</v>
      </c>
      <c r="D437" s="39">
        <f>1-([1]!Cost_of_Living[[#This Row],[Cost of Living Index]]-MIN([1]!Cost_of_Living[Cost of Living Index]))/(MAX([1]!Cost_of_Living[Cost of Living Index])-MIN([1]!Cost_of_Living[Cost of Living Index]))</f>
        <v>0.84762773722627738</v>
      </c>
    </row>
    <row r="438" spans="1:4">
      <c r="A438" s="36" t="s">
        <v>66</v>
      </c>
      <c r="B438" s="36" t="s">
        <v>950</v>
      </c>
      <c r="C438" s="37">
        <v>105.9</v>
      </c>
      <c r="D438" s="39">
        <f>1-([1]!Cost_of_Living[[#This Row],[Cost of Living Index]]-MIN([1]!Cost_of_Living[Cost of Living Index]))/(MAX([1]!Cost_of_Living[Cost of Living Index])-MIN([1]!Cost_of_Living[Cost of Living Index]))</f>
        <v>0.6633211678832116</v>
      </c>
    </row>
    <row r="439" spans="1:4">
      <c r="A439" s="36" t="s">
        <v>83</v>
      </c>
      <c r="B439" s="36" t="s">
        <v>950</v>
      </c>
      <c r="C439" s="37">
        <v>100.9</v>
      </c>
      <c r="D439" s="39">
        <f>1-([1]!Cost_of_Living[[#This Row],[Cost of Living Index]]-MIN([1]!Cost_of_Living[Cost of Living Index]))/(MAX([1]!Cost_of_Living[Cost of Living Index])-MIN([1]!Cost_of_Living[Cost of Living Index]))</f>
        <v>0.70894160583941601</v>
      </c>
    </row>
    <row r="440" spans="1:4">
      <c r="A440" s="36" t="s">
        <v>809</v>
      </c>
      <c r="B440" s="36" t="s">
        <v>950</v>
      </c>
      <c r="C440" s="37">
        <v>99.8</v>
      </c>
      <c r="D440" s="39">
        <f>1-([1]!Cost_of_Living[[#This Row],[Cost of Living Index]]-MIN([1]!Cost_of_Living[Cost of Living Index]))/(MAX([1]!Cost_of_Living[Cost of Living Index])-MIN([1]!Cost_of_Living[Cost of Living Index]))</f>
        <v>0.71897810218978098</v>
      </c>
    </row>
    <row r="441" spans="1:4">
      <c r="A441" s="36" t="s">
        <v>563</v>
      </c>
      <c r="B441" s="36" t="s">
        <v>950</v>
      </c>
      <c r="C441" s="37">
        <v>98</v>
      </c>
      <c r="D441" s="39">
        <f>1-([1]!Cost_of_Living[[#This Row],[Cost of Living Index]]-MIN([1]!Cost_of_Living[Cost of Living Index]))/(MAX([1]!Cost_of_Living[Cost of Living Index])-MIN([1]!Cost_of_Living[Cost of Living Index]))</f>
        <v>0.73540145985401462</v>
      </c>
    </row>
    <row r="442" spans="1:4">
      <c r="A442" s="36" t="s">
        <v>786</v>
      </c>
      <c r="B442" s="36" t="s">
        <v>950</v>
      </c>
      <c r="C442" s="37">
        <v>95.2</v>
      </c>
      <c r="D442" s="39">
        <f>1-([1]!Cost_of_Living[[#This Row],[Cost of Living Index]]-MIN([1]!Cost_of_Living[Cost of Living Index]))/(MAX([1]!Cost_of_Living[Cost of Living Index])-MIN([1]!Cost_of_Living[Cost of Living Index]))</f>
        <v>0.76094890510948898</v>
      </c>
    </row>
    <row r="443" spans="1:4">
      <c r="A443" s="36" t="s">
        <v>759</v>
      </c>
      <c r="B443" s="36" t="s">
        <v>943</v>
      </c>
      <c r="C443" s="37">
        <v>102.1</v>
      </c>
      <c r="D443" s="39">
        <f>1-([1]!Cost_of_Living[[#This Row],[Cost of Living Index]]-MIN([1]!Cost_of_Living[Cost of Living Index]))/(MAX([1]!Cost_of_Living[Cost of Living Index])-MIN([1]!Cost_of_Living[Cost of Living Index]))</f>
        <v>0.69799270072992703</v>
      </c>
    </row>
    <row r="444" spans="1:4">
      <c r="A444" s="36" t="s">
        <v>165</v>
      </c>
      <c r="B444" s="36" t="s">
        <v>943</v>
      </c>
      <c r="C444" s="37">
        <v>99.2</v>
      </c>
      <c r="D444" s="39">
        <f>1-([1]!Cost_of_Living[[#This Row],[Cost of Living Index]]-MIN([1]!Cost_of_Living[Cost of Living Index]))/(MAX([1]!Cost_of_Living[Cost of Living Index])-MIN([1]!Cost_of_Living[Cost of Living Index]))</f>
        <v>0.72445255474452552</v>
      </c>
    </row>
    <row r="445" spans="1:4">
      <c r="A445" s="36" t="s">
        <v>479</v>
      </c>
      <c r="B445" s="36" t="s">
        <v>943</v>
      </c>
      <c r="C445" s="37">
        <v>99</v>
      </c>
      <c r="D445" s="39">
        <f>1-([1]!Cost_of_Living[[#This Row],[Cost of Living Index]]-MIN([1]!Cost_of_Living[Cost of Living Index]))/(MAX([1]!Cost_of_Living[Cost of Living Index])-MIN([1]!Cost_of_Living[Cost of Living Index]))</f>
        <v>0.72627737226277378</v>
      </c>
    </row>
    <row r="446" spans="1:4">
      <c r="A446" s="36" t="s">
        <v>581</v>
      </c>
      <c r="B446" s="36" t="s">
        <v>943</v>
      </c>
      <c r="C446" s="37">
        <v>97.2</v>
      </c>
      <c r="D446" s="39">
        <f>1-([1]!Cost_of_Living[[#This Row],[Cost of Living Index]]-MIN([1]!Cost_of_Living[Cost of Living Index]))/(MAX([1]!Cost_of_Living[Cost of Living Index])-MIN([1]!Cost_of_Living[Cost of Living Index]))</f>
        <v>0.7427007299270072</v>
      </c>
    </row>
    <row r="447" spans="1:4">
      <c r="A447" s="36" t="s">
        <v>254</v>
      </c>
      <c r="B447" s="36" t="s">
        <v>943</v>
      </c>
      <c r="C447" s="37">
        <v>95.5</v>
      </c>
      <c r="D447" s="39">
        <f>1-([1]!Cost_of_Living[[#This Row],[Cost of Living Index]]-MIN([1]!Cost_of_Living[Cost of Living Index]))/(MAX([1]!Cost_of_Living[Cost of Living Index])-MIN([1]!Cost_of_Living[Cost of Living Index]))</f>
        <v>0.75821167883211671</v>
      </c>
    </row>
    <row r="448" spans="1:4">
      <c r="A448" s="36" t="s">
        <v>80</v>
      </c>
      <c r="B448" s="36" t="s">
        <v>943</v>
      </c>
      <c r="C448" s="37">
        <v>94.5</v>
      </c>
      <c r="D448" s="39">
        <f>1-([1]!Cost_of_Living[[#This Row],[Cost of Living Index]]-MIN([1]!Cost_of_Living[Cost of Living Index]))/(MAX([1]!Cost_of_Living[Cost of Living Index])-MIN([1]!Cost_of_Living[Cost of Living Index]))</f>
        <v>0.76733576642335766</v>
      </c>
    </row>
    <row r="449" spans="1:4">
      <c r="A449" s="36" t="s">
        <v>662</v>
      </c>
      <c r="B449" s="36" t="s">
        <v>943</v>
      </c>
      <c r="C449" s="37">
        <v>94.5</v>
      </c>
      <c r="D449" s="39">
        <f>1-([1]!Cost_of_Living[[#This Row],[Cost of Living Index]]-MIN([1]!Cost_of_Living[Cost of Living Index]))/(MAX([1]!Cost_of_Living[Cost of Living Index])-MIN([1]!Cost_of_Living[Cost of Living Index]))</f>
        <v>0.76733576642335766</v>
      </c>
    </row>
    <row r="450" spans="1:4">
      <c r="A450" s="36" t="s">
        <v>624</v>
      </c>
      <c r="B450" s="36" t="s">
        <v>943</v>
      </c>
      <c r="C450" s="37">
        <v>94.1</v>
      </c>
      <c r="D450" s="39">
        <f>1-([1]!Cost_of_Living[[#This Row],[Cost of Living Index]]-MIN([1]!Cost_of_Living[Cost of Living Index]))/(MAX([1]!Cost_of_Living[Cost of Living Index])-MIN([1]!Cost_of_Living[Cost of Living Index]))</f>
        <v>0.77098540145985406</v>
      </c>
    </row>
    <row r="451" spans="1:4">
      <c r="A451" s="36" t="s">
        <v>211</v>
      </c>
      <c r="B451" s="36" t="s">
        <v>943</v>
      </c>
      <c r="C451" s="37">
        <v>93.6</v>
      </c>
      <c r="D451" s="39">
        <f>1-([1]!Cost_of_Living[[#This Row],[Cost of Living Index]]-MIN([1]!Cost_of_Living[Cost of Living Index]))/(MAX([1]!Cost_of_Living[Cost of Living Index])-MIN([1]!Cost_of_Living[Cost of Living Index]))</f>
        <v>0.77554744525547448</v>
      </c>
    </row>
    <row r="452" spans="1:4">
      <c r="A452" s="36" t="s">
        <v>569</v>
      </c>
      <c r="B452" s="36" t="s">
        <v>943</v>
      </c>
      <c r="C452" s="37">
        <v>87.1</v>
      </c>
      <c r="D452" s="39">
        <f>1-([1]!Cost_of_Living[[#This Row],[Cost of Living Index]]-MIN([1]!Cost_of_Living[Cost of Living Index]))/(MAX([1]!Cost_of_Living[Cost of Living Index])-MIN([1]!Cost_of_Living[Cost of Living Index]))</f>
        <v>0.83485401459854014</v>
      </c>
    </row>
    <row r="453" spans="1:4">
      <c r="A453" s="36" t="s">
        <v>2488</v>
      </c>
      <c r="B453" s="36" t="s">
        <v>943</v>
      </c>
      <c r="C453" s="37">
        <v>85</v>
      </c>
      <c r="D453" s="39">
        <f>1-([1]!Cost_of_Living[[#This Row],[Cost of Living Index]]-MIN([1]!Cost_of_Living[Cost of Living Index]))/(MAX([1]!Cost_of_Living[Cost of Living Index])-MIN([1]!Cost_of_Living[Cost of Living Index]))</f>
        <v>0.85401459854014594</v>
      </c>
    </row>
    <row r="454" spans="1:4">
      <c r="A454" s="36" t="s">
        <v>158</v>
      </c>
      <c r="B454" s="36" t="s">
        <v>1004</v>
      </c>
      <c r="C454" s="37">
        <v>112.8</v>
      </c>
      <c r="D454" s="39">
        <f>1-([1]!Cost_of_Living[[#This Row],[Cost of Living Index]]-MIN([1]!Cost_of_Living[Cost of Living Index]))/(MAX([1]!Cost_of_Living[Cost of Living Index])-MIN([1]!Cost_of_Living[Cost of Living Index]))</f>
        <v>0.60036496350364965</v>
      </c>
    </row>
    <row r="455" spans="1:4">
      <c r="A455" s="36" t="s">
        <v>2489</v>
      </c>
      <c r="B455" s="36" t="s">
        <v>979</v>
      </c>
      <c r="C455" s="37">
        <v>125.2</v>
      </c>
      <c r="D455" s="39">
        <f>1-([1]!Cost_of_Living[[#This Row],[Cost of Living Index]]-MIN([1]!Cost_of_Living[Cost of Living Index]))/(MAX([1]!Cost_of_Living[Cost of Living Index])-MIN([1]!Cost_of_Living[Cost of Living Index]))</f>
        <v>0.48722627737226276</v>
      </c>
    </row>
    <row r="456" spans="1:4">
      <c r="A456" s="36" t="s">
        <v>346</v>
      </c>
      <c r="B456" s="36" t="s">
        <v>979</v>
      </c>
      <c r="C456" s="37">
        <v>124.6</v>
      </c>
      <c r="D456" s="39">
        <f>1-([1]!Cost_of_Living[[#This Row],[Cost of Living Index]]-MIN([1]!Cost_of_Living[Cost of Living Index]))/(MAX([1]!Cost_of_Living[Cost of Living Index])-MIN([1]!Cost_of_Living[Cost of Living Index]))</f>
        <v>0.49270072992700731</v>
      </c>
    </row>
    <row r="457" spans="1:4">
      <c r="A457" s="36" t="s">
        <v>2490</v>
      </c>
      <c r="B457" s="36" t="s">
        <v>979</v>
      </c>
      <c r="C457" s="37">
        <v>115</v>
      </c>
      <c r="D457" s="39">
        <f>1-([1]!Cost_of_Living[[#This Row],[Cost of Living Index]]-MIN([1]!Cost_of_Living[Cost of Living Index]))/(MAX([1]!Cost_of_Living[Cost of Living Index])-MIN([1]!Cost_of_Living[Cost of Living Index]))</f>
        <v>0.58029197080291972</v>
      </c>
    </row>
    <row r="458" spans="1:4">
      <c r="A458" s="36" t="s">
        <v>263</v>
      </c>
      <c r="B458" s="36" t="s">
        <v>979</v>
      </c>
      <c r="C458" s="37">
        <v>111.6</v>
      </c>
      <c r="D458" s="39">
        <f>1-([1]!Cost_of_Living[[#This Row],[Cost of Living Index]]-MIN([1]!Cost_of_Living[Cost of Living Index]))/(MAX([1]!Cost_of_Living[Cost of Living Index])-MIN([1]!Cost_of_Living[Cost of Living Index]))</f>
        <v>0.61131386861313874</v>
      </c>
    </row>
    <row r="459" spans="1:4">
      <c r="A459" s="36" t="s">
        <v>391</v>
      </c>
      <c r="B459" s="36" t="s">
        <v>979</v>
      </c>
      <c r="C459" s="37">
        <v>110.9</v>
      </c>
      <c r="D459" s="39">
        <f>1-([1]!Cost_of_Living[[#This Row],[Cost of Living Index]]-MIN([1]!Cost_of_Living[Cost of Living Index]))/(MAX([1]!Cost_of_Living[Cost of Living Index])-MIN([1]!Cost_of_Living[Cost of Living Index]))</f>
        <v>0.6177007299270072</v>
      </c>
    </row>
    <row r="460" spans="1:4">
      <c r="A460" s="36" t="s">
        <v>564</v>
      </c>
      <c r="B460" s="36" t="s">
        <v>979</v>
      </c>
      <c r="C460" s="37">
        <v>110.1</v>
      </c>
      <c r="D460" s="39">
        <f>1-([1]!Cost_of_Living[[#This Row],[Cost of Living Index]]-MIN([1]!Cost_of_Living[Cost of Living Index]))/(MAX([1]!Cost_of_Living[Cost of Living Index])-MIN([1]!Cost_of_Living[Cost of Living Index]))</f>
        <v>0.625</v>
      </c>
    </row>
    <row r="461" spans="1:4">
      <c r="A461" s="36" t="s">
        <v>2491</v>
      </c>
      <c r="B461" s="36" t="s">
        <v>979</v>
      </c>
      <c r="C461" s="37">
        <v>109.6</v>
      </c>
      <c r="D461" s="39">
        <f>1-([1]!Cost_of_Living[[#This Row],[Cost of Living Index]]-MIN([1]!Cost_of_Living[Cost of Living Index]))/(MAX([1]!Cost_of_Living[Cost of Living Index])-MIN([1]!Cost_of_Living[Cost of Living Index]))</f>
        <v>0.62956204379562042</v>
      </c>
    </row>
    <row r="462" spans="1:4">
      <c r="A462" s="36" t="s">
        <v>2492</v>
      </c>
      <c r="B462" s="36" t="s">
        <v>979</v>
      </c>
      <c r="C462" s="37">
        <v>109.1</v>
      </c>
      <c r="D462" s="39">
        <f>1-([1]!Cost_of_Living[[#This Row],[Cost of Living Index]]-MIN([1]!Cost_of_Living[Cost of Living Index]))/(MAX([1]!Cost_of_Living[Cost of Living Index])-MIN([1]!Cost_of_Living[Cost of Living Index]))</f>
        <v>0.63412408759124084</v>
      </c>
    </row>
    <row r="463" spans="1:4">
      <c r="A463" s="36" t="s">
        <v>2493</v>
      </c>
      <c r="B463" s="36" t="s">
        <v>979</v>
      </c>
      <c r="C463" s="37">
        <v>106.6</v>
      </c>
      <c r="D463" s="39">
        <f>1-([1]!Cost_of_Living[[#This Row],[Cost of Living Index]]-MIN([1]!Cost_of_Living[Cost of Living Index]))/(MAX([1]!Cost_of_Living[Cost of Living Index])-MIN([1]!Cost_of_Living[Cost of Living Index]))</f>
        <v>0.65693430656934315</v>
      </c>
    </row>
    <row r="464" spans="1:4">
      <c r="A464" s="36" t="s">
        <v>717</v>
      </c>
      <c r="B464" s="36" t="s">
        <v>979</v>
      </c>
      <c r="C464" s="37">
        <v>103.3</v>
      </c>
      <c r="D464" s="39">
        <f>1-([1]!Cost_of_Living[[#This Row],[Cost of Living Index]]-MIN([1]!Cost_of_Living[Cost of Living Index]))/(MAX([1]!Cost_of_Living[Cost of Living Index])-MIN([1]!Cost_of_Living[Cost of Living Index]))</f>
        <v>0.68704379562043805</v>
      </c>
    </row>
    <row r="465" spans="1:4">
      <c r="A465" s="36" t="s">
        <v>658</v>
      </c>
      <c r="B465" s="36" t="s">
        <v>979</v>
      </c>
      <c r="C465" s="37">
        <v>101.6</v>
      </c>
      <c r="D465" s="39">
        <f>1-([1]!Cost_of_Living[[#This Row],[Cost of Living Index]]-MIN([1]!Cost_of_Living[Cost of Living Index]))/(MAX([1]!Cost_of_Living[Cost of Living Index])-MIN([1]!Cost_of_Living[Cost of Living Index]))</f>
        <v>0.70255474452554756</v>
      </c>
    </row>
    <row r="466" spans="1:4">
      <c r="A466" s="36" t="s">
        <v>453</v>
      </c>
      <c r="B466" s="36" t="s">
        <v>979</v>
      </c>
      <c r="C466" s="37">
        <v>100.9</v>
      </c>
      <c r="D466" s="39">
        <f>1-([1]!Cost_of_Living[[#This Row],[Cost of Living Index]]-MIN([1]!Cost_of_Living[Cost of Living Index]))/(MAX([1]!Cost_of_Living[Cost of Living Index])-MIN([1]!Cost_of_Living[Cost of Living Index]))</f>
        <v>0.70894160583941601</v>
      </c>
    </row>
    <row r="467" spans="1:4">
      <c r="A467" s="36" t="s">
        <v>403</v>
      </c>
      <c r="B467" s="36" t="s">
        <v>979</v>
      </c>
      <c r="C467" s="37">
        <v>100.4</v>
      </c>
      <c r="D467" s="39">
        <f>1-([1]!Cost_of_Living[[#This Row],[Cost of Living Index]]-MIN([1]!Cost_of_Living[Cost of Living Index]))/(MAX([1]!Cost_of_Living[Cost of Living Index])-MIN([1]!Cost_of_Living[Cost of Living Index]))</f>
        <v>0.71350364963503643</v>
      </c>
    </row>
    <row r="468" spans="1:4">
      <c r="A468" s="36" t="s">
        <v>2494</v>
      </c>
      <c r="B468" s="36" t="s">
        <v>979</v>
      </c>
      <c r="C468" s="37">
        <v>99.7</v>
      </c>
      <c r="D468" s="39">
        <f>1-([1]!Cost_of_Living[[#This Row],[Cost of Living Index]]-MIN([1]!Cost_of_Living[Cost of Living Index]))/(MAX([1]!Cost_of_Living[Cost of Living Index])-MIN([1]!Cost_of_Living[Cost of Living Index]))</f>
        <v>0.7198905109489051</v>
      </c>
    </row>
    <row r="469" spans="1:4">
      <c r="A469" s="36" t="s">
        <v>613</v>
      </c>
      <c r="B469" s="36" t="s">
        <v>979</v>
      </c>
      <c r="C469" s="37">
        <v>97.6</v>
      </c>
      <c r="D469" s="39">
        <f>1-([1]!Cost_of_Living[[#This Row],[Cost of Living Index]]-MIN([1]!Cost_of_Living[Cost of Living Index]))/(MAX([1]!Cost_of_Living[Cost of Living Index])-MIN([1]!Cost_of_Living[Cost of Living Index]))</f>
        <v>0.73905109489051091</v>
      </c>
    </row>
    <row r="470" spans="1:4">
      <c r="A470" s="36" t="s">
        <v>2495</v>
      </c>
      <c r="B470" s="36" t="s">
        <v>979</v>
      </c>
      <c r="C470" s="37">
        <v>97.5</v>
      </c>
      <c r="D470" s="39">
        <f>1-([1]!Cost_of_Living[[#This Row],[Cost of Living Index]]-MIN([1]!Cost_of_Living[Cost of Living Index]))/(MAX([1]!Cost_of_Living[Cost of Living Index])-MIN([1]!Cost_of_Living[Cost of Living Index]))</f>
        <v>0.73996350364963503</v>
      </c>
    </row>
    <row r="471" spans="1:4">
      <c r="A471" s="36" t="s">
        <v>2496</v>
      </c>
      <c r="B471" s="36" t="s">
        <v>979</v>
      </c>
      <c r="C471" s="37">
        <v>95.7</v>
      </c>
      <c r="D471" s="39">
        <f>1-([1]!Cost_of_Living[[#This Row],[Cost of Living Index]]-MIN([1]!Cost_of_Living[Cost of Living Index]))/(MAX([1]!Cost_of_Living[Cost of Living Index])-MIN([1]!Cost_of_Living[Cost of Living Index]))</f>
        <v>0.75638686131386856</v>
      </c>
    </row>
    <row r="472" spans="1:4">
      <c r="A472" s="36" t="s">
        <v>21</v>
      </c>
      <c r="B472" s="36" t="s">
        <v>1000</v>
      </c>
      <c r="C472" s="37">
        <v>99.5</v>
      </c>
      <c r="D472" s="39">
        <f>1-([1]!Cost_of_Living[[#This Row],[Cost of Living Index]]-MIN([1]!Cost_of_Living[Cost of Living Index]))/(MAX([1]!Cost_of_Living[Cost of Living Index])-MIN([1]!Cost_of_Living[Cost of Living Index]))</f>
        <v>0.72171532846715325</v>
      </c>
    </row>
    <row r="473" spans="1:4">
      <c r="A473" s="36" t="s">
        <v>441</v>
      </c>
      <c r="B473" s="36" t="s">
        <v>1000</v>
      </c>
      <c r="C473" s="37">
        <v>97.7</v>
      </c>
      <c r="D473" s="39">
        <f>1-([1]!Cost_of_Living[[#This Row],[Cost of Living Index]]-MIN([1]!Cost_of_Living[Cost of Living Index]))/(MAX([1]!Cost_of_Living[Cost of Living Index])-MIN([1]!Cost_of_Living[Cost of Living Index]))</f>
        <v>0.73813868613138678</v>
      </c>
    </row>
    <row r="474" spans="1:4">
      <c r="A474" s="36" t="s">
        <v>711</v>
      </c>
      <c r="B474" s="36" t="s">
        <v>1000</v>
      </c>
      <c r="C474" s="37">
        <v>97.1</v>
      </c>
      <c r="D474" s="39">
        <f>1-([1]!Cost_of_Living[[#This Row],[Cost of Living Index]]-MIN([1]!Cost_of_Living[Cost of Living Index]))/(MAX([1]!Cost_of_Living[Cost of Living Index])-MIN([1]!Cost_of_Living[Cost of Living Index]))</f>
        <v>0.74361313868613144</v>
      </c>
    </row>
    <row r="475" spans="1:4">
      <c r="A475" s="36" t="s">
        <v>200</v>
      </c>
      <c r="B475" s="36" t="s">
        <v>1000</v>
      </c>
      <c r="C475" s="37">
        <v>93.8</v>
      </c>
      <c r="D475" s="39">
        <f>1-([1]!Cost_of_Living[[#This Row],[Cost of Living Index]]-MIN([1]!Cost_of_Living[Cost of Living Index]))/(MAX([1]!Cost_of_Living[Cost of Living Index])-MIN([1]!Cost_of_Living[Cost of Living Index]))</f>
        <v>0.77372262773722633</v>
      </c>
    </row>
    <row r="476" spans="1:4">
      <c r="A476" s="36" t="s">
        <v>2497</v>
      </c>
      <c r="B476" s="36" t="s">
        <v>1000</v>
      </c>
      <c r="C476" s="37">
        <v>92.9</v>
      </c>
      <c r="D476" s="39">
        <f>1-([1]!Cost_of_Living[[#This Row],[Cost of Living Index]]-MIN([1]!Cost_of_Living[Cost of Living Index]))/(MAX([1]!Cost_of_Living[Cost of Living Index])-MIN([1]!Cost_of_Living[Cost of Living Index]))</f>
        <v>0.78193430656934304</v>
      </c>
    </row>
    <row r="477" spans="1:4">
      <c r="A477" s="36" t="s">
        <v>378</v>
      </c>
      <c r="B477" s="36" t="s">
        <v>1000</v>
      </c>
      <c r="C477" s="37">
        <v>91.8</v>
      </c>
      <c r="D477" s="39">
        <f>1-([1]!Cost_of_Living[[#This Row],[Cost of Living Index]]-MIN([1]!Cost_of_Living[Cost of Living Index]))/(MAX([1]!Cost_of_Living[Cost of Living Index])-MIN([1]!Cost_of_Living[Cost of Living Index]))</f>
        <v>0.79197080291970801</v>
      </c>
    </row>
    <row r="478" spans="1:4">
      <c r="A478" s="36" t="s">
        <v>421</v>
      </c>
      <c r="B478" s="36" t="s">
        <v>1000</v>
      </c>
      <c r="C478" s="37">
        <v>91.8</v>
      </c>
      <c r="D478" s="39">
        <f>1-([1]!Cost_of_Living[[#This Row],[Cost of Living Index]]-MIN([1]!Cost_of_Living[Cost of Living Index]))/(MAX([1]!Cost_of_Living[Cost of Living Index])-MIN([1]!Cost_of_Living[Cost of Living Index]))</f>
        <v>0.79197080291970801</v>
      </c>
    </row>
    <row r="479" spans="1:4">
      <c r="A479" s="36" t="s">
        <v>358</v>
      </c>
      <c r="B479" s="36" t="s">
        <v>1000</v>
      </c>
      <c r="C479" s="37">
        <v>91.5</v>
      </c>
      <c r="D479" s="39">
        <f>1-([1]!Cost_of_Living[[#This Row],[Cost of Living Index]]-MIN([1]!Cost_of_Living[Cost of Living Index]))/(MAX([1]!Cost_of_Living[Cost of Living Index])-MIN([1]!Cost_of_Living[Cost of Living Index]))</f>
        <v>0.79470802919708028</v>
      </c>
    </row>
    <row r="480" spans="1:4">
      <c r="A480" s="36" t="s">
        <v>415</v>
      </c>
      <c r="B480" s="36" t="s">
        <v>1000</v>
      </c>
      <c r="C480" s="37">
        <v>91.4</v>
      </c>
      <c r="D480" s="39">
        <f>1-([1]!Cost_of_Living[[#This Row],[Cost of Living Index]]-MIN([1]!Cost_of_Living[Cost of Living Index]))/(MAX([1]!Cost_of_Living[Cost of Living Index])-MIN([1]!Cost_of_Living[Cost of Living Index]))</f>
        <v>0.7956204379562043</v>
      </c>
    </row>
    <row r="481" spans="1:4">
      <c r="A481" s="36" t="s">
        <v>2498</v>
      </c>
      <c r="B481" s="36" t="s">
        <v>1000</v>
      </c>
      <c r="C481" s="37">
        <v>90.9</v>
      </c>
      <c r="D481" s="39">
        <f>1-([1]!Cost_of_Living[[#This Row],[Cost of Living Index]]-MIN([1]!Cost_of_Living[Cost of Living Index]))/(MAX([1]!Cost_of_Living[Cost of Living Index])-MIN([1]!Cost_of_Living[Cost of Living Index]))</f>
        <v>0.80018248175182471</v>
      </c>
    </row>
    <row r="482" spans="1:4">
      <c r="A482" s="36" t="s">
        <v>499</v>
      </c>
      <c r="B482" s="36" t="s">
        <v>1000</v>
      </c>
      <c r="C482" s="37">
        <v>90.7</v>
      </c>
      <c r="D482" s="39">
        <f>1-([1]!Cost_of_Living[[#This Row],[Cost of Living Index]]-MIN([1]!Cost_of_Living[Cost of Living Index]))/(MAX([1]!Cost_of_Living[Cost of Living Index])-MIN([1]!Cost_of_Living[Cost of Living Index]))</f>
        <v>0.80200729927007297</v>
      </c>
    </row>
    <row r="483" spans="1:4">
      <c r="A483" s="36" t="s">
        <v>2499</v>
      </c>
      <c r="B483" s="36" t="s">
        <v>1000</v>
      </c>
      <c r="C483" s="37">
        <v>89.8</v>
      </c>
      <c r="D483" s="39">
        <f>1-([1]!Cost_of_Living[[#This Row],[Cost of Living Index]]-MIN([1]!Cost_of_Living[Cost of Living Index]))/(MAX([1]!Cost_of_Living[Cost of Living Index])-MIN([1]!Cost_of_Living[Cost of Living Index]))</f>
        <v>0.81021897810218979</v>
      </c>
    </row>
    <row r="484" spans="1:4">
      <c r="A484" s="36" t="s">
        <v>2500</v>
      </c>
      <c r="B484" s="36" t="s">
        <v>1000</v>
      </c>
      <c r="C484" s="37">
        <v>89.7</v>
      </c>
      <c r="D484" s="39">
        <f>1-([1]!Cost_of_Living[[#This Row],[Cost of Living Index]]-MIN([1]!Cost_of_Living[Cost of Living Index]))/(MAX([1]!Cost_of_Living[Cost of Living Index])-MIN([1]!Cost_of_Living[Cost of Living Index]))</f>
        <v>0.81113138686131381</v>
      </c>
    </row>
    <row r="485" spans="1:4">
      <c r="A485" s="36" t="s">
        <v>458</v>
      </c>
      <c r="B485" s="36" t="s">
        <v>1000</v>
      </c>
      <c r="C485" s="37">
        <v>89</v>
      </c>
      <c r="D485" s="39">
        <f>1-([1]!Cost_of_Living[[#This Row],[Cost of Living Index]]-MIN([1]!Cost_of_Living[Cost of Living Index]))/(MAX([1]!Cost_of_Living[Cost of Living Index])-MIN([1]!Cost_of_Living[Cost of Living Index]))</f>
        <v>0.81751824817518248</v>
      </c>
    </row>
    <row r="486" spans="1:4">
      <c r="A486" s="36" t="s">
        <v>2501</v>
      </c>
      <c r="B486" s="36" t="s">
        <v>1000</v>
      </c>
      <c r="C486" s="37">
        <v>88.9</v>
      </c>
      <c r="D486" s="39">
        <f>1-([1]!Cost_of_Living[[#This Row],[Cost of Living Index]]-MIN([1]!Cost_of_Living[Cost of Living Index]))/(MAX([1]!Cost_of_Living[Cost of Living Index])-MIN([1]!Cost_of_Living[Cost of Living Index]))</f>
        <v>0.8184306569343065</v>
      </c>
    </row>
    <row r="487" spans="1:4">
      <c r="A487" s="36" t="s">
        <v>696</v>
      </c>
      <c r="B487" s="36" t="s">
        <v>1000</v>
      </c>
      <c r="C487" s="37">
        <v>88</v>
      </c>
      <c r="D487" s="39">
        <f>1-([1]!Cost_of_Living[[#This Row],[Cost of Living Index]]-MIN([1]!Cost_of_Living[Cost of Living Index]))/(MAX([1]!Cost_of_Living[Cost of Living Index])-MIN([1]!Cost_of_Living[Cost of Living Index]))</f>
        <v>0.82664233576642332</v>
      </c>
    </row>
    <row r="488" spans="1:4">
      <c r="A488" s="36" t="s">
        <v>2502</v>
      </c>
      <c r="B488" s="36" t="s">
        <v>1000</v>
      </c>
      <c r="C488" s="37">
        <v>87.8</v>
      </c>
      <c r="D488" s="39">
        <f>1-([1]!Cost_of_Living[[#This Row],[Cost of Living Index]]-MIN([1]!Cost_of_Living[Cost of Living Index]))/(MAX([1]!Cost_of_Living[Cost of Living Index])-MIN([1]!Cost_of_Living[Cost of Living Index]))</f>
        <v>0.82846715328467158</v>
      </c>
    </row>
    <row r="489" spans="1:4">
      <c r="A489" s="36" t="s">
        <v>2503</v>
      </c>
      <c r="B489" s="36" t="s">
        <v>1000</v>
      </c>
      <c r="C489" s="37">
        <v>86.9</v>
      </c>
      <c r="D489" s="39">
        <f>1-([1]!Cost_of_Living[[#This Row],[Cost of Living Index]]-MIN([1]!Cost_of_Living[Cost of Living Index]))/(MAX([1]!Cost_of_Living[Cost of Living Index])-MIN([1]!Cost_of_Living[Cost of Living Index]))</f>
        <v>0.83667883211678828</v>
      </c>
    </row>
    <row r="490" spans="1:4">
      <c r="A490" s="36" t="s">
        <v>2504</v>
      </c>
      <c r="B490" s="36" t="s">
        <v>1000</v>
      </c>
      <c r="C490" s="37">
        <v>86.6</v>
      </c>
      <c r="D490" s="39">
        <f>1-([1]!Cost_of_Living[[#This Row],[Cost of Living Index]]-MIN([1]!Cost_of_Living[Cost of Living Index]))/(MAX([1]!Cost_of_Living[Cost of Living Index])-MIN([1]!Cost_of_Living[Cost of Living Index]))</f>
        <v>0.83941605839416067</v>
      </c>
    </row>
    <row r="491" spans="1:4">
      <c r="A491" s="36" t="s">
        <v>790</v>
      </c>
      <c r="B491" s="36" t="s">
        <v>1590</v>
      </c>
      <c r="C491" s="37">
        <v>88.5</v>
      </c>
      <c r="D491" s="39">
        <f>1-([1]!Cost_of_Living[[#This Row],[Cost of Living Index]]-MIN([1]!Cost_of_Living[Cost of Living Index]))/(MAX([1]!Cost_of_Living[Cost of Living Index])-MIN([1]!Cost_of_Living[Cost of Living Index]))</f>
        <v>0.8220802919708029</v>
      </c>
    </row>
    <row r="492" spans="1:4">
      <c r="A492" s="36" t="s">
        <v>713</v>
      </c>
      <c r="B492" s="36" t="s">
        <v>1590</v>
      </c>
      <c r="C492" s="37">
        <v>84.7</v>
      </c>
      <c r="D492" s="39">
        <f>1-([1]!Cost_of_Living[[#This Row],[Cost of Living Index]]-MIN([1]!Cost_of_Living[Cost of Living Index]))/(MAX([1]!Cost_of_Living[Cost of Living Index])-MIN([1]!Cost_of_Living[Cost of Living Index]))</f>
        <v>0.85675182481751821</v>
      </c>
    </row>
    <row r="493" spans="1:4">
      <c r="A493" s="36" t="s">
        <v>337</v>
      </c>
      <c r="B493" s="36" t="s">
        <v>1590</v>
      </c>
      <c r="C493" s="37">
        <v>84.3</v>
      </c>
      <c r="D493" s="39">
        <f>1-([1]!Cost_of_Living[[#This Row],[Cost of Living Index]]-MIN([1]!Cost_of_Living[Cost of Living Index]))/(MAX([1]!Cost_of_Living[Cost of Living Index])-MIN([1]!Cost_of_Living[Cost of Living Index]))</f>
        <v>0.86040145985401462</v>
      </c>
    </row>
    <row r="494" spans="1:4">
      <c r="A494" s="36" t="s">
        <v>686</v>
      </c>
      <c r="B494" s="36" t="s">
        <v>1590</v>
      </c>
      <c r="C494" s="37">
        <v>84.1</v>
      </c>
      <c r="D494" s="39">
        <f>1-([1]!Cost_of_Living[[#This Row],[Cost of Living Index]]-MIN([1]!Cost_of_Living[Cost of Living Index]))/(MAX([1]!Cost_of_Living[Cost of Living Index])-MIN([1]!Cost_of_Living[Cost of Living Index]))</f>
        <v>0.86222627737226287</v>
      </c>
    </row>
    <row r="495" spans="1:4">
      <c r="A495" s="36" t="s">
        <v>293</v>
      </c>
      <c r="B495" s="36" t="s">
        <v>1590</v>
      </c>
      <c r="C495" s="37">
        <v>83.9</v>
      </c>
      <c r="D495" s="39">
        <f>1-([1]!Cost_of_Living[[#This Row],[Cost of Living Index]]-MIN([1]!Cost_of_Living[Cost of Living Index]))/(MAX([1]!Cost_of_Living[Cost of Living Index])-MIN([1]!Cost_of_Living[Cost of Living Index]))</f>
        <v>0.86405109489051091</v>
      </c>
    </row>
    <row r="496" spans="1:4">
      <c r="A496" s="36" t="s">
        <v>2505</v>
      </c>
      <c r="B496" s="36" t="s">
        <v>1590</v>
      </c>
      <c r="C496" s="37">
        <v>83.4</v>
      </c>
      <c r="D496" s="39">
        <f>1-([1]!Cost_of_Living[[#This Row],[Cost of Living Index]]-MIN([1]!Cost_of_Living[Cost of Living Index]))/(MAX([1]!Cost_of_Living[Cost of Living Index])-MIN([1]!Cost_of_Living[Cost of Living Index]))</f>
        <v>0.86861313868613133</v>
      </c>
    </row>
    <row r="497" spans="1:4">
      <c r="A497" s="36" t="s">
        <v>2506</v>
      </c>
      <c r="B497" s="36" t="s">
        <v>1590</v>
      </c>
      <c r="C497" s="37">
        <v>82.6</v>
      </c>
      <c r="D497" s="39">
        <f>1-([1]!Cost_of_Living[[#This Row],[Cost of Living Index]]-MIN([1]!Cost_of_Living[Cost of Living Index]))/(MAX([1]!Cost_of_Living[Cost of Living Index])-MIN([1]!Cost_of_Living[Cost of Living Index]))</f>
        <v>0.87591240875912413</v>
      </c>
    </row>
    <row r="498" spans="1:4">
      <c r="A498" s="36" t="s">
        <v>701</v>
      </c>
      <c r="B498" s="36" t="s">
        <v>1590</v>
      </c>
      <c r="C498" s="37">
        <v>81.2</v>
      </c>
      <c r="D498" s="39">
        <f>1-([1]!Cost_of_Living[[#This Row],[Cost of Living Index]]-MIN([1]!Cost_of_Living[Cost of Living Index]))/(MAX([1]!Cost_of_Living[Cost of Living Index])-MIN([1]!Cost_of_Living[Cost of Living Index]))</f>
        <v>0.88868613138686126</v>
      </c>
    </row>
    <row r="499" spans="1:4">
      <c r="A499" s="36" t="s">
        <v>2507</v>
      </c>
      <c r="B499" s="36" t="s">
        <v>1590</v>
      </c>
      <c r="C499" s="37">
        <v>80</v>
      </c>
      <c r="D499" s="39">
        <f>1-([1]!Cost_of_Living[[#This Row],[Cost of Living Index]]-MIN([1]!Cost_of_Living[Cost of Living Index]))/(MAX([1]!Cost_of_Living[Cost of Living Index])-MIN([1]!Cost_of_Living[Cost of Living Index]))</f>
        <v>0.89963503649635035</v>
      </c>
    </row>
    <row r="500" spans="1:4">
      <c r="A500" s="36" t="s">
        <v>2508</v>
      </c>
      <c r="B500" s="36" t="s">
        <v>1445</v>
      </c>
      <c r="C500" s="37">
        <v>96.9</v>
      </c>
      <c r="D500" s="39">
        <f>1-([1]!Cost_of_Living[[#This Row],[Cost of Living Index]]-MIN([1]!Cost_of_Living[Cost of Living Index]))/(MAX([1]!Cost_of_Living[Cost of Living Index])-MIN([1]!Cost_of_Living[Cost of Living Index]))</f>
        <v>0.74543795620437947</v>
      </c>
    </row>
    <row r="501" spans="1:4">
      <c r="A501" s="36" t="s">
        <v>2509</v>
      </c>
      <c r="B501" s="36" t="s">
        <v>1445</v>
      </c>
      <c r="C501" s="37">
        <v>94.2</v>
      </c>
      <c r="D501" s="39">
        <f>1-([1]!Cost_of_Living[[#This Row],[Cost of Living Index]]-MIN([1]!Cost_of_Living[Cost of Living Index]))/(MAX([1]!Cost_of_Living[Cost of Living Index])-MIN([1]!Cost_of_Living[Cost of Living Index]))</f>
        <v>0.77007299270072993</v>
      </c>
    </row>
    <row r="502" spans="1:4">
      <c r="A502" s="36" t="s">
        <v>5</v>
      </c>
      <c r="B502" s="36" t="s">
        <v>827</v>
      </c>
      <c r="C502" s="37">
        <v>82</v>
      </c>
      <c r="D502" s="39">
        <f>1-([1]!Cost_of_Living[[#This Row],[Cost of Living Index]]-MIN([1]!Cost_of_Living[Cost of Living Index]))/(MAX([1]!Cost_of_Living[Cost of Living Index])-MIN([1]!Cost_of_Living[Cost of Living Index]))</f>
        <v>0.88138686131386856</v>
      </c>
    </row>
    <row r="503" spans="1:4">
      <c r="A503" s="36" t="s">
        <v>2532</v>
      </c>
      <c r="B503" s="36" t="s">
        <v>822</v>
      </c>
      <c r="C503" s="37">
        <v>131</v>
      </c>
      <c r="D503" s="39">
        <f>1-([1]!Cost_of_Living[[#This Row],[Cost of Living Index]]-MIN([1]!Cost_of_Living[Cost of Living Index]))/(MAX([1]!Cost_of_Living[Cost of Living Index])-MIN([1]!Cost_of_Living[Cost of Living Index]))</f>
        <v>0.43430656934306566</v>
      </c>
    </row>
    <row r="504" spans="1:4">
      <c r="A504" s="36" t="s">
        <v>725</v>
      </c>
      <c r="B504" s="36" t="s">
        <v>822</v>
      </c>
      <c r="C504" s="37">
        <v>95.5</v>
      </c>
      <c r="D504" s="39">
        <f>1-([1]!Cost_of_Living[[#This Row],[Cost of Living Index]]-MIN([1]!Cost_of_Living[Cost of Living Index]))/(MAX([1]!Cost_of_Living[Cost of Living Index])-MIN([1]!Cost_of_Living[Cost of Living Index]))</f>
        <v>0.75821167883211671</v>
      </c>
    </row>
    <row r="505" spans="1:4">
      <c r="A505" s="36" t="s">
        <v>14</v>
      </c>
      <c r="B505" s="36" t="s">
        <v>840</v>
      </c>
      <c r="C505" s="37">
        <v>148.19999999999999</v>
      </c>
      <c r="D505" s="39">
        <f>1-([1]!Cost_of_Living[[#This Row],[Cost of Living Index]]-MIN([1]!Cost_of_Living[Cost of Living Index]))/(MAX([1]!Cost_of_Living[Cost of Living Index])-MIN([1]!Cost_of_Living[Cost of Living Index]))</f>
        <v>0.27737226277372273</v>
      </c>
    </row>
    <row r="506" spans="1:4">
      <c r="A506" s="36" t="s">
        <v>739</v>
      </c>
      <c r="B506" s="36" t="s">
        <v>822</v>
      </c>
      <c r="C506" s="37">
        <v>85.1</v>
      </c>
      <c r="D506" s="39">
        <f>1-([1]!Cost_of_Living[[#This Row],[Cost of Living Index]]-MIN([1]!Cost_of_Living[Cost of Living Index]))/(MAX([1]!Cost_of_Living[Cost of Living Index])-MIN([1]!Cost_of_Living[Cost of Living Index]))</f>
        <v>0.85310218978102192</v>
      </c>
    </row>
    <row r="507" spans="1:4">
      <c r="A507" s="36" t="s">
        <v>27</v>
      </c>
      <c r="B507" s="36" t="s">
        <v>816</v>
      </c>
      <c r="C507" s="37">
        <v>84.8</v>
      </c>
      <c r="D507" s="39">
        <f>1-([1]!Cost_of_Living[[#This Row],[Cost of Living Index]]-MIN([1]!Cost_of_Living[Cost of Living Index]))/(MAX([1]!Cost_of_Living[Cost of Living Index])-MIN([1]!Cost_of_Living[Cost of Living Index]))</f>
        <v>0.8558394160583942</v>
      </c>
    </row>
    <row r="508" spans="1:4">
      <c r="A508" s="36" t="s">
        <v>522</v>
      </c>
      <c r="B508" s="36" t="s">
        <v>1082</v>
      </c>
      <c r="C508" s="37">
        <v>75</v>
      </c>
      <c r="D508" s="39">
        <f>1-([1]!Cost_of_Living[[#This Row],[Cost of Living Index]]-MIN([1]!Cost_of_Living[Cost of Living Index]))/(MAX([1]!Cost_of_Living[Cost of Living Index])-MIN([1]!Cost_of_Living[Cost of Living Index]))</f>
        <v>0.94525547445255476</v>
      </c>
    </row>
    <row r="509" spans="1:4">
      <c r="A509" s="36" t="s">
        <v>30</v>
      </c>
      <c r="B509" s="36" t="s">
        <v>971</v>
      </c>
      <c r="C509" s="37">
        <v>71.3</v>
      </c>
      <c r="D509" s="39">
        <f>1-([1]!Cost_of_Living[[#This Row],[Cost of Living Index]]-MIN([1]!Cost_of_Living[Cost of Living Index]))/(MAX([1]!Cost_of_Living[Cost of Living Index])-MIN([1]!Cost_of_Living[Cost of Living Index]))</f>
        <v>0.97901459854014605</v>
      </c>
    </row>
    <row r="510" spans="1:4">
      <c r="A510" s="36" t="s">
        <v>749</v>
      </c>
      <c r="B510" s="36" t="s">
        <v>822</v>
      </c>
      <c r="C510" s="37">
        <v>83.7</v>
      </c>
      <c r="D510" s="39">
        <f>1-([1]!Cost_of_Living[[#This Row],[Cost of Living Index]]-MIN([1]!Cost_of_Living[Cost of Living Index]))/(MAX([1]!Cost_of_Living[Cost of Living Index])-MIN([1]!Cost_of_Living[Cost of Living Index]))</f>
        <v>0.86587591240875905</v>
      </c>
    </row>
    <row r="511" spans="1:4">
      <c r="A511" s="36" t="s">
        <v>608</v>
      </c>
      <c r="B511" s="36" t="s">
        <v>844</v>
      </c>
      <c r="C511" s="37">
        <v>76.599999999999994</v>
      </c>
      <c r="D511" s="39">
        <f>1-([1]!Cost_of_Living[[#This Row],[Cost of Living Index]]-MIN([1]!Cost_of_Living[Cost of Living Index]))/(MAX([1]!Cost_of_Living[Cost of Living Index])-MIN([1]!Cost_of_Living[Cost of Living Index]))</f>
        <v>0.93065693430656937</v>
      </c>
    </row>
    <row r="512" spans="1:4">
      <c r="A512" s="36" t="s">
        <v>39</v>
      </c>
      <c r="B512" s="36" t="s">
        <v>922</v>
      </c>
      <c r="C512" s="37">
        <v>77.3</v>
      </c>
      <c r="D512" s="39">
        <f>1-([1]!Cost_of_Living[[#This Row],[Cost of Living Index]]-MIN([1]!Cost_of_Living[Cost of Living Index]))/(MAX([1]!Cost_of_Living[Cost of Living Index])-MIN([1]!Cost_of_Living[Cost of Living Index]))</f>
        <v>0.9242700729927007</v>
      </c>
    </row>
    <row r="513" spans="1:4">
      <c r="A513" s="36" t="s">
        <v>43</v>
      </c>
      <c r="B513" s="36" t="s">
        <v>889</v>
      </c>
      <c r="C513" s="37">
        <v>77.7</v>
      </c>
      <c r="D513" s="39">
        <f>1-([1]!Cost_of_Living[[#This Row],[Cost of Living Index]]-MIN([1]!Cost_of_Living[Cost of Living Index]))/(MAX([1]!Cost_of_Living[Cost of Living Index])-MIN([1]!Cost_of_Living[Cost of Living Index]))</f>
        <v>0.92062043795620441</v>
      </c>
    </row>
    <row r="514" spans="1:4">
      <c r="A514" s="36" t="s">
        <v>687</v>
      </c>
      <c r="B514" s="36" t="s">
        <v>1199</v>
      </c>
      <c r="C514" s="37">
        <v>69</v>
      </c>
      <c r="D514" s="39">
        <f>1-([1]!Cost_of_Living[[#This Row],[Cost of Living Index]]-MIN([1]!Cost_of_Living[Cost of Living Index]))/(MAX([1]!Cost_of_Living[Cost of Living Index])-MIN([1]!Cost_of_Living[Cost of Living Index]))</f>
        <v>1</v>
      </c>
    </row>
    <row r="515" spans="1:4">
      <c r="A515" s="36" t="s">
        <v>49</v>
      </c>
      <c r="B515" s="36" t="s">
        <v>862</v>
      </c>
      <c r="C515" s="37">
        <v>84.8</v>
      </c>
      <c r="D515" s="39">
        <f>1-([1]!Cost_of_Living[[#This Row],[Cost of Living Index]]-MIN([1]!Cost_of_Living[Cost of Living Index]))/(MAX([1]!Cost_of_Living[Cost of Living Index])-MIN([1]!Cost_of_Living[Cost of Living Index]))</f>
        <v>0.8558394160583942</v>
      </c>
    </row>
    <row r="516" spans="1:4">
      <c r="A516" s="36" t="s">
        <v>754</v>
      </c>
      <c r="B516" s="36" t="s">
        <v>816</v>
      </c>
      <c r="C516" s="37">
        <v>84.8</v>
      </c>
      <c r="D516" s="39">
        <f>1-([1]!Cost_of_Living[[#This Row],[Cost of Living Index]]-MIN([1]!Cost_of_Living[Cost of Living Index]))/(MAX([1]!Cost_of_Living[Cost of Living Index])-MIN([1]!Cost_of_Living[Cost of Living Index]))</f>
        <v>0.8558394160583942</v>
      </c>
    </row>
    <row r="517" spans="1:4">
      <c r="A517" s="36" t="s">
        <v>589</v>
      </c>
      <c r="B517" s="36" t="s">
        <v>822</v>
      </c>
      <c r="C517" s="37">
        <v>86.4</v>
      </c>
      <c r="D517" s="39">
        <f>1-([1]!Cost_of_Living[[#This Row],[Cost of Living Index]]-MIN([1]!Cost_of_Living[Cost of Living Index]))/(MAX([1]!Cost_of_Living[Cost of Living Index])-MIN([1]!Cost_of_Living[Cost of Living Index]))</f>
        <v>0.8412408759124087</v>
      </c>
    </row>
    <row r="518" spans="1:4">
      <c r="A518" s="36" t="s">
        <v>758</v>
      </c>
      <c r="B518" s="36" t="s">
        <v>858</v>
      </c>
      <c r="C518" s="37">
        <v>80</v>
      </c>
      <c r="D518" s="39">
        <f>1-([1]!Cost_of_Living[[#This Row],[Cost of Living Index]]-MIN([1]!Cost_of_Living[Cost of Living Index]))/(MAX([1]!Cost_of_Living[Cost of Living Index])-MIN([1]!Cost_of_Living[Cost of Living Index]))</f>
        <v>0.89963503649635035</v>
      </c>
    </row>
    <row r="519" spans="1:4">
      <c r="A519" s="36" t="s">
        <v>584</v>
      </c>
      <c r="B519" s="36" t="s">
        <v>822</v>
      </c>
      <c r="C519" s="37">
        <v>83.7</v>
      </c>
      <c r="D519" s="39">
        <f>1-([1]!Cost_of_Living[[#This Row],[Cost of Living Index]]-MIN([1]!Cost_of_Living[Cost of Living Index]))/(MAX([1]!Cost_of_Living[Cost of Living Index])-MIN([1]!Cost_of_Living[Cost of Living Index]))</f>
        <v>0.86587591240875905</v>
      </c>
    </row>
    <row r="520" spans="1:4">
      <c r="A520" s="36" t="s">
        <v>93</v>
      </c>
      <c r="B520" s="36" t="s">
        <v>822</v>
      </c>
      <c r="C520" s="37">
        <v>85.1</v>
      </c>
      <c r="D520" s="39">
        <f>1-([1]!Cost_of_Living[[#This Row],[Cost of Living Index]]-MIN([1]!Cost_of_Living[Cost of Living Index]))/(MAX([1]!Cost_of_Living[Cost of Living Index])-MIN([1]!Cost_of_Living[Cost of Living Index]))</f>
        <v>0.85310218978102192</v>
      </c>
    </row>
    <row r="521" spans="1:4">
      <c r="A521" s="36" t="s">
        <v>102</v>
      </c>
      <c r="B521" s="36" t="s">
        <v>827</v>
      </c>
      <c r="C521" s="37">
        <v>89.2</v>
      </c>
      <c r="D521" s="39">
        <f>1-([1]!Cost_of_Living[[#This Row],[Cost of Living Index]]-MIN([1]!Cost_of_Living[Cost of Living Index]))/(MAX([1]!Cost_of_Living[Cost of Living Index])-MIN([1]!Cost_of_Living[Cost of Living Index]))</f>
        <v>0.81569343065693434</v>
      </c>
    </row>
    <row r="522" spans="1:4">
      <c r="A522" s="36" t="s">
        <v>104</v>
      </c>
      <c r="B522" s="36" t="s">
        <v>943</v>
      </c>
      <c r="C522" s="37">
        <v>84.8</v>
      </c>
      <c r="D522" s="39">
        <f>1-([1]!Cost_of_Living[[#This Row],[Cost of Living Index]]-MIN([1]!Cost_of_Living[Cost of Living Index]))/(MAX([1]!Cost_of_Living[Cost of Living Index])-MIN([1]!Cost_of_Living[Cost of Living Index]))</f>
        <v>0.8558394160583942</v>
      </c>
    </row>
    <row r="523" spans="1:4">
      <c r="A523" s="36" t="s">
        <v>107</v>
      </c>
      <c r="B523" s="36" t="s">
        <v>979</v>
      </c>
      <c r="C523" s="37">
        <v>72.400000000000006</v>
      </c>
      <c r="D523" s="39">
        <f>1-([1]!Cost_of_Living[[#This Row],[Cost of Living Index]]-MIN([1]!Cost_of_Living[Cost of Living Index]))/(MAX([1]!Cost_of_Living[Cost of Living Index])-MIN([1]!Cost_of_Living[Cost of Living Index]))</f>
        <v>0.96897810218978098</v>
      </c>
    </row>
    <row r="524" spans="1:4">
      <c r="A524" s="36" t="s">
        <v>117</v>
      </c>
      <c r="B524" s="36" t="s">
        <v>971</v>
      </c>
      <c r="C524" s="37">
        <v>71.3</v>
      </c>
      <c r="D524" s="39">
        <f>1-([1]!Cost_of_Living[[#This Row],[Cost of Living Index]]-MIN([1]!Cost_of_Living[Cost of Living Index]))/(MAX([1]!Cost_of_Living[Cost of Living Index])-MIN([1]!Cost_of_Living[Cost of Living Index]))</f>
        <v>0.97901459854014605</v>
      </c>
    </row>
    <row r="525" spans="1:4">
      <c r="A525" s="36" t="s">
        <v>119</v>
      </c>
      <c r="B525" s="36" t="s">
        <v>876</v>
      </c>
      <c r="C525" s="37">
        <v>70.400000000000006</v>
      </c>
      <c r="D525" s="39">
        <f>1-([1]!Cost_of_Living[[#This Row],[Cost of Living Index]]-MIN([1]!Cost_of_Living[Cost of Living Index]))/(MAX([1]!Cost_of_Living[Cost of Living Index])-MIN([1]!Cost_of_Living[Cost of Living Index]))</f>
        <v>0.98722627737226276</v>
      </c>
    </row>
    <row r="526" spans="1:4">
      <c r="A526" s="36" t="s">
        <v>774</v>
      </c>
      <c r="B526" s="36" t="s">
        <v>831</v>
      </c>
      <c r="C526" s="37">
        <v>89.2</v>
      </c>
      <c r="D526" s="39">
        <f>1-([1]!Cost_of_Living[[#This Row],[Cost of Living Index]]-MIN([1]!Cost_of_Living[Cost of Living Index]))/(MAX([1]!Cost_of_Living[Cost of Living Index])-MIN([1]!Cost_of_Living[Cost of Living Index]))</f>
        <v>0.81569343065693434</v>
      </c>
    </row>
    <row r="527" spans="1:4">
      <c r="A527" s="36" t="s">
        <v>136</v>
      </c>
      <c r="B527" s="36" t="s">
        <v>1263</v>
      </c>
      <c r="C527" s="37">
        <v>76.599999999999994</v>
      </c>
      <c r="D527" s="39">
        <f>1-([1]!Cost_of_Living[[#This Row],[Cost of Living Index]]-MIN([1]!Cost_of_Living[Cost of Living Index]))/(MAX([1]!Cost_of_Living[Cost of Living Index])-MIN([1]!Cost_of_Living[Cost of Living Index]))</f>
        <v>0.93065693430656937</v>
      </c>
    </row>
    <row r="528" spans="1:4">
      <c r="A528" s="36" t="s">
        <v>781</v>
      </c>
      <c r="B528" s="36" t="s">
        <v>910</v>
      </c>
      <c r="C528" s="37">
        <v>77.7</v>
      </c>
      <c r="D528" s="39">
        <f>1-([1]!Cost_of_Living[[#This Row],[Cost of Living Index]]-MIN([1]!Cost_of_Living[Cost of Living Index]))/(MAX([1]!Cost_of_Living[Cost of Living Index])-MIN([1]!Cost_of_Living[Cost of Living Index]))</f>
        <v>0.92062043795620441</v>
      </c>
    </row>
    <row r="529" spans="1:4">
      <c r="A529" s="36" t="s">
        <v>782</v>
      </c>
      <c r="B529" s="36" t="s">
        <v>851</v>
      </c>
      <c r="C529" s="37">
        <v>72.599999999999994</v>
      </c>
      <c r="D529" s="39">
        <f>1-([1]!Cost_of_Living[[#This Row],[Cost of Living Index]]-MIN([1]!Cost_of_Living[Cost of Living Index]))/(MAX([1]!Cost_of_Living[Cost of Living Index])-MIN([1]!Cost_of_Living[Cost of Living Index]))</f>
        <v>0.96715328467153294</v>
      </c>
    </row>
    <row r="530" spans="1:4">
      <c r="A530" s="36" t="s">
        <v>143</v>
      </c>
      <c r="B530" s="36" t="s">
        <v>827</v>
      </c>
      <c r="C530" s="37">
        <v>89.2</v>
      </c>
      <c r="D530" s="39">
        <f>1-([1]!Cost_of_Living[[#This Row],[Cost of Living Index]]-MIN([1]!Cost_of_Living[Cost of Living Index]))/(MAX([1]!Cost_of_Living[Cost of Living Index])-MIN([1]!Cost_of_Living[Cost of Living Index]))</f>
        <v>0.81569343065693434</v>
      </c>
    </row>
    <row r="531" spans="1:4">
      <c r="A531" s="36" t="s">
        <v>154</v>
      </c>
      <c r="B531" s="36" t="s">
        <v>1164</v>
      </c>
      <c r="C531" s="37">
        <v>77</v>
      </c>
      <c r="D531" s="39">
        <f>1-([1]!Cost_of_Living[[#This Row],[Cost of Living Index]]-MIN([1]!Cost_of_Living[Cost of Living Index]))/(MAX([1]!Cost_of_Living[Cost of Living Index])-MIN([1]!Cost_of_Living[Cost of Living Index]))</f>
        <v>0.92700729927007297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D9C19-8A51-4CC4-B220-AD1C65C20D77}">
  <sheetPr codeName="Sheet2"/>
  <dimension ref="A1:Q51"/>
  <sheetViews>
    <sheetView zoomScale="90" zoomScaleNormal="90" workbookViewId="0">
      <selection activeCell="P11" sqref="P11"/>
    </sheetView>
  </sheetViews>
  <sheetFormatPr defaultRowHeight="14.5"/>
  <cols>
    <col min="2" max="6" width="16.36328125" bestFit="1" customWidth="1"/>
    <col min="8" max="8" width="14.36328125" bestFit="1" customWidth="1"/>
    <col min="9" max="9" width="11.90625" bestFit="1" customWidth="1"/>
    <col min="11" max="11" width="14.36328125" bestFit="1" customWidth="1"/>
    <col min="12" max="12" width="15.453125" bestFit="1" customWidth="1"/>
    <col min="14" max="14" width="14.36328125" bestFit="1" customWidth="1"/>
    <col min="15" max="15" width="10.26953125" bestFit="1" customWidth="1"/>
    <col min="16" max="16" width="15" bestFit="1" customWidth="1"/>
    <col min="17" max="17" width="10" bestFit="1" customWidth="1"/>
  </cols>
  <sheetData>
    <row r="1" spans="1:17" ht="15" thickBot="1">
      <c r="A1" s="50" t="s">
        <v>3</v>
      </c>
      <c r="B1" s="51" t="s">
        <v>2518</v>
      </c>
      <c r="C1" s="51" t="s">
        <v>2517</v>
      </c>
      <c r="D1" s="51" t="s">
        <v>2521</v>
      </c>
      <c r="E1" s="51" t="s">
        <v>2520</v>
      </c>
      <c r="F1" s="51" t="s">
        <v>2519</v>
      </c>
      <c r="H1" s="48" t="s">
        <v>2516</v>
      </c>
      <c r="I1" t="s">
        <v>2522</v>
      </c>
      <c r="K1" s="48" t="s">
        <v>2516</v>
      </c>
      <c r="L1" t="s">
        <v>2523</v>
      </c>
      <c r="N1" s="48" t="s">
        <v>2516</v>
      </c>
      <c r="O1" t="s">
        <v>2524</v>
      </c>
      <c r="P1" t="s">
        <v>2525</v>
      </c>
      <c r="Q1" t="s">
        <v>2526</v>
      </c>
    </row>
    <row r="2" spans="1:17" ht="15" thickTop="1">
      <c r="A2" s="52" t="s">
        <v>789</v>
      </c>
      <c r="B2" s="53">
        <v>37.68</v>
      </c>
      <c r="C2" s="53">
        <f>_xlfn.XLOOKUP(A2,Crime_rate_Index[[State ]], Crime_rate_Index[Crime Index ▲], "NA", 1)</f>
        <v>1941</v>
      </c>
      <c r="D2" s="58" cm="1">
        <f t="array" ref="D2">_xlfn.XLOOKUP(A2, Party_Affliation_by_States[[#All],[State]], Party_Affliation_by_States[[#All],[Republican/lean Rep.]], "NA", 0)</f>
        <v>0.52</v>
      </c>
      <c r="E2" s="58" cm="1">
        <f t="array" ref="E2">_xlfn.XLOOKUP(A2, Party_Affliation_by_States[[#All],[State]], Party_Affliation_by_States[[#All],[No lean]], "NA", 0)</f>
        <v>0.13</v>
      </c>
      <c r="F2" s="58" cm="1">
        <f t="array" ref="F2">_xlfn.XLOOKUP(A2, Party_Affliation_by_States[[#All],[State]], Party_Affliation_by_States[[#All],[Democrat/lean Dem.]], "NA", 0)</f>
        <v>0.35</v>
      </c>
      <c r="H2" s="49" t="s">
        <v>800</v>
      </c>
      <c r="I2" s="124">
        <v>54.52</v>
      </c>
      <c r="K2" s="49" t="s">
        <v>800</v>
      </c>
      <c r="L2" s="124">
        <v>1986</v>
      </c>
      <c r="N2" s="49" t="s">
        <v>800</v>
      </c>
      <c r="O2" s="61">
        <v>0.39</v>
      </c>
      <c r="P2" s="61">
        <v>0.28999999999999998</v>
      </c>
      <c r="Q2" s="61">
        <v>0.32</v>
      </c>
    </row>
    <row r="3" spans="1:17">
      <c r="A3" s="54" t="s">
        <v>800</v>
      </c>
      <c r="B3" s="55">
        <v>54.52</v>
      </c>
      <c r="C3" s="55">
        <f>_xlfn.XLOOKUP(A3,Crime_rate_Index[[State ]], Crime_rate_Index[Crime Index ▲], "NA", 1)</f>
        <v>1986</v>
      </c>
      <c r="D3" s="59" cm="1">
        <f t="array" ref="D3">_xlfn.XLOOKUP(A3, Party_Affliation_by_States[[#All],[State]], Party_Affliation_by_States[[#All],[Republican/lean Rep.]], "NA", 0)</f>
        <v>0.39</v>
      </c>
      <c r="E3" s="59" cm="1">
        <f t="array" ref="E3">_xlfn.XLOOKUP(A3, Party_Affliation_by_States[[#All],[State]], Party_Affliation_by_States[[#All],[No lean]], "NA", 0)</f>
        <v>0.28999999999999998</v>
      </c>
      <c r="F3" s="59" cm="1">
        <f t="array" ref="F3">_xlfn.XLOOKUP(A3, Party_Affliation_by_States[[#All],[State]], Party_Affliation_by_States[[#All],[Democrat/lean Dem.]], "NA", 0)</f>
        <v>0.32</v>
      </c>
      <c r="H3" s="49" t="s">
        <v>777</v>
      </c>
      <c r="I3" s="124">
        <v>42.91</v>
      </c>
      <c r="K3" s="49" t="s">
        <v>777</v>
      </c>
      <c r="L3" s="124">
        <v>1670</v>
      </c>
      <c r="N3" s="49" t="s">
        <v>777</v>
      </c>
      <c r="O3" s="61">
        <v>0.46</v>
      </c>
      <c r="P3" s="61">
        <v>0.23</v>
      </c>
      <c r="Q3" s="61">
        <v>0.31</v>
      </c>
    </row>
    <row r="4" spans="1:17">
      <c r="A4" s="52" t="s">
        <v>753</v>
      </c>
      <c r="B4" s="53">
        <v>52.95</v>
      </c>
      <c r="C4" s="53">
        <f>_xlfn.XLOOKUP(A4,Crime_rate_Index[[State ]], Crime_rate_Index[Crime Index ▲], "NA", 1)</f>
        <v>2025</v>
      </c>
      <c r="D4" s="58" cm="1">
        <f t="array" ref="D4">_xlfn.XLOOKUP(A4, Party_Affliation_by_States[[#All],[State]], Party_Affliation_by_States[[#All],[Republican/lean Rep.]], "NA", 0)</f>
        <v>0.4</v>
      </c>
      <c r="E4" s="58" cm="1">
        <f t="array" ref="E4">_xlfn.XLOOKUP(A4, Party_Affliation_by_States[[#All],[State]], Party_Affliation_by_States[[#All],[No lean]], "NA", 0)</f>
        <v>0.21</v>
      </c>
      <c r="F4" s="58" cm="1">
        <f t="array" ref="F4">_xlfn.XLOOKUP(A4, Party_Affliation_by_States[[#All],[State]], Party_Affliation_by_States[[#All],[Democrat/lean Dem.]], "NA", 0)</f>
        <v>0.39</v>
      </c>
      <c r="H4" s="49" t="s">
        <v>784</v>
      </c>
      <c r="I4" s="124">
        <v>31.64</v>
      </c>
      <c r="K4" s="49" t="s">
        <v>784</v>
      </c>
      <c r="L4" s="124">
        <v>2167</v>
      </c>
      <c r="N4" s="49" t="s">
        <v>784</v>
      </c>
      <c r="O4" s="61">
        <v>0.41</v>
      </c>
      <c r="P4" s="61">
        <v>0.16</v>
      </c>
      <c r="Q4" s="61">
        <v>0.43</v>
      </c>
    </row>
    <row r="5" spans="1:17">
      <c r="A5" s="54" t="s">
        <v>792</v>
      </c>
      <c r="B5" s="55">
        <v>33.72</v>
      </c>
      <c r="C5" s="55">
        <f>_xlfn.XLOOKUP(A5,Crime_rate_Index[[State ]], Crime_rate_Index[Crime Index ▲], "NA", 1)</f>
        <v>2065</v>
      </c>
      <c r="D5" s="59" cm="1">
        <f t="array" ref="D5">_xlfn.XLOOKUP(A5, Party_Affliation_by_States[[#All],[State]], Party_Affliation_by_States[[#All],[Republican/lean Rep.]], "NA", 0)</f>
        <v>0.46</v>
      </c>
      <c r="E5" s="59" cm="1">
        <f t="array" ref="E5">_xlfn.XLOOKUP(A5, Party_Affliation_by_States[[#All],[State]], Party_Affliation_by_States[[#All],[No lean]], "NA", 0)</f>
        <v>0.16</v>
      </c>
      <c r="F5" s="59" cm="1">
        <f t="array" ref="F5">_xlfn.XLOOKUP(A5, Party_Affliation_by_States[[#All],[State]], Party_Affliation_by_States[[#All],[Democrat/lean Dem.]], "NA", 0)</f>
        <v>0.38</v>
      </c>
      <c r="H5" s="49" t="s">
        <v>750</v>
      </c>
      <c r="I5" s="124">
        <v>53.23</v>
      </c>
      <c r="K5" s="49" t="s">
        <v>750</v>
      </c>
      <c r="L5" s="124">
        <v>1884</v>
      </c>
      <c r="N5" s="49" t="s">
        <v>750</v>
      </c>
      <c r="O5" s="61">
        <v>0.31</v>
      </c>
      <c r="P5" s="61">
        <v>0.14000000000000001</v>
      </c>
      <c r="Q5" s="61">
        <v>0.55000000000000004</v>
      </c>
    </row>
    <row r="6" spans="1:17">
      <c r="A6" s="52" t="s">
        <v>666</v>
      </c>
      <c r="B6" s="53">
        <v>48.94</v>
      </c>
      <c r="C6" s="53">
        <f>_xlfn.XLOOKUP(A6,Crime_rate_Index[[State ]], Crime_rate_Index[Crime Index ▲], "NA", 1)</f>
        <v>1701</v>
      </c>
      <c r="D6" s="58" cm="1">
        <f t="array" ref="D6">_xlfn.XLOOKUP(A6, Party_Affliation_by_States[[#All],[State]], Party_Affliation_by_States[[#All],[Republican/lean Rep.]], "NA", 0)</f>
        <v>0.3</v>
      </c>
      <c r="E6" s="58" cm="1">
        <f t="array" ref="E6">_xlfn.XLOOKUP(A6, Party_Affliation_by_States[[#All],[State]], Party_Affliation_by_States[[#All],[No lean]], "NA", 0)</f>
        <v>0.21</v>
      </c>
      <c r="F6" s="58" cm="1">
        <f t="array" ref="F6">_xlfn.XLOOKUP(A6, Party_Affliation_by_States[[#All],[State]], Party_Affliation_by_States[[#All],[Democrat/lean Dem.]], "NA", 0)</f>
        <v>0.49</v>
      </c>
      <c r="H6" s="49" t="s">
        <v>773</v>
      </c>
      <c r="I6" s="124">
        <v>63.99</v>
      </c>
      <c r="K6" s="49" t="s">
        <v>773</v>
      </c>
      <c r="L6" s="124">
        <v>956</v>
      </c>
      <c r="N6" s="49" t="s">
        <v>773</v>
      </c>
      <c r="O6" s="61">
        <v>0.35</v>
      </c>
      <c r="P6" s="61">
        <v>0.2</v>
      </c>
      <c r="Q6" s="61">
        <v>0.44</v>
      </c>
    </row>
    <row r="7" spans="1:17">
      <c r="A7" s="54" t="s">
        <v>757</v>
      </c>
      <c r="B7" s="55">
        <v>43.84</v>
      </c>
      <c r="C7" s="55">
        <f>_xlfn.XLOOKUP(A7,Crime_rate_Index[[State ]], Crime_rate_Index[Crime Index ▲], "NA", 1)</f>
        <v>1526</v>
      </c>
      <c r="D7" s="59" cm="1">
        <f t="array" ref="D7">_xlfn.XLOOKUP(A7, Party_Affliation_by_States[[#All],[State]], Party_Affliation_by_States[[#All],[Republican/lean Rep.]], "NA", 0)</f>
        <v>0.41</v>
      </c>
      <c r="E7" s="59" cm="1">
        <f t="array" ref="E7">_xlfn.XLOOKUP(A7, Party_Affliation_by_States[[#All],[State]], Party_Affliation_by_States[[#All],[No lean]], "NA", 0)</f>
        <v>0.17</v>
      </c>
      <c r="F7" s="59" cm="1">
        <f t="array" ref="F7">_xlfn.XLOOKUP(A7, Party_Affliation_by_States[[#All],[State]], Party_Affliation_by_States[[#All],[Democrat/lean Dem.]], "NA", 0)</f>
        <v>0.42</v>
      </c>
      <c r="H7" s="49" t="s">
        <v>802</v>
      </c>
      <c r="I7" s="124">
        <v>47.94</v>
      </c>
      <c r="K7" s="49" t="s">
        <v>802</v>
      </c>
      <c r="L7" s="124">
        <v>985</v>
      </c>
      <c r="N7" s="49" t="s">
        <v>802</v>
      </c>
      <c r="O7" s="61">
        <v>0.5</v>
      </c>
      <c r="P7" s="61">
        <v>0.18</v>
      </c>
      <c r="Q7" s="61">
        <v>0.33</v>
      </c>
    </row>
    <row r="8" spans="1:17">
      <c r="A8" s="52" t="s">
        <v>742</v>
      </c>
      <c r="B8" s="53">
        <v>59.88</v>
      </c>
      <c r="C8" s="53">
        <f>_xlfn.XLOOKUP(A8,Crime_rate_Index[[State ]], Crime_rate_Index[Crime Index ▲], "NA", 1)</f>
        <v>1171</v>
      </c>
      <c r="D8" s="58" cm="1">
        <f t="array" ref="D8">_xlfn.XLOOKUP(A8, Party_Affliation_by_States[[#All],[State]], Party_Affliation_by_States[[#All],[Republican/lean Rep.]], "NA", 0)</f>
        <v>0.32</v>
      </c>
      <c r="E8" s="58" cm="1">
        <f t="array" ref="E8">_xlfn.XLOOKUP(A8, Party_Affliation_by_States[[#All],[State]], Party_Affliation_by_States[[#All],[No lean]], "NA", 0)</f>
        <v>0.18</v>
      </c>
      <c r="F8" s="58" cm="1">
        <f t="array" ref="F8">_xlfn.XLOOKUP(A8, Party_Affliation_by_States[[#All],[State]], Party_Affliation_by_States[[#All],[Democrat/lean Dem.]], "NA", 0)</f>
        <v>0.5</v>
      </c>
    </row>
    <row r="9" spans="1:17">
      <c r="A9" s="54" t="s">
        <v>778</v>
      </c>
      <c r="B9" s="55">
        <v>51.36</v>
      </c>
      <c r="C9" s="55">
        <f>_xlfn.XLOOKUP(A9,Crime_rate_Index[[State ]], Crime_rate_Index[Crime Index ▲], "NA", 1)</f>
        <v>1974</v>
      </c>
      <c r="D9" s="59" cm="1">
        <f t="array" ref="D9">_xlfn.XLOOKUP(A9, Party_Affliation_by_States[[#All],[State]], Party_Affliation_by_States[[#All],[Republican/lean Rep.]], "NA", 0)</f>
        <v>0.28999999999999998</v>
      </c>
      <c r="E9" s="59" cm="1">
        <f t="array" ref="E9">_xlfn.XLOOKUP(A9, Party_Affliation_by_States[[#All],[State]], Party_Affliation_by_States[[#All],[No lean]], "NA", 0)</f>
        <v>0.17</v>
      </c>
      <c r="F9" s="59" cm="1">
        <f t="array" ref="F9">_xlfn.XLOOKUP(A9, Party_Affliation_by_States[[#All],[State]], Party_Affliation_by_States[[#All],[Democrat/lean Dem.]], "NA", 0)</f>
        <v>0.55000000000000004</v>
      </c>
    </row>
    <row r="10" spans="1:17">
      <c r="A10" s="52" t="s">
        <v>751</v>
      </c>
      <c r="B10" s="53">
        <v>39.520000000000003</v>
      </c>
      <c r="C10" s="53">
        <f>_xlfn.XLOOKUP(A10,Crime_rate_Index[[State ]], Crime_rate_Index[Crime Index ▲], "NA", 1)</f>
        <v>2095</v>
      </c>
      <c r="D10" s="58" cm="1">
        <f t="array" ref="D10">_xlfn.XLOOKUP(A10, Party_Affliation_by_States[[#All],[State]], Party_Affliation_by_States[[#All],[Republican/lean Rep.]], "NA", 0)</f>
        <v>0.37</v>
      </c>
      <c r="E10" s="58" cm="1">
        <f t="array" ref="E10">_xlfn.XLOOKUP(A10, Party_Affliation_by_States[[#All],[State]], Party_Affliation_by_States[[#All],[No lean]], "NA", 0)</f>
        <v>0.19</v>
      </c>
      <c r="F10" s="58" cm="1">
        <f t="array" ref="F10">_xlfn.XLOOKUP(A10, Party_Affliation_by_States[[#All],[State]], Party_Affliation_by_States[[#All],[Democrat/lean Dem.]], "NA", 0)</f>
        <v>0.44</v>
      </c>
    </row>
    <row r="11" spans="1:17">
      <c r="A11" s="54" t="s">
        <v>767</v>
      </c>
      <c r="B11" s="55">
        <v>45.27</v>
      </c>
      <c r="C11" s="55">
        <f>_xlfn.XLOOKUP(A11,Crime_rate_Index[[State ]], Crime_rate_Index[Crime Index ▲], "NA", 1)</f>
        <v>1911</v>
      </c>
      <c r="D11" s="59" cm="1">
        <f t="array" ref="D11">_xlfn.XLOOKUP(A11, Party_Affliation_by_States[[#All],[State]], Party_Affliation_by_States[[#All],[Republican/lean Rep.]], "NA", 0)</f>
        <v>0.41</v>
      </c>
      <c r="E11" s="59" cm="1">
        <f t="array" ref="E11">_xlfn.XLOOKUP(A11, Party_Affliation_by_States[[#All],[State]], Party_Affliation_by_States[[#All],[No lean]], "NA", 0)</f>
        <v>0.18</v>
      </c>
      <c r="F11" s="59" cm="1">
        <f t="array" ref="F11">_xlfn.XLOOKUP(A11, Party_Affliation_by_States[[#All],[State]], Party_Affliation_by_States[[#All],[Democrat/lean Dem.]], "NA", 0)</f>
        <v>0.41</v>
      </c>
    </row>
    <row r="12" spans="1:17">
      <c r="A12" s="52" t="s">
        <v>810</v>
      </c>
      <c r="B12" s="53">
        <v>60.36</v>
      </c>
      <c r="C12" s="53">
        <f>_xlfn.XLOOKUP(A12,Crime_rate_Index[[State ]], Crime_rate_Index[Crime Index ▲], "NA", 1)</f>
        <v>1608</v>
      </c>
      <c r="D12" s="58" cm="1">
        <f t="array" ref="D12">_xlfn.XLOOKUP(A12, Party_Affliation_by_States[[#All],[State]], Party_Affliation_by_States[[#All],[Republican/lean Rep.]], "NA", 0)</f>
        <v>0.28000000000000003</v>
      </c>
      <c r="E12" s="58" cm="1">
        <f t="array" ref="E12">_xlfn.XLOOKUP(A12, Party_Affliation_by_States[[#All],[State]], Party_Affliation_by_States[[#All],[No lean]], "NA", 0)</f>
        <v>0.2</v>
      </c>
      <c r="F12" s="58" cm="1">
        <f t="array" ref="F12">_xlfn.XLOOKUP(A12, Party_Affliation_by_States[[#All],[State]], Party_Affliation_by_States[[#All],[Democrat/lean Dem.]], "NA", 0)</f>
        <v>0.51</v>
      </c>
    </row>
    <row r="13" spans="1:17">
      <c r="A13" s="54" t="s">
        <v>796</v>
      </c>
      <c r="B13" s="55">
        <v>54.67</v>
      </c>
      <c r="C13" s="55">
        <f>_xlfn.XLOOKUP(A13,Crime_rate_Index[[State ]], Crime_rate_Index[Crime Index ▲], "NA", 1)</f>
        <v>1068</v>
      </c>
      <c r="D13" s="59" cm="1">
        <f t="array" ref="D13">_xlfn.XLOOKUP(A13, Party_Affliation_by_States[[#All],[State]], Party_Affliation_by_States[[#All],[Republican/lean Rep.]], "NA", 0)</f>
        <v>0.49</v>
      </c>
      <c r="E13" s="59" cm="1">
        <f t="array" ref="E13">_xlfn.XLOOKUP(A13, Party_Affliation_by_States[[#All],[State]], Party_Affliation_by_States[[#All],[No lean]], "NA", 0)</f>
        <v>0.19</v>
      </c>
      <c r="F13" s="59" cm="1">
        <f t="array" ref="F13">_xlfn.XLOOKUP(A13, Party_Affliation_by_States[[#All],[State]], Party_Affliation_by_States[[#All],[Democrat/lean Dem.]], "NA", 0)</f>
        <v>0.32</v>
      </c>
    </row>
    <row r="14" spans="1:17">
      <c r="A14" s="52" t="s">
        <v>746</v>
      </c>
      <c r="B14" s="53">
        <v>47.68</v>
      </c>
      <c r="C14" s="53">
        <f>_xlfn.XLOOKUP(A14,Crime_rate_Index[[State ]], Crime_rate_Index[Crime Index ▲], "NA", 1)</f>
        <v>1616</v>
      </c>
      <c r="D14" s="58" cm="1">
        <f t="array" ref="D14">_xlfn.XLOOKUP(A14, Party_Affliation_by_States[[#All],[State]], Party_Affliation_by_States[[#All],[Republican/lean Rep.]], "NA", 0)</f>
        <v>0.33</v>
      </c>
      <c r="E14" s="58" cm="1">
        <f t="array" ref="E14">_xlfn.XLOOKUP(A14, Party_Affliation_by_States[[#All],[State]], Party_Affliation_by_States[[#All],[No lean]], "NA", 0)</f>
        <v>0.19</v>
      </c>
      <c r="F14" s="58" cm="1">
        <f t="array" ref="F14">_xlfn.XLOOKUP(A14, Party_Affliation_by_States[[#All],[State]], Party_Affliation_by_States[[#All],[Democrat/lean Dem.]], "NA", 0)</f>
        <v>0.48</v>
      </c>
    </row>
    <row r="15" spans="1:17">
      <c r="A15" s="54" t="s">
        <v>416</v>
      </c>
      <c r="B15" s="55">
        <v>52.98</v>
      </c>
      <c r="C15" s="55">
        <f>_xlfn.XLOOKUP(A15,Crime_rate_Index[[State ]], Crime_rate_Index[Crime Index ▲], "NA", 1)</f>
        <v>1599</v>
      </c>
      <c r="D15" s="59" cm="1">
        <f t="array" ref="D15">_xlfn.XLOOKUP(A15, Party_Affliation_by_States[[#All],[State]], Party_Affliation_by_States[[#All],[Republican/lean Rep.]], "NA", 0)</f>
        <v>0.42</v>
      </c>
      <c r="E15" s="59" cm="1">
        <f t="array" ref="E15">_xlfn.XLOOKUP(A15, Party_Affliation_by_States[[#All],[State]], Party_Affliation_by_States[[#All],[No lean]], "NA", 0)</f>
        <v>0.2</v>
      </c>
      <c r="F15" s="59" cm="1">
        <f t="array" ref="F15">_xlfn.XLOOKUP(A15, Party_Affliation_by_States[[#All],[State]], Party_Affliation_by_States[[#All],[Democrat/lean Dem.]], "NA", 0)</f>
        <v>0.37</v>
      </c>
    </row>
    <row r="16" spans="1:17">
      <c r="A16" s="52" t="s">
        <v>770</v>
      </c>
      <c r="B16" s="53">
        <v>55.29</v>
      </c>
      <c r="C16" s="53">
        <f>_xlfn.XLOOKUP(A16,Crime_rate_Index[[State ]], Crime_rate_Index[Crime Index ▲], "NA", 1)</f>
        <v>1203</v>
      </c>
      <c r="D16" s="58" cm="1">
        <f t="array" ref="D16">_xlfn.XLOOKUP(A16, Party_Affliation_by_States[[#All],[State]], Party_Affliation_by_States[[#All],[Republican/lean Rep.]], "NA", 0)</f>
        <v>0.41</v>
      </c>
      <c r="E16" s="58" cm="1">
        <f t="array" ref="E16">_xlfn.XLOOKUP(A16, Party_Affliation_by_States[[#All],[State]], Party_Affliation_by_States[[#All],[No lean]], "NA", 0)</f>
        <v>0.19</v>
      </c>
      <c r="F16" s="58" cm="1">
        <f t="array" ref="F16">_xlfn.XLOOKUP(A16, Party_Affliation_by_States[[#All],[State]], Party_Affliation_by_States[[#All],[Democrat/lean Dem.]], "NA", 0)</f>
        <v>0.4</v>
      </c>
    </row>
    <row r="17" spans="1:6">
      <c r="A17" s="54" t="s">
        <v>777</v>
      </c>
      <c r="B17" s="55">
        <v>42.91</v>
      </c>
      <c r="C17" s="55">
        <f>_xlfn.XLOOKUP(A17,Crime_rate_Index[[State ]], Crime_rate_Index[Crime Index ▲], "NA", 1)</f>
        <v>1670</v>
      </c>
      <c r="D17" s="59" cm="1">
        <f t="array" ref="D17">_xlfn.XLOOKUP(A17, Party_Affliation_by_States[[#All],[State]], Party_Affliation_by_States[[#All],[Republican/lean Rep.]], "NA", 0)</f>
        <v>0.46</v>
      </c>
      <c r="E17" s="59" cm="1">
        <f t="array" ref="E17">_xlfn.XLOOKUP(A17, Party_Affliation_by_States[[#All],[State]], Party_Affliation_by_States[[#All],[No lean]], "NA", 0)</f>
        <v>0.23</v>
      </c>
      <c r="F17" s="59" cm="1">
        <f t="array" ref="F17">_xlfn.XLOOKUP(A17, Party_Affliation_by_States[[#All],[State]], Party_Affliation_by_States[[#All],[Democrat/lean Dem.]], "NA", 0)</f>
        <v>0.31</v>
      </c>
    </row>
    <row r="18" spans="1:6">
      <c r="A18" s="52" t="s">
        <v>775</v>
      </c>
      <c r="B18" s="53">
        <v>48.73</v>
      </c>
      <c r="C18" s="53">
        <f>_xlfn.XLOOKUP(A18,Crime_rate_Index[[State ]], Crime_rate_Index[Crime Index ▲], "NA", 1)</f>
        <v>1305</v>
      </c>
      <c r="D18" s="58" cm="1">
        <f t="array" ref="D18">_xlfn.XLOOKUP(A18, Party_Affliation_by_States[[#All],[State]], Party_Affliation_by_States[[#All],[Republican/lean Rep.]], "NA", 0)</f>
        <v>0.44</v>
      </c>
      <c r="E18" s="58" cm="1">
        <f t="array" ref="E18">_xlfn.XLOOKUP(A18, Party_Affliation_by_States[[#All],[State]], Party_Affliation_by_States[[#All],[No lean]], "NA", 0)</f>
        <v>0.13</v>
      </c>
      <c r="F18" s="58" cm="1">
        <f t="array" ref="F18">_xlfn.XLOOKUP(A18, Party_Affliation_by_States[[#All],[State]], Party_Affliation_by_States[[#All],[Democrat/lean Dem.]], "NA", 0)</f>
        <v>0.43</v>
      </c>
    </row>
    <row r="19" spans="1:6">
      <c r="A19" s="54" t="s">
        <v>784</v>
      </c>
      <c r="B19" s="55">
        <v>31.64</v>
      </c>
      <c r="C19" s="55">
        <f>_xlfn.XLOOKUP(A19,Crime_rate_Index[[State ]], Crime_rate_Index[Crime Index ▲], "NA", 1)</f>
        <v>2167</v>
      </c>
      <c r="D19" s="59" cm="1">
        <f t="array" ref="D19">_xlfn.XLOOKUP(A19, Party_Affliation_by_States[[#All],[State]], Party_Affliation_by_States[[#All],[Republican/lean Rep.]], "NA", 0)</f>
        <v>0.41</v>
      </c>
      <c r="E19" s="59" cm="1">
        <f t="array" ref="E19">_xlfn.XLOOKUP(A19, Party_Affliation_by_States[[#All],[State]], Party_Affliation_by_States[[#All],[No lean]], "NA", 0)</f>
        <v>0.16</v>
      </c>
      <c r="F19" s="59" cm="1">
        <f t="array" ref="F19">_xlfn.XLOOKUP(A19, Party_Affliation_by_States[[#All],[State]], Party_Affliation_by_States[[#All],[Democrat/lean Dem.]], "NA", 0)</f>
        <v>0.43</v>
      </c>
    </row>
    <row r="20" spans="1:6">
      <c r="A20" s="52" t="s">
        <v>798</v>
      </c>
      <c r="B20" s="53">
        <v>66.95</v>
      </c>
      <c r="C20" s="53">
        <f>_xlfn.XLOOKUP(A20,Crime_rate_Index[[State ]], Crime_rate_Index[Crime Index ▲], "NA", 1)</f>
        <v>1017</v>
      </c>
      <c r="D20" s="58" cm="1">
        <f t="array" ref="D20">_xlfn.XLOOKUP(A20, Party_Affliation_by_States[[#All],[State]], Party_Affliation_by_States[[#All],[Republican/lean Rep.]], "NA", 0)</f>
        <v>0.36</v>
      </c>
      <c r="E20" s="58" cm="1">
        <f t="array" ref="E20">_xlfn.XLOOKUP(A20, Party_Affliation_by_States[[#All],[State]], Party_Affliation_by_States[[#All],[No lean]], "NA", 0)</f>
        <v>0.17</v>
      </c>
      <c r="F20" s="58" cm="1">
        <f t="array" ref="F20">_xlfn.XLOOKUP(A20, Party_Affliation_by_States[[#All],[State]], Party_Affliation_by_States[[#All],[Democrat/lean Dem.]], "NA", 0)</f>
        <v>0.47</v>
      </c>
    </row>
    <row r="21" spans="1:6">
      <c r="A21" s="54" t="s">
        <v>750</v>
      </c>
      <c r="B21" s="55">
        <v>53.23</v>
      </c>
      <c r="C21" s="55">
        <f>_xlfn.XLOOKUP(A21,Crime_rate_Index[[State ]], Crime_rate_Index[Crime Index ▲], "NA", 1)</f>
        <v>1884</v>
      </c>
      <c r="D21" s="59" cm="1">
        <f t="array" ref="D21">_xlfn.XLOOKUP(A21, Party_Affliation_by_States[[#All],[State]], Party_Affliation_by_States[[#All],[Republican/lean Rep.]], "NA", 0)</f>
        <v>0.31</v>
      </c>
      <c r="E21" s="59" cm="1">
        <f t="array" ref="E21">_xlfn.XLOOKUP(A21, Party_Affliation_by_States[[#All],[State]], Party_Affliation_by_States[[#All],[No lean]], "NA", 0)</f>
        <v>0.14000000000000001</v>
      </c>
      <c r="F21" s="59" cm="1">
        <f t="array" ref="F21">_xlfn.XLOOKUP(A21, Party_Affliation_by_States[[#All],[State]], Party_Affliation_by_States[[#All],[Democrat/lean Dem.]], "NA", 0)</f>
        <v>0.55000000000000004</v>
      </c>
    </row>
    <row r="22" spans="1:6">
      <c r="A22" s="52" t="s">
        <v>738</v>
      </c>
      <c r="B22" s="53">
        <v>60.02</v>
      </c>
      <c r="C22" s="53">
        <f>_xlfn.XLOOKUP(A22,Crime_rate_Index[[State ]], Crime_rate_Index[Crime Index ▲], "NA", 1)</f>
        <v>1368</v>
      </c>
      <c r="D22" s="58" cm="1">
        <f t="array" ref="D22">_xlfn.XLOOKUP(A22, Party_Affliation_by_States[[#All],[State]], Party_Affliation_by_States[[#All],[Republican/lean Rep.]], "NA", 0)</f>
        <v>0.27</v>
      </c>
      <c r="E22" s="58" cm="1">
        <f t="array" ref="E22">_xlfn.XLOOKUP(A22, Party_Affliation_by_States[[#All],[State]], Party_Affliation_by_States[[#All],[No lean]], "NA", 0)</f>
        <v>0.17</v>
      </c>
      <c r="F22" s="58" cm="1">
        <f t="array" ref="F22">_xlfn.XLOOKUP(A22, Party_Affliation_by_States[[#All],[State]], Party_Affliation_by_States[[#All],[Democrat/lean Dem.]], "NA", 0)</f>
        <v>0.56000000000000005</v>
      </c>
    </row>
    <row r="23" spans="1:6">
      <c r="A23" s="54" t="s">
        <v>741</v>
      </c>
      <c r="B23" s="55">
        <v>49.79</v>
      </c>
      <c r="C23" s="55">
        <f>_xlfn.XLOOKUP(A23,Crime_rate_Index[[State ]], Crime_rate_Index[Crime Index ▲], "NA", 1)</f>
        <v>1757</v>
      </c>
      <c r="D23" s="59" cm="1">
        <f t="array" ref="D23">_xlfn.XLOOKUP(A23, Party_Affliation_by_States[[#All],[State]], Party_Affliation_by_States[[#All],[Republican/lean Rep.]], "NA", 0)</f>
        <v>0.34</v>
      </c>
      <c r="E23" s="59" cm="1">
        <f t="array" ref="E23">_xlfn.XLOOKUP(A23, Party_Affliation_by_States[[#All],[State]], Party_Affliation_by_States[[#All],[No lean]], "NA", 0)</f>
        <v>0.19</v>
      </c>
      <c r="F23" s="59" cm="1">
        <f t="array" ref="F23">_xlfn.XLOOKUP(A23, Party_Affliation_by_States[[#All],[State]], Party_Affliation_by_States[[#All],[Democrat/lean Dem.]], "NA", 0)</f>
        <v>0.47</v>
      </c>
    </row>
    <row r="24" spans="1:6">
      <c r="A24" s="52" t="s">
        <v>748</v>
      </c>
      <c r="B24" s="53">
        <v>59.81</v>
      </c>
      <c r="C24" s="53">
        <f>_xlfn.XLOOKUP(A24,Crime_rate_Index[[State ]], Crime_rate_Index[Crime Index ▲], "NA", 1)</f>
        <v>1298</v>
      </c>
      <c r="D24" s="58" cm="1">
        <f t="array" ref="D24">_xlfn.XLOOKUP(A24, Party_Affliation_by_States[[#All],[State]], Party_Affliation_by_States[[#All],[Republican/lean Rep.]], "NA", 0)</f>
        <v>0.39</v>
      </c>
      <c r="E24" s="58" cm="1">
        <f t="array" ref="E24">_xlfn.XLOOKUP(A24, Party_Affliation_by_States[[#All],[State]], Party_Affliation_by_States[[#All],[No lean]], "NA", 0)</f>
        <v>0.15</v>
      </c>
      <c r="F24" s="58" cm="1">
        <f t="array" ref="F24">_xlfn.XLOOKUP(A24, Party_Affliation_by_States[[#All],[State]], Party_Affliation_by_States[[#All],[Democrat/lean Dem.]], "NA", 0)</f>
        <v>0.46</v>
      </c>
    </row>
    <row r="25" spans="1:6">
      <c r="A25" s="54" t="s">
        <v>793</v>
      </c>
      <c r="B25" s="55">
        <v>32.520000000000003</v>
      </c>
      <c r="C25" s="55">
        <f>_xlfn.XLOOKUP(A25,Crime_rate_Index[[State ]], Crime_rate_Index[Crime Index ▲], "NA", 1)</f>
        <v>1584</v>
      </c>
      <c r="D25" s="59" cm="1">
        <f t="array" ref="D25">_xlfn.XLOOKUP(A25, Party_Affliation_by_States[[#All],[State]], Party_Affliation_by_States[[#All],[Republican/lean Rep.]], "NA", 0)</f>
        <v>0.44</v>
      </c>
      <c r="E25" s="59" cm="1">
        <f t="array" ref="E25">_xlfn.XLOOKUP(A25, Party_Affliation_by_States[[#All],[State]], Party_Affliation_by_States[[#All],[No lean]], "NA", 0)</f>
        <v>0.14000000000000001</v>
      </c>
      <c r="F25" s="59" cm="1">
        <f t="array" ref="F25">_xlfn.XLOOKUP(A25, Party_Affliation_by_States[[#All],[State]], Party_Affliation_by_States[[#All],[Democrat/lean Dem.]], "NA", 0)</f>
        <v>0.42</v>
      </c>
    </row>
    <row r="26" spans="1:6">
      <c r="A26" s="52" t="s">
        <v>763</v>
      </c>
      <c r="B26" s="53">
        <v>40.25</v>
      </c>
      <c r="C26" s="53">
        <f>_xlfn.XLOOKUP(A26,Crime_rate_Index[[State ]], Crime_rate_Index[Crime Index ▲], "NA", 1)</f>
        <v>1858</v>
      </c>
      <c r="D26" s="58" cm="1">
        <f t="array" ref="D26">_xlfn.XLOOKUP(A26, Party_Affliation_by_States[[#All],[State]], Party_Affliation_by_States[[#All],[Republican/lean Rep.]], "NA", 0)</f>
        <v>0.41</v>
      </c>
      <c r="E26" s="58" cm="1">
        <f t="array" ref="E26">_xlfn.XLOOKUP(A26, Party_Affliation_by_States[[#All],[State]], Party_Affliation_by_States[[#All],[No lean]], "NA", 0)</f>
        <v>0.18</v>
      </c>
      <c r="F26" s="58" cm="1">
        <f t="array" ref="F26">_xlfn.XLOOKUP(A26, Party_Affliation_by_States[[#All],[State]], Party_Affliation_by_States[[#All],[Democrat/lean Dem.]], "NA", 0)</f>
        <v>0.42</v>
      </c>
    </row>
    <row r="27" spans="1:6">
      <c r="A27" s="54" t="s">
        <v>794</v>
      </c>
      <c r="B27" s="55">
        <v>42.16</v>
      </c>
      <c r="C27" s="55">
        <f>_xlfn.XLOOKUP(A27,Crime_rate_Index[[State ]], Crime_rate_Index[Crime Index ▲], "NA", 1)</f>
        <v>1230</v>
      </c>
      <c r="D27" s="59" cm="1">
        <f t="array" ref="D27">_xlfn.XLOOKUP(A27, Party_Affliation_by_States[[#All],[State]], Party_Affliation_by_States[[#All],[Republican/lean Rep.]], "NA", 0)</f>
        <v>0.49</v>
      </c>
      <c r="E27" s="59" cm="1">
        <f t="array" ref="E27">_xlfn.XLOOKUP(A27, Party_Affliation_by_States[[#All],[State]], Party_Affliation_by_States[[#All],[No lean]], "NA", 0)</f>
        <v>0.21</v>
      </c>
      <c r="F27" s="59" cm="1">
        <f t="array" ref="F27">_xlfn.XLOOKUP(A27, Party_Affliation_by_States[[#All],[State]], Party_Affliation_by_States[[#All],[Democrat/lean Dem.]], "NA", 0)</f>
        <v>0.3</v>
      </c>
    </row>
    <row r="28" spans="1:6">
      <c r="A28" s="52" t="s">
        <v>764</v>
      </c>
      <c r="B28" s="53">
        <v>46.58</v>
      </c>
      <c r="C28" s="53">
        <f>_xlfn.XLOOKUP(A28,Crime_rate_Index[[State ]], Crime_rate_Index[Crime Index ▲], "NA", 1)</f>
        <v>1390</v>
      </c>
      <c r="D28" s="58" cm="1">
        <f t="array" ref="D28">_xlfn.XLOOKUP(A28, Party_Affliation_by_States[[#All],[State]], Party_Affliation_by_States[[#All],[Republican/lean Rep.]], "NA", 0)</f>
        <v>0.47</v>
      </c>
      <c r="E28" s="58" cm="1">
        <f t="array" ref="E28">_xlfn.XLOOKUP(A28, Party_Affliation_by_States[[#All],[State]], Party_Affliation_by_States[[#All],[No lean]], "NA", 0)</f>
        <v>0.17</v>
      </c>
      <c r="F28" s="58" cm="1">
        <f t="array" ref="F28">_xlfn.XLOOKUP(A28, Party_Affliation_by_States[[#All],[State]], Party_Affliation_by_States[[#All],[Democrat/lean Dem.]], "NA", 0)</f>
        <v>0.36</v>
      </c>
    </row>
    <row r="29" spans="1:6">
      <c r="A29" s="54" t="s">
        <v>719</v>
      </c>
      <c r="B29" s="55">
        <v>47.72</v>
      </c>
      <c r="C29" s="55">
        <f>_xlfn.XLOOKUP(A29,Crime_rate_Index[[State ]], Crime_rate_Index[Crime Index ▲], "NA", 1)</f>
        <v>2180</v>
      </c>
      <c r="D29" s="59" cm="1">
        <f t="array" ref="D29">_xlfn.XLOOKUP(A29, Party_Affliation_by_States[[#All],[State]], Party_Affliation_by_States[[#All],[Republican/lean Rep.]], "NA", 0)</f>
        <v>0.37</v>
      </c>
      <c r="E29" s="59" cm="1">
        <f t="array" ref="E29">_xlfn.XLOOKUP(A29, Party_Affliation_by_States[[#All],[State]], Party_Affliation_by_States[[#All],[No lean]], "NA", 0)</f>
        <v>0.18</v>
      </c>
      <c r="F29" s="59" cm="1">
        <f t="array" ref="F29">_xlfn.XLOOKUP(A29, Party_Affliation_by_States[[#All],[State]], Party_Affliation_by_States[[#All],[Democrat/lean Dem.]], "NA", 0)</f>
        <v>0.46</v>
      </c>
    </row>
    <row r="30" spans="1:6">
      <c r="A30" s="52" t="s">
        <v>773</v>
      </c>
      <c r="B30" s="53">
        <v>63.99</v>
      </c>
      <c r="C30" s="53">
        <f>_xlfn.XLOOKUP(A30,Crime_rate_Index[[State ]], Crime_rate_Index[Crime Index ▲], "NA", 1)</f>
        <v>956</v>
      </c>
      <c r="D30" s="58" cm="1">
        <f t="array" ref="D30">_xlfn.XLOOKUP(A30, Party_Affliation_by_States[[#All],[State]], Party_Affliation_by_States[[#All],[Republican/lean Rep.]], "NA", 0)</f>
        <v>0.35</v>
      </c>
      <c r="E30" s="58" cm="1">
        <f t="array" ref="E30">_xlfn.XLOOKUP(A30, Party_Affliation_by_States[[#All],[State]], Party_Affliation_by_States[[#All],[No lean]], "NA", 0)</f>
        <v>0.2</v>
      </c>
      <c r="F30" s="58" cm="1">
        <f t="array" ref="F30">_xlfn.XLOOKUP(A30, Party_Affliation_by_States[[#All],[State]], Party_Affliation_by_States[[#All],[Democrat/lean Dem.]], "NA", 0)</f>
        <v>0.44</v>
      </c>
    </row>
    <row r="31" spans="1:6">
      <c r="A31" s="54" t="s">
        <v>747</v>
      </c>
      <c r="B31" s="55">
        <v>54.62</v>
      </c>
      <c r="C31" s="55">
        <f>_xlfn.XLOOKUP(A31,Crime_rate_Index[[State ]], Crime_rate_Index[Crime Index ▲], "NA", 1)</f>
        <v>1180</v>
      </c>
      <c r="D31" s="59" cm="1">
        <f t="array" ref="D31">_xlfn.XLOOKUP(A31, Party_Affliation_by_States[[#All],[State]], Party_Affliation_by_States[[#All],[Republican/lean Rep.]], "NA", 0)</f>
        <v>0.3</v>
      </c>
      <c r="E31" s="59" cm="1">
        <f t="array" ref="E31">_xlfn.XLOOKUP(A31, Party_Affliation_by_States[[#All],[State]], Party_Affliation_by_States[[#All],[No lean]], "NA", 0)</f>
        <v>0.19</v>
      </c>
      <c r="F31" s="59" cm="1">
        <f t="array" ref="F31">_xlfn.XLOOKUP(A31, Party_Affliation_by_States[[#All],[State]], Party_Affliation_by_States[[#All],[Democrat/lean Dem.]], "NA", 0)</f>
        <v>0.51</v>
      </c>
    </row>
    <row r="32" spans="1:6">
      <c r="A32" s="52" t="s">
        <v>780</v>
      </c>
      <c r="B32" s="53">
        <v>49.92</v>
      </c>
      <c r="C32" s="53">
        <f>_xlfn.XLOOKUP(A32,Crime_rate_Index[[State ]], Crime_rate_Index[Crime Index ▲], "NA", 1)</f>
        <v>2241</v>
      </c>
      <c r="D32" s="58" cm="1">
        <f t="array" ref="D32">_xlfn.XLOOKUP(A32, Party_Affliation_by_States[[#All],[State]], Party_Affliation_by_States[[#All],[Republican/lean Rep.]], "NA", 0)</f>
        <v>0.37</v>
      </c>
      <c r="E32" s="58" cm="1">
        <f t="array" ref="E32">_xlfn.XLOOKUP(A32, Party_Affliation_by_States[[#All],[State]], Party_Affliation_by_States[[#All],[No lean]], "NA", 0)</f>
        <v>0.15</v>
      </c>
      <c r="F32" s="58" cm="1">
        <f t="array" ref="F32">_xlfn.XLOOKUP(A32, Party_Affliation_by_States[[#All],[State]], Party_Affliation_by_States[[#All],[Democrat/lean Dem.]], "NA", 0)</f>
        <v>0.48</v>
      </c>
    </row>
    <row r="33" spans="1:6">
      <c r="A33" s="54" t="s">
        <v>740</v>
      </c>
      <c r="B33" s="55">
        <v>51.92</v>
      </c>
      <c r="C33" s="55">
        <f>_xlfn.XLOOKUP(A33,Crime_rate_Index[[State ]], Crime_rate_Index[Crime Index ▲], "NA", 1)</f>
        <v>1194</v>
      </c>
      <c r="D33" s="59" cm="1">
        <f t="array" ref="D33">_xlfn.XLOOKUP(A33, Party_Affliation_by_States[[#All],[State]], Party_Affliation_by_States[[#All],[Republican/lean Rep.]], "NA", 0)</f>
        <v>0.28000000000000003</v>
      </c>
      <c r="E33" s="59" cm="1">
        <f t="array" ref="E33">_xlfn.XLOOKUP(A33, Party_Affliation_by_States[[#All],[State]], Party_Affliation_by_States[[#All],[No lean]], "NA", 0)</f>
        <v>0.19</v>
      </c>
      <c r="F33" s="59" cm="1">
        <f t="array" ref="F33">_xlfn.XLOOKUP(A33, Party_Affliation_by_States[[#All],[State]], Party_Affliation_by_States[[#All],[Democrat/lean Dem.]], "NA", 0)</f>
        <v>0.53</v>
      </c>
    </row>
    <row r="34" spans="1:6">
      <c r="A34" s="52" t="s">
        <v>752</v>
      </c>
      <c r="B34" s="53">
        <v>52.37</v>
      </c>
      <c r="C34" s="53">
        <f>_xlfn.XLOOKUP(A34,Crime_rate_Index[[State ]], Crime_rate_Index[Crime Index ▲], "NA", 1)</f>
        <v>1869</v>
      </c>
      <c r="D34" s="58" cm="1">
        <f t="array" ref="D34">_xlfn.XLOOKUP(A34, Party_Affliation_by_States[[#All],[State]], Party_Affliation_by_States[[#All],[Republican/lean Rep.]], "NA", 0)</f>
        <v>0.41</v>
      </c>
      <c r="E34" s="58" cm="1">
        <f t="array" ref="E34">_xlfn.XLOOKUP(A34, Party_Affliation_by_States[[#All],[State]], Party_Affliation_by_States[[#All],[No lean]], "NA", 0)</f>
        <v>0.17</v>
      </c>
      <c r="F34" s="58" cm="1">
        <f t="array" ref="F34">_xlfn.XLOOKUP(A34, Party_Affliation_by_States[[#All],[State]], Party_Affliation_by_States[[#All],[Democrat/lean Dem.]], "NA", 0)</f>
        <v>0.43</v>
      </c>
    </row>
    <row r="35" spans="1:6">
      <c r="A35" s="54" t="s">
        <v>802</v>
      </c>
      <c r="B35" s="55">
        <v>47.94</v>
      </c>
      <c r="C35" s="55">
        <f>_xlfn.XLOOKUP(A35,Crime_rate_Index[[State ]], Crime_rate_Index[Crime Index ▲], "NA", 1)</f>
        <v>985</v>
      </c>
      <c r="D35" s="59" cm="1">
        <f t="array" ref="D35">_xlfn.XLOOKUP(A35, Party_Affliation_by_States[[#All],[State]], Party_Affliation_by_States[[#All],[Republican/lean Rep.]], "NA", 0)</f>
        <v>0.5</v>
      </c>
      <c r="E35" s="59" cm="1">
        <f t="array" ref="E35">_xlfn.XLOOKUP(A35, Party_Affliation_by_States[[#All],[State]], Party_Affliation_by_States[[#All],[No lean]], "NA", 0)</f>
        <v>0.18</v>
      </c>
      <c r="F35" s="59" cm="1">
        <f t="array" ref="F35">_xlfn.XLOOKUP(A35, Party_Affliation_by_States[[#All],[State]], Party_Affliation_by_States[[#All],[Democrat/lean Dem.]], "NA", 0)</f>
        <v>0.33</v>
      </c>
    </row>
    <row r="36" spans="1:6">
      <c r="A36" s="52" t="s">
        <v>756</v>
      </c>
      <c r="B36" s="53">
        <v>45.14</v>
      </c>
      <c r="C36" s="53">
        <f>_xlfn.XLOOKUP(A36,Crime_rate_Index[[State ]], Crime_rate_Index[Crime Index ▲], "NA", 1)</f>
        <v>1691</v>
      </c>
      <c r="D36" s="58" cm="1">
        <f t="array" ref="D36">_xlfn.XLOOKUP(A36, Party_Affliation_by_States[[#All],[State]], Party_Affliation_by_States[[#All],[Republican/lean Rep.]], "NA", 0)</f>
        <v>0.42</v>
      </c>
      <c r="E36" s="58" cm="1">
        <f t="array" ref="E36">_xlfn.XLOOKUP(A36, Party_Affliation_by_States[[#All],[State]], Party_Affliation_by_States[[#All],[No lean]], "NA", 0)</f>
        <v>0.18</v>
      </c>
      <c r="F36" s="58" cm="1">
        <f t="array" ref="F36">_xlfn.XLOOKUP(A36, Party_Affliation_by_States[[#All],[State]], Party_Affliation_by_States[[#All],[Democrat/lean Dem.]], "NA", 0)</f>
        <v>0.4</v>
      </c>
    </row>
    <row r="37" spans="1:6">
      <c r="A37" s="54" t="s">
        <v>787</v>
      </c>
      <c r="B37" s="55">
        <v>39.340000000000003</v>
      </c>
      <c r="C37" s="55">
        <f>_xlfn.XLOOKUP(A37,Crime_rate_Index[[State ]], Crime_rate_Index[Crime Index ▲], "NA", 1)</f>
        <v>1938</v>
      </c>
      <c r="D37" s="59" cm="1">
        <f t="array" ref="D37">_xlfn.XLOOKUP(A37, Party_Affliation_by_States[[#All],[State]], Party_Affliation_by_States[[#All],[Republican/lean Rep.]], "NA", 0)</f>
        <v>0.45</v>
      </c>
      <c r="E37" s="59" cm="1">
        <f t="array" ref="E37">_xlfn.XLOOKUP(A37, Party_Affliation_by_States[[#All],[State]], Party_Affliation_by_States[[#All],[No lean]], "NA", 0)</f>
        <v>0.15</v>
      </c>
      <c r="F37" s="59" cm="1">
        <f t="array" ref="F37">_xlfn.XLOOKUP(A37, Party_Affliation_by_States[[#All],[State]], Party_Affliation_by_States[[#All],[Democrat/lean Dem.]], "NA", 0)</f>
        <v>0.4</v>
      </c>
    </row>
    <row r="38" spans="1:6">
      <c r="A38" s="52" t="s">
        <v>766</v>
      </c>
      <c r="B38" s="53">
        <v>55.48</v>
      </c>
      <c r="C38" s="53">
        <f>_xlfn.XLOOKUP(A38,Crime_rate_Index[[State ]], Crime_rate_Index[Crime Index ▲], "NA", 1)</f>
        <v>1497</v>
      </c>
      <c r="D38" s="58" cm="1">
        <f t="array" ref="D38">_xlfn.XLOOKUP(A38, Party_Affliation_by_States[[#All],[State]], Party_Affliation_by_States[[#All],[Republican/lean Rep.]], "NA", 0)</f>
        <v>0.32</v>
      </c>
      <c r="E38" s="58" cm="1">
        <f t="array" ref="E38">_xlfn.XLOOKUP(A38, Party_Affliation_by_States[[#All],[State]], Party_Affliation_by_States[[#All],[No lean]], "NA", 0)</f>
        <v>0.21</v>
      </c>
      <c r="F38" s="58" cm="1">
        <f t="array" ref="F38">_xlfn.XLOOKUP(A38, Party_Affliation_by_States[[#All],[State]], Party_Affliation_by_States[[#All],[Democrat/lean Dem.]], "NA", 0)</f>
        <v>0.47</v>
      </c>
    </row>
    <row r="39" spans="1:6">
      <c r="A39" s="54" t="s">
        <v>743</v>
      </c>
      <c r="B39" s="55">
        <v>48.51</v>
      </c>
      <c r="C39" s="55">
        <f>_xlfn.XLOOKUP(A39,Crime_rate_Index[[State ]], Crime_rate_Index[Crime Index ▲], "NA", 1)</f>
        <v>1335</v>
      </c>
      <c r="D39" s="59" cm="1">
        <f t="array" ref="D39">_xlfn.XLOOKUP(A39, Party_Affliation_by_States[[#All],[State]], Party_Affliation_by_States[[#All],[Republican/lean Rep.]], "NA", 0)</f>
        <v>0.39</v>
      </c>
      <c r="E39" s="59" cm="1">
        <f t="array" ref="E39">_xlfn.XLOOKUP(A39, Party_Affliation_by_States[[#All],[State]], Party_Affliation_by_States[[#All],[No lean]], "NA", 0)</f>
        <v>0.15</v>
      </c>
      <c r="F39" s="59" cm="1">
        <f t="array" ref="F39">_xlfn.XLOOKUP(A39, Party_Affliation_by_States[[#All],[State]], Party_Affliation_by_States[[#All],[Democrat/lean Dem.]], "NA", 0)</f>
        <v>0.46</v>
      </c>
    </row>
    <row r="40" spans="1:6">
      <c r="A40" s="52" t="s">
        <v>768</v>
      </c>
      <c r="B40" s="53">
        <v>58.99</v>
      </c>
      <c r="C40" s="53">
        <f>_xlfn.XLOOKUP(A40,Crime_rate_Index[[State ]], Crime_rate_Index[Crime Index ▲], "NA", 1)</f>
        <v>1268</v>
      </c>
      <c r="D40" s="58" cm="1">
        <f t="array" ref="D40">_xlfn.XLOOKUP(A40, Party_Affliation_by_States[[#All],[State]], Party_Affliation_by_States[[#All],[Republican/lean Rep.]], "NA", 0)</f>
        <v>0.3</v>
      </c>
      <c r="E40" s="58" cm="1">
        <f t="array" ref="E40">_xlfn.XLOOKUP(A40, Party_Affliation_by_States[[#All],[State]], Party_Affliation_by_States[[#All],[No lean]], "NA", 0)</f>
        <v>0.22</v>
      </c>
      <c r="F40" s="58" cm="1">
        <f t="array" ref="F40">_xlfn.XLOOKUP(A40, Party_Affliation_by_States[[#All],[State]], Party_Affliation_by_States[[#All],[Democrat/lean Dem.]], "NA", 0)</f>
        <v>0.48</v>
      </c>
    </row>
    <row r="41" spans="1:6">
      <c r="A41" s="54" t="s">
        <v>783</v>
      </c>
      <c r="B41" s="55">
        <v>41.03</v>
      </c>
      <c r="C41" s="55">
        <f>_xlfn.XLOOKUP(A41,Crime_rate_Index[[State ]], Crime_rate_Index[Crime Index ▲], "NA", 1)</f>
        <v>2253</v>
      </c>
      <c r="D41" s="59" cm="1">
        <f t="array" ref="D41">_xlfn.XLOOKUP(A41, Party_Affliation_by_States[[#All],[State]], Party_Affliation_by_States[[#All],[Republican/lean Rep.]], "NA", 0)</f>
        <v>0.43</v>
      </c>
      <c r="E41" s="59" cm="1">
        <f t="array" ref="E41">_xlfn.XLOOKUP(A41, Party_Affliation_by_States[[#All],[State]], Party_Affliation_by_States[[#All],[No lean]], "NA", 0)</f>
        <v>0.18</v>
      </c>
      <c r="F41" s="59" cm="1">
        <f t="array" ref="F41">_xlfn.XLOOKUP(A41, Party_Affliation_by_States[[#All],[State]], Party_Affliation_by_States[[#All],[Democrat/lean Dem.]], "NA", 0)</f>
        <v>0.39</v>
      </c>
    </row>
    <row r="42" spans="1:6">
      <c r="A42" s="52" t="s">
        <v>808</v>
      </c>
      <c r="B42" s="53">
        <v>43.38</v>
      </c>
      <c r="C42" s="53">
        <f>_xlfn.XLOOKUP(A42,Crime_rate_Index[[State ]], Crime_rate_Index[Crime Index ▲], "NA", 1)</f>
        <v>1042</v>
      </c>
      <c r="D42" s="58" cm="1">
        <f t="array" ref="D42">_xlfn.XLOOKUP(A42, Party_Affliation_by_States[[#All],[State]], Party_Affliation_by_States[[#All],[Republican/lean Rep.]], "NA", 0)</f>
        <v>0.53</v>
      </c>
      <c r="E42" s="58" cm="1">
        <f t="array" ref="E42">_xlfn.XLOOKUP(A42, Party_Affliation_by_States[[#All],[State]], Party_Affliation_by_States[[#All],[No lean]], "NA", 0)</f>
        <v>0.1</v>
      </c>
      <c r="F42" s="58" cm="1">
        <f t="array" ref="F42">_xlfn.XLOOKUP(A42, Party_Affliation_by_States[[#All],[State]], Party_Affliation_by_States[[#All],[Democrat/lean Dem.]], "NA", 0)</f>
        <v>0.37</v>
      </c>
    </row>
    <row r="43" spans="1:6">
      <c r="A43" s="54" t="s">
        <v>771</v>
      </c>
      <c r="B43" s="55">
        <v>41.34</v>
      </c>
      <c r="C43" s="55">
        <f>_xlfn.XLOOKUP(A43,Crime_rate_Index[[State ]], Crime_rate_Index[Crime Index ▲], "NA", 1)</f>
        <v>2194</v>
      </c>
      <c r="D43" s="59" cm="1">
        <f t="array" ref="D43">_xlfn.XLOOKUP(A43, Party_Affliation_by_States[[#All],[State]], Party_Affliation_by_States[[#All],[Republican/lean Rep.]], "NA", 0)</f>
        <v>0.48</v>
      </c>
      <c r="E43" s="59" cm="1">
        <f t="array" ref="E43">_xlfn.XLOOKUP(A43, Party_Affliation_by_States[[#All],[State]], Party_Affliation_by_States[[#All],[No lean]], "NA", 0)</f>
        <v>0.15</v>
      </c>
      <c r="F43" s="59" cm="1">
        <f t="array" ref="F43">_xlfn.XLOOKUP(A43, Party_Affliation_by_States[[#All],[State]], Party_Affliation_by_States[[#All],[Democrat/lean Dem.]], "NA", 0)</f>
        <v>0.36</v>
      </c>
    </row>
    <row r="44" spans="1:6">
      <c r="A44" s="52" t="s">
        <v>745</v>
      </c>
      <c r="B44" s="53">
        <v>36.770000000000003</v>
      </c>
      <c r="C44" s="53">
        <f>_xlfn.XLOOKUP(A44,Crime_rate_Index[[State ]], Crime_rate_Index[Crime Index ▲], "NA", 1)</f>
        <v>1962</v>
      </c>
      <c r="D44" s="58" cm="1">
        <f t="array" ref="D44">_xlfn.XLOOKUP(A44, Party_Affliation_by_States[[#All],[State]], Party_Affliation_by_States[[#All],[Republican/lean Rep.]], "NA", 0)</f>
        <v>0.39</v>
      </c>
      <c r="E44" s="58" cm="1">
        <f t="array" ref="E44">_xlfn.XLOOKUP(A44, Party_Affliation_by_States[[#All],[State]], Party_Affliation_by_States[[#All],[No lean]], "NA", 0)</f>
        <v>0.21</v>
      </c>
      <c r="F44" s="58" cm="1">
        <f t="array" ref="F44">_xlfn.XLOOKUP(A44, Party_Affliation_by_States[[#All],[State]], Party_Affliation_by_States[[#All],[Democrat/lean Dem.]], "NA", 0)</f>
        <v>0.4</v>
      </c>
    </row>
    <row r="45" spans="1:6">
      <c r="A45" s="54" t="s">
        <v>761</v>
      </c>
      <c r="B45" s="55">
        <v>63.48</v>
      </c>
      <c r="C45" s="55">
        <f>_xlfn.XLOOKUP(A45,Crime_rate_Index[[State ]], Crime_rate_Index[Crime Index ▲], "NA", 1)</f>
        <v>1405</v>
      </c>
      <c r="D45" s="59" cm="1">
        <f t="array" ref="D45">_xlfn.XLOOKUP(A45, Party_Affliation_by_States[[#All],[State]], Party_Affliation_by_States[[#All],[Republican/lean Rep.]], "NA", 0)</f>
        <v>0.54</v>
      </c>
      <c r="E45" s="59" cm="1">
        <f t="array" ref="E45">_xlfn.XLOOKUP(A45, Party_Affliation_by_States[[#All],[State]], Party_Affliation_by_States[[#All],[No lean]], "NA", 0)</f>
        <v>0.16</v>
      </c>
      <c r="F45" s="59" cm="1">
        <f t="array" ref="F45">_xlfn.XLOOKUP(A45, Party_Affliation_by_States[[#All],[State]], Party_Affliation_by_States[[#All],[Democrat/lean Dem.]], "NA", 0)</f>
        <v>0.3</v>
      </c>
    </row>
    <row r="46" spans="1:6">
      <c r="A46" s="52" t="s">
        <v>785</v>
      </c>
      <c r="B46" s="53">
        <v>68.790000000000006</v>
      </c>
      <c r="C46" s="53">
        <f>_xlfn.XLOOKUP(A46,Crime_rate_Index[[State ]], Crime_rate_Index[Crime Index ▲], "NA", 1)</f>
        <v>950</v>
      </c>
      <c r="D46" s="58" cm="1">
        <f t="array" ref="D46">_xlfn.XLOOKUP(A46, Party_Affliation_by_States[[#All],[State]], Party_Affliation_by_States[[#All],[Republican/lean Rep.]], "NA", 0)</f>
        <v>0.28999999999999998</v>
      </c>
      <c r="E46" s="58" cm="1">
        <f t="array" ref="E46">_xlfn.XLOOKUP(A46, Party_Affliation_by_States[[#All],[State]], Party_Affliation_by_States[[#All],[No lean]], "NA", 0)</f>
        <v>0.14000000000000001</v>
      </c>
      <c r="F46" s="58" cm="1">
        <f t="array" ref="F46">_xlfn.XLOOKUP(A46, Party_Affliation_by_States[[#All],[State]], Party_Affliation_by_States[[#All],[Democrat/lean Dem.]], "NA", 0)</f>
        <v>0.56999999999999995</v>
      </c>
    </row>
    <row r="47" spans="1:6">
      <c r="A47" s="54" t="s">
        <v>760</v>
      </c>
      <c r="B47" s="55">
        <v>55.99</v>
      </c>
      <c r="C47" s="55">
        <f>_xlfn.XLOOKUP(A47,Crime_rate_Index[[State ]], Crime_rate_Index[Crime Index ▲], "NA", 1)</f>
        <v>1125</v>
      </c>
      <c r="D47" s="59" cm="1">
        <f t="array" ref="D47">_xlfn.XLOOKUP(A47, Party_Affliation_by_States[[#All],[State]], Party_Affliation_by_States[[#All],[Republican/lean Rep.]], "NA", 0)</f>
        <v>0.43</v>
      </c>
      <c r="E47" s="59" cm="1">
        <f t="array" ref="E47">_xlfn.XLOOKUP(A47, Party_Affliation_by_States[[#All],[State]], Party_Affliation_by_States[[#All],[No lean]], "NA", 0)</f>
        <v>0.18</v>
      </c>
      <c r="F47" s="59" cm="1">
        <f t="array" ref="F47">_xlfn.XLOOKUP(A47, Party_Affliation_by_States[[#All],[State]], Party_Affliation_by_States[[#All],[Democrat/lean Dem.]], "NA", 0)</f>
        <v>0.39</v>
      </c>
    </row>
    <row r="48" spans="1:6">
      <c r="A48" s="52" t="s">
        <v>71</v>
      </c>
      <c r="B48" s="53">
        <v>59.44</v>
      </c>
      <c r="C48" s="53">
        <f>_xlfn.XLOOKUP(A48,Crime_rate_Index[[State ]], Crime_rate_Index[Crime Index ▲], "NA", 1)</f>
        <v>1855</v>
      </c>
      <c r="D48" s="58" cm="1">
        <f t="array" ref="D48">_xlfn.XLOOKUP(A48, Party_Affliation_by_States[[#All],[State]], Party_Affliation_by_States[[#All],[Republican/lean Rep.]], "NA", 0)</f>
        <v>0.33</v>
      </c>
      <c r="E48" s="58" cm="1">
        <f t="array" ref="E48">_xlfn.XLOOKUP(A48, Party_Affliation_by_States[[#All],[State]], Party_Affliation_by_States[[#All],[No lean]], "NA", 0)</f>
        <v>0.23</v>
      </c>
      <c r="F48" s="58" cm="1">
        <f t="array" ref="F48">_xlfn.XLOOKUP(A48, Party_Affliation_by_States[[#All],[State]], Party_Affliation_by_States[[#All],[Democrat/lean Dem.]], "NA", 0)</f>
        <v>0.44</v>
      </c>
    </row>
    <row r="49" spans="1:6">
      <c r="A49" s="54" t="s">
        <v>791</v>
      </c>
      <c r="B49" s="55">
        <v>47.08</v>
      </c>
      <c r="C49" s="55">
        <f>_xlfn.XLOOKUP(A49,Crime_rate_Index[[State ]], Crime_rate_Index[Crime Index ▲], "NA", 1)</f>
        <v>1235</v>
      </c>
      <c r="D49" s="59" cm="1">
        <f t="array" ref="D49">_xlfn.XLOOKUP(A49, Party_Affliation_by_States[[#All],[State]], Party_Affliation_by_States[[#All],[Republican/lean Rep.]], "NA", 0)</f>
        <v>0.43</v>
      </c>
      <c r="E49" s="59" cm="1">
        <f t="array" ref="E49">_xlfn.XLOOKUP(A49, Party_Affliation_by_States[[#All],[State]], Party_Affliation_by_States[[#All],[No lean]], "NA", 0)</f>
        <v>0.16</v>
      </c>
      <c r="F49" s="59" cm="1">
        <f t="array" ref="F49">_xlfn.XLOOKUP(A49, Party_Affliation_by_States[[#All],[State]], Party_Affliation_by_States[[#All],[Democrat/lean Dem.]], "NA", 0)</f>
        <v>0.41</v>
      </c>
    </row>
    <row r="50" spans="1:6">
      <c r="A50" s="52" t="s">
        <v>744</v>
      </c>
      <c r="B50" s="53">
        <v>51.42</v>
      </c>
      <c r="C50" s="53">
        <f>_xlfn.XLOOKUP(A50,Crime_rate_Index[[State ]], Crime_rate_Index[Crime Index ▲], "NA", 1)</f>
        <v>1227</v>
      </c>
      <c r="D50" s="58" cm="1">
        <f t="array" ref="D50">_xlfn.XLOOKUP(A50, Party_Affliation_by_States[[#All],[State]], Party_Affliation_by_States[[#All],[Republican/lean Rep.]], "NA", 0)</f>
        <v>0.42</v>
      </c>
      <c r="E50" s="58" cm="1">
        <f t="array" ref="E50">_xlfn.XLOOKUP(A50, Party_Affliation_by_States[[#All],[State]], Party_Affliation_by_States[[#All],[No lean]], "NA", 0)</f>
        <v>0.16</v>
      </c>
      <c r="F50" s="58" cm="1">
        <f t="array" ref="F50">_xlfn.XLOOKUP(A50, Party_Affliation_by_States[[#All],[State]], Party_Affliation_by_States[[#All],[Democrat/lean Dem.]], "NA", 0)</f>
        <v>0.42</v>
      </c>
    </row>
    <row r="51" spans="1:6">
      <c r="A51" s="56" t="s">
        <v>729</v>
      </c>
      <c r="B51" s="57">
        <v>54.04</v>
      </c>
      <c r="C51" s="57">
        <f>_xlfn.XLOOKUP(A51,Crime_rate_Index[[State ]], Crime_rate_Index[Crime Index ▲], "NA", 1)</f>
        <v>1136</v>
      </c>
      <c r="D51" s="60" cm="1">
        <f t="array" ref="D51">_xlfn.XLOOKUP(A51, Party_Affliation_by_States[[#All],[State]], Party_Affliation_by_States[[#All],[Republican/lean Rep.]], "NA", 0)</f>
        <v>0.56999999999999995</v>
      </c>
      <c r="E51" s="60" cm="1">
        <f t="array" ref="E51">_xlfn.XLOOKUP(A51, Party_Affliation_by_States[[#All],[State]], Party_Affliation_by_States[[#All],[No lean]], "NA", 0)</f>
        <v>0.18</v>
      </c>
      <c r="F51" s="60" cm="1">
        <f t="array" ref="F51">_xlfn.XLOOKUP(A51, Party_Affliation_by_States[[#All],[State]], Party_Affliation_by_States[[#All],[Democrat/lean Dem.]], "NA", 0)</f>
        <v>0.25</v>
      </c>
    </row>
  </sheetData>
  <pageMargins left="0.7" right="0.7" top="0.75" bottom="0.75" header="0.3" footer="0.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05E56-0B71-8F4A-BC43-785EAD4E14CA}">
  <sheetPr codeName="Sheet3"/>
  <dimension ref="B3:H20"/>
  <sheetViews>
    <sheetView showGridLines="0" showRowColHeaders="0" zoomScale="110" zoomScaleNormal="110" workbookViewId="0">
      <selection activeCell="E14" sqref="E14"/>
    </sheetView>
  </sheetViews>
  <sheetFormatPr defaultColWidth="11.08984375" defaultRowHeight="15" customHeight="1"/>
  <cols>
    <col min="1" max="1" width="8.453125" customWidth="1"/>
    <col min="2" max="3" width="10.81640625" customWidth="1"/>
    <col min="5" max="5" width="40.453125" customWidth="1"/>
    <col min="6" max="6" width="10.81640625" customWidth="1"/>
    <col min="8" max="8" width="10.81640625" customWidth="1"/>
    <col min="9" max="9" width="4.7265625" customWidth="1"/>
  </cols>
  <sheetData>
    <row r="3" spans="2:8" ht="15" customHeight="1" thickBot="1"/>
    <row r="4" spans="2:8" ht="15" customHeight="1">
      <c r="B4" s="101"/>
      <c r="C4" s="104"/>
      <c r="D4" s="104"/>
      <c r="E4" s="104"/>
      <c r="F4" s="104"/>
      <c r="G4" s="104"/>
      <c r="H4" s="105"/>
    </row>
    <row r="5" spans="2:8" ht="15" customHeight="1">
      <c r="B5" s="102"/>
      <c r="C5" s="97"/>
      <c r="D5" s="97"/>
      <c r="E5" s="97"/>
      <c r="F5" s="97"/>
      <c r="G5" s="97"/>
      <c r="H5" s="98"/>
    </row>
    <row r="6" spans="2:8" ht="15" customHeight="1">
      <c r="B6" s="102"/>
      <c r="C6" s="110"/>
      <c r="D6" s="110"/>
      <c r="E6" s="110"/>
      <c r="F6" s="110"/>
      <c r="G6" s="110"/>
      <c r="H6" s="98"/>
    </row>
    <row r="7" spans="2:8" ht="15" customHeight="1">
      <c r="B7" s="102"/>
      <c r="C7" s="110"/>
      <c r="D7" s="110"/>
      <c r="E7" s="110"/>
      <c r="F7" s="110"/>
      <c r="G7" s="110"/>
      <c r="H7" s="98"/>
    </row>
    <row r="8" spans="2:8" ht="15" customHeight="1">
      <c r="B8" s="102"/>
      <c r="C8" s="106" t="s">
        <v>2533</v>
      </c>
      <c r="D8" s="106"/>
      <c r="E8" s="67" t="s">
        <v>12</v>
      </c>
      <c r="F8" s="91"/>
      <c r="G8" s="92"/>
      <c r="H8" s="98"/>
    </row>
    <row r="9" spans="2:8" ht="15" customHeight="1">
      <c r="B9" s="102"/>
      <c r="C9" s="88"/>
      <c r="D9" s="89"/>
      <c r="E9" s="90"/>
      <c r="F9" s="93"/>
      <c r="G9" s="94"/>
      <c r="H9" s="98"/>
    </row>
    <row r="10" spans="2:8" ht="15" customHeight="1">
      <c r="B10" s="102"/>
      <c r="C10" s="107" t="s">
        <v>2534</v>
      </c>
      <c r="D10" s="107"/>
      <c r="E10" s="67" t="s">
        <v>101</v>
      </c>
      <c r="F10" s="93"/>
      <c r="G10" s="94"/>
      <c r="H10" s="98"/>
    </row>
    <row r="11" spans="2:8" ht="15" customHeight="1">
      <c r="B11" s="102"/>
      <c r="C11" s="88"/>
      <c r="D11" s="89"/>
      <c r="E11" s="90"/>
      <c r="F11" s="93"/>
      <c r="G11" s="94"/>
      <c r="H11" s="98"/>
    </row>
    <row r="12" spans="2:8" ht="15" customHeight="1">
      <c r="B12" s="102"/>
      <c r="C12" s="108" t="s">
        <v>2535</v>
      </c>
      <c r="D12" s="108"/>
      <c r="E12" s="67" t="s">
        <v>12</v>
      </c>
      <c r="F12" s="93"/>
      <c r="G12" s="94"/>
      <c r="H12" s="98"/>
    </row>
    <row r="13" spans="2:8" ht="15" customHeight="1">
      <c r="B13" s="102"/>
      <c r="C13" s="88"/>
      <c r="D13" s="89"/>
      <c r="E13" s="90"/>
      <c r="F13" s="93"/>
      <c r="G13" s="94"/>
      <c r="H13" s="98"/>
    </row>
    <row r="14" spans="2:8" ht="15" customHeight="1">
      <c r="B14" s="102"/>
      <c r="C14" s="109" t="s">
        <v>2536</v>
      </c>
      <c r="D14" s="109"/>
      <c r="E14" s="67" t="s">
        <v>24</v>
      </c>
      <c r="F14" s="93"/>
      <c r="G14" s="94"/>
      <c r="H14" s="98"/>
    </row>
    <row r="15" spans="2:8" ht="15" customHeight="1">
      <c r="B15" s="102"/>
      <c r="C15" s="88"/>
      <c r="D15" s="89"/>
      <c r="E15" s="90"/>
      <c r="F15" s="93"/>
      <c r="G15" s="94"/>
      <c r="H15" s="98"/>
    </row>
    <row r="16" spans="2:8" ht="15" customHeight="1">
      <c r="B16" s="102"/>
      <c r="C16" s="106" t="s">
        <v>2537</v>
      </c>
      <c r="D16" s="106"/>
      <c r="E16" s="67" t="s">
        <v>26</v>
      </c>
      <c r="F16" s="95"/>
      <c r="G16" s="96"/>
      <c r="H16" s="98"/>
    </row>
    <row r="17" spans="2:8" ht="15" customHeight="1">
      <c r="B17" s="102"/>
      <c r="C17" s="110"/>
      <c r="D17" s="110"/>
      <c r="E17" s="110"/>
      <c r="F17" s="110"/>
      <c r="G17" s="110"/>
      <c r="H17" s="98"/>
    </row>
    <row r="18" spans="2:8" ht="15" customHeight="1">
      <c r="B18" s="102"/>
      <c r="C18" s="110"/>
      <c r="D18" s="110"/>
      <c r="E18" s="110"/>
      <c r="F18" s="110"/>
      <c r="G18" s="110"/>
      <c r="H18" s="98"/>
    </row>
    <row r="19" spans="2:8" ht="15" customHeight="1">
      <c r="B19" s="102"/>
      <c r="C19" s="97"/>
      <c r="D19" s="97"/>
      <c r="E19" s="97"/>
      <c r="F19" s="97"/>
      <c r="G19" s="97"/>
      <c r="H19" s="98"/>
    </row>
    <row r="20" spans="2:8" ht="15" customHeight="1" thickBot="1">
      <c r="B20" s="103"/>
      <c r="C20" s="99"/>
      <c r="D20" s="99"/>
      <c r="E20" s="99"/>
      <c r="F20" s="99"/>
      <c r="G20" s="99"/>
      <c r="H20" s="100"/>
    </row>
  </sheetData>
  <mergeCells count="18">
    <mergeCell ref="B4:B20"/>
    <mergeCell ref="C4:E5"/>
    <mergeCell ref="C19:E20"/>
    <mergeCell ref="F4:H5"/>
    <mergeCell ref="H6:H18"/>
    <mergeCell ref="C8:D8"/>
    <mergeCell ref="C10:D10"/>
    <mergeCell ref="C12:D12"/>
    <mergeCell ref="C14:D14"/>
    <mergeCell ref="C16:D16"/>
    <mergeCell ref="C17:G18"/>
    <mergeCell ref="C6:G7"/>
    <mergeCell ref="C9:E9"/>
    <mergeCell ref="C11:E11"/>
    <mergeCell ref="C13:E13"/>
    <mergeCell ref="C15:E15"/>
    <mergeCell ref="F8:G16"/>
    <mergeCell ref="F19:H20"/>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Title="Select Your prefered University" xr:uid="{10BE46BF-61A5-D342-AFDE-66D744EA05D8}">
          <x14:formula1>
            <xm:f>'Top 100 Universities'!$B$2:$B$101</xm:f>
          </x14:formula1>
          <xm:sqref>E8 E10 E12 E14 E16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3AC5-53C4-5047-914D-F8B85C923BA3}">
  <sheetPr codeName="Sheet8"/>
  <dimension ref="A1:G13"/>
  <sheetViews>
    <sheetView showGridLines="0" showRowColHeaders="0" zoomScale="60" zoomScaleNormal="60" workbookViewId="0"/>
  </sheetViews>
  <sheetFormatPr defaultColWidth="30.7265625" defaultRowHeight="14.5"/>
  <cols>
    <col min="1" max="1" width="17.26953125" customWidth="1"/>
    <col min="2" max="2" width="34.6328125" customWidth="1"/>
    <col min="3" max="7" width="35.7265625" customWidth="1"/>
    <col min="8" max="8" width="12.7265625" customWidth="1"/>
  </cols>
  <sheetData>
    <row r="1" spans="1:7" ht="21" customHeight="1"/>
    <row r="3" spans="1:7" ht="15" thickBot="1"/>
    <row r="4" spans="1:7" ht="19" thickBot="1">
      <c r="B4" s="68" t="s">
        <v>0</v>
      </c>
      <c r="C4" s="70">
        <f>_xlfn.XLOOKUP(C5,Top_100_Universities[University],Top_100_Universities[Rank],"Apoligies! Uni not in our Dataset",0)</f>
        <v>7</v>
      </c>
      <c r="D4" s="70">
        <f>_xlfn.XLOOKUP(D5,Top_100_Universities[University],Top_100_Universities[Rank],"Apoligies! Uni not in our Dataset",0)</f>
        <v>63</v>
      </c>
      <c r="E4" s="70">
        <f>_xlfn.XLOOKUP(E5,Top_100_Universities[University],Top_100_Universities[Rank],"Apoligies! Uni not in our Dataset",0)</f>
        <v>7</v>
      </c>
      <c r="F4" s="70">
        <f>_xlfn.XLOOKUP(F5,Top_100_Universities[University],Top_100_Universities[Rank],"Apoligies! Uni not in our Dataset",0)</f>
        <v>14</v>
      </c>
      <c r="G4" s="71">
        <f>_xlfn.XLOOKUP(G5,Top_100_Universities[University],Top_100_Universities[Rank],"Apoligies! Uni not in our Dataset",0)</f>
        <v>15</v>
      </c>
    </row>
    <row r="5" spans="1:7" ht="50" customHeight="1" thickBot="1">
      <c r="A5" s="44"/>
      <c r="B5" s="69" t="s">
        <v>1</v>
      </c>
      <c r="C5" s="72" t="str">
        <f>'Make Your Selection'!E8</f>
        <v>University of Washington</v>
      </c>
      <c r="D5" s="72" t="str">
        <f>'Make Your Selection'!E10</f>
        <v>University of Massachusetts Amherst</v>
      </c>
      <c r="E5" s="72" t="str">
        <f>'Make Your Selection'!E12</f>
        <v>University of Washington</v>
      </c>
      <c r="F5" s="72" t="str">
        <f>'Make Your Selection'!E14</f>
        <v>University of Chicago</v>
      </c>
      <c r="G5" s="73" t="str">
        <f>'Make Your Selection'!E16</f>
        <v>Princeton University</v>
      </c>
    </row>
    <row r="6" spans="1:7" ht="19" thickBot="1">
      <c r="B6" s="69" t="s">
        <v>2360</v>
      </c>
      <c r="C6" s="74" t="str">
        <f>_xlfn.XLOOKUP(C5,Top_100_Universities[University],Top_100_Universities[Town],"Apoligies! Uni not in our Dataset",0)</f>
        <v>Seattle</v>
      </c>
      <c r="D6" s="74" t="str">
        <f>_xlfn.XLOOKUP(D5,Top_100_Universities[University],Top_100_Universities[Town],"Apoligies! Uni not in our Dataset",0)</f>
        <v>Amherst</v>
      </c>
      <c r="E6" s="74" t="str">
        <f>_xlfn.XLOOKUP(E5,Top_100_Universities[University],Top_100_Universities[Town],"Apoligies! Uni not in our Dataset",0)</f>
        <v>Seattle</v>
      </c>
      <c r="F6" s="74" t="str">
        <f>_xlfn.XLOOKUP(F5,Top_100_Universities[University],Top_100_Universities[Town],"Apoligies! Uni not in our Dataset",0)</f>
        <v>Chicago</v>
      </c>
      <c r="G6" s="75" t="str">
        <f>_xlfn.XLOOKUP(G5,Top_100_Universities[University],Top_100_Universities[Town],"Apoligies! Uni not in our Dataset",0)</f>
        <v>Princeton</v>
      </c>
    </row>
    <row r="7" spans="1:7" ht="19" thickBot="1">
      <c r="B7" s="69" t="s">
        <v>3</v>
      </c>
      <c r="C7" s="74" t="str">
        <f>_xlfn.XLOOKUP(C5,Top_100_Universities[University],Top_100_Universities[State],"Apoligies! Uni not in our Dataset",0)</f>
        <v>Washington</v>
      </c>
      <c r="D7" s="74" t="str">
        <f>_xlfn.XLOOKUP(D5,Top_100_Universities[University],Top_100_Universities[State],"Apoligies! Uni not in our Dataset",0)</f>
        <v>Massachusetts</v>
      </c>
      <c r="E7" s="74" t="str">
        <f>_xlfn.XLOOKUP(E5,Top_100_Universities[University],Top_100_Universities[State],"Apoligies! Uni not in our Dataset",0)</f>
        <v>Washington</v>
      </c>
      <c r="F7" s="74" t="str">
        <f>_xlfn.XLOOKUP(F5,Top_100_Universities[University],Top_100_Universities[State],"Apoligies! Uni not in our Dataset",0)</f>
        <v>Illinois</v>
      </c>
      <c r="G7" s="75" t="str">
        <f>_xlfn.XLOOKUP(G5,Top_100_Universities[University],Top_100_Universities[State],"Apoligies! Uni not in our Dataset",0)</f>
        <v>New Jersey</v>
      </c>
    </row>
    <row r="8" spans="1:7" ht="19" thickBot="1">
      <c r="B8" s="69" t="s">
        <v>2331</v>
      </c>
      <c r="C8" s="74" t="str">
        <f>_xlfn.XLOOKUP(C5,Top_100_Universities[University],Top_100_Universities[State_ab],"Apoligies! Uni not in our Dataset",0)</f>
        <v>WA</v>
      </c>
      <c r="D8" s="74" t="str">
        <f>_xlfn.XLOOKUP(D5,Top_100_Universities[University],Top_100_Universities[State_ab],"Apoligies! Uni not in our Dataset",0)</f>
        <v>MA</v>
      </c>
      <c r="E8" s="74" t="str">
        <f>_xlfn.XLOOKUP(E5,Top_100_Universities[University],Top_100_Universities[State_ab],"Apoligies! Uni not in our Dataset",0)</f>
        <v>WA</v>
      </c>
      <c r="F8" s="74" t="str">
        <f>_xlfn.XLOOKUP(F5,Top_100_Universities[University],Top_100_Universities[State_ab],"Apoligies! Uni not in our Dataset",0)</f>
        <v>IL</v>
      </c>
      <c r="G8" s="75" t="str">
        <f>_xlfn.XLOOKUP(G5,Top_100_Universities[University],Top_100_Universities[State_ab],"Apoligies! Uni not in our Dataset",0)</f>
        <v>NJ</v>
      </c>
    </row>
    <row r="9" spans="1:7" ht="19" thickBot="1">
      <c r="B9" s="69" t="s">
        <v>811</v>
      </c>
      <c r="C9" s="74" t="str">
        <f>_xlfn.XLOOKUP(C5,Top_100_Universities[University],Top_100_Universities[Type],"Apoligies! Uni not in our Dataset",0)</f>
        <v>Public</v>
      </c>
      <c r="D9" s="74" t="str">
        <f>_xlfn.XLOOKUP(D5,Top_100_Universities[University],Top_100_Universities[Type],"Apoligies! Uni not in our Dataset",0)</f>
        <v>Public</v>
      </c>
      <c r="E9" s="74" t="str">
        <f>_xlfn.XLOOKUP(E5,Top_100_Universities[University],Top_100_Universities[Type],"Apoligies! Uni not in our Dataset",0)</f>
        <v>Public</v>
      </c>
      <c r="F9" s="74" t="str">
        <f>_xlfn.XLOOKUP(F5,Top_100_Universities[University],Top_100_Universities[Type],"Apoligies! Uni not in our Dataset",0)</f>
        <v>Private not-for-profit</v>
      </c>
      <c r="G9" s="75" t="str">
        <f>_xlfn.XLOOKUP(G5,Top_100_Universities[University],Top_100_Universities[Type],"Apoligies! Uni not in our Dataset",0)</f>
        <v>Private not-for-profit</v>
      </c>
    </row>
    <row r="10" spans="1:7" ht="19" thickBot="1">
      <c r="B10" s="69" t="s">
        <v>812</v>
      </c>
      <c r="C10" s="76">
        <f>_xlfn.XLOOKUP(C5,Top_100_Universities[University],Top_100_Universities[Av. Grant Aid],"Apoligies! Uni not in our Dataset",0)</f>
        <v>14731</v>
      </c>
      <c r="D10" s="76">
        <f>_xlfn.XLOOKUP(D5,Top_100_Universities[University],Top_100_Universities[Av. Grant Aid],"Apoligies! Uni not in our Dataset",0)</f>
        <v>12350</v>
      </c>
      <c r="E10" s="76">
        <f>_xlfn.XLOOKUP(E5,Top_100_Universities[University],Top_100_Universities[Av. Grant Aid],"Apoligies! Uni not in our Dataset",0)</f>
        <v>14731</v>
      </c>
      <c r="F10" s="76">
        <f>_xlfn.XLOOKUP(F5,Top_100_Universities[University],Top_100_Universities[Av. Grant Aid],"Apoligies! Uni not in our Dataset",0)</f>
        <v>48422</v>
      </c>
      <c r="G10" s="77">
        <f>_xlfn.XLOOKUP(G5,Top_100_Universities[University],Top_100_Universities[Av. Grant Aid],"Apoligies! Uni not in our Dataset",0)</f>
        <v>59792</v>
      </c>
    </row>
    <row r="11" spans="1:7" ht="19" thickBot="1">
      <c r="B11" s="69" t="s">
        <v>813</v>
      </c>
      <c r="C11" s="76">
        <f>_xlfn.XLOOKUP(C5,Top_100_Universities[University],Top_100_Universities[Av. Debt],"Apoligies! Uni not in our Dataset",0)</f>
        <v>6169</v>
      </c>
      <c r="D11" s="76">
        <f>_xlfn.XLOOKUP(D5,Top_100_Universities[University],Top_100_Universities[Av. Debt],"Apoligies! Uni not in our Dataset",0)</f>
        <v>8481</v>
      </c>
      <c r="E11" s="76">
        <f>_xlfn.XLOOKUP(E5,Top_100_Universities[University],Top_100_Universities[Av. Debt],"Apoligies! Uni not in our Dataset",0)</f>
        <v>6169</v>
      </c>
      <c r="F11" s="76">
        <f>_xlfn.XLOOKUP(F5,Top_100_Universities[University],Top_100_Universities[Av. Debt],"Apoligies! Uni not in our Dataset",0)</f>
        <v>12150</v>
      </c>
      <c r="G11" s="77">
        <f>_xlfn.XLOOKUP(G5,Top_100_Universities[University],Top_100_Universities[Av. Debt],"Apoligies! Uni not in our Dataset",0)</f>
        <v>7559</v>
      </c>
    </row>
    <row r="12" spans="1:7" ht="19" thickBot="1">
      <c r="B12" s="69" t="s">
        <v>814</v>
      </c>
      <c r="C12" s="76">
        <f>_xlfn.XLOOKUP(C5,Top_100_Universities[University],Top_100_Universities[Median 10-year Salary],"Apoligies! Uni not in our Dataset",0)</f>
        <v>136800</v>
      </c>
      <c r="D12" s="76">
        <f>_xlfn.XLOOKUP(D5,Top_100_Universities[University],Top_100_Universities[Median 10-year Salary],"Apoligies! Uni not in our Dataset",0)</f>
        <v>122300</v>
      </c>
      <c r="E12" s="76">
        <f>_xlfn.XLOOKUP(E5,Top_100_Universities[University],Top_100_Universities[Median 10-year Salary],"Apoligies! Uni not in our Dataset",0)</f>
        <v>136800</v>
      </c>
      <c r="F12" s="76">
        <f>_xlfn.XLOOKUP(F5,Top_100_Universities[University],Top_100_Universities[Median 10-year Salary],"Apoligies! Uni not in our Dataset",0)</f>
        <v>150600</v>
      </c>
      <c r="G12" s="77">
        <f>_xlfn.XLOOKUP(G5,Top_100_Universities[University],Top_100_Universities[Median 10-year Salary],"Apoligies! Uni not in our Dataset",0)</f>
        <v>189400</v>
      </c>
    </row>
    <row r="13" spans="1:7" ht="19" thickBot="1">
      <c r="B13" s="69" t="s">
        <v>2361</v>
      </c>
      <c r="C13" s="78">
        <f>_xlfn.XLOOKUP(C5,Top_100_Universities[University],Top_100_Universities[Cost of Living Index],"Apoligies! Uni not in our Dataset",0)</f>
        <v>124.6</v>
      </c>
      <c r="D13" s="78">
        <f>_xlfn.XLOOKUP(D5,Top_100_Universities[University],Top_100_Universities[Cost of Living Index],"Apoligies! Uni not in our Dataset",0)</f>
        <v>89.2</v>
      </c>
      <c r="E13" s="78">
        <f>_xlfn.XLOOKUP(E5,Top_100_Universities[University],Top_100_Universities[Cost of Living Index],"Apoligies! Uni not in our Dataset",0)</f>
        <v>124.6</v>
      </c>
      <c r="F13" s="78">
        <f>_xlfn.XLOOKUP(F5,Top_100_Universities[University],Top_100_Universities[Cost of Living Index],"Apoligies! Uni not in our Dataset",0)</f>
        <v>100.1</v>
      </c>
      <c r="G13" s="79">
        <f>_xlfn.XLOOKUP(G5,Top_100_Universities[University],Top_100_Universities[Cost of Living Index],"Apoligies! Uni not in our Dataset",0)</f>
        <v>84.8</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5A127-046E-44DE-892A-419547CEF686}">
  <sheetPr codeName="Sheet12"/>
  <dimension ref="A1"/>
  <sheetViews>
    <sheetView showGridLines="0" showRowColHeaders="0" zoomScale="40" zoomScaleNormal="40" workbookViewId="0"/>
  </sheetViews>
  <sheetFormatPr defaultColWidth="8.81640625" defaultRowHeight="14.5"/>
  <cols>
    <col min="24" max="24" width="13.1796875" customWidth="1"/>
  </cols>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5A2FE-B9F3-8744-B054-66E231174BC1}">
  <sheetPr codeName="Sheet13"/>
  <dimension ref="A1:N25"/>
  <sheetViews>
    <sheetView zoomScale="90" zoomScaleNormal="90" workbookViewId="0">
      <selection activeCell="E12" sqref="E12"/>
    </sheetView>
  </sheetViews>
  <sheetFormatPr defaultColWidth="11.08984375" defaultRowHeight="14.5"/>
  <cols>
    <col min="1" max="1" width="25.81640625" bestFit="1" customWidth="1"/>
    <col min="2" max="2" width="11.26953125" bestFit="1" customWidth="1"/>
    <col min="4" max="4" width="25.81640625" bestFit="1" customWidth="1"/>
    <col min="5" max="5" width="7.81640625" bestFit="1" customWidth="1"/>
    <col min="7" max="7" width="30.36328125" bestFit="1" customWidth="1"/>
    <col min="8" max="8" width="18.26953125" bestFit="1" customWidth="1"/>
    <col min="11" max="11" width="25.81640625" bestFit="1" customWidth="1"/>
    <col min="13" max="13" width="25.81640625" bestFit="1" customWidth="1"/>
    <col min="14" max="14" width="15.81640625" bestFit="1" customWidth="1"/>
  </cols>
  <sheetData>
    <row r="1" spans="1:14" ht="15" thickBot="1">
      <c r="A1" s="43" t="s">
        <v>1</v>
      </c>
      <c r="B1" s="43" t="s">
        <v>812</v>
      </c>
      <c r="D1" s="43" t="s">
        <v>1</v>
      </c>
      <c r="E1" s="43" t="s">
        <v>813</v>
      </c>
      <c r="G1" s="43" t="s">
        <v>1</v>
      </c>
      <c r="H1" s="43" t="s">
        <v>814</v>
      </c>
      <c r="J1" s="47" t="s">
        <v>3</v>
      </c>
      <c r="K1" s="43" t="s">
        <v>2360</v>
      </c>
      <c r="M1" s="43" t="s">
        <v>2360</v>
      </c>
      <c r="N1" s="43" t="s">
        <v>2361</v>
      </c>
    </row>
    <row r="2" spans="1:14">
      <c r="A2" t="str">
        <f>'Detailed Analysis'!C5</f>
        <v>University of Washington</v>
      </c>
      <c r="B2" s="46">
        <f>'Detailed Analysis'!C10</f>
        <v>14731</v>
      </c>
      <c r="D2" t="str">
        <f>'Detailed Analysis'!C5</f>
        <v>University of Washington</v>
      </c>
      <c r="E2" s="46">
        <f>'Detailed Analysis'!C11</f>
        <v>6169</v>
      </c>
      <c r="G2" t="str">
        <f>'Detailed Analysis'!C5</f>
        <v>University of Washington</v>
      </c>
      <c r="H2" s="46">
        <f>'Detailed Analysis'!C12</f>
        <v>136800</v>
      </c>
      <c r="J2" t="str">
        <f>'Detailed Analysis'!C7</f>
        <v>Washington</v>
      </c>
      <c r="K2" t="str">
        <f>'Detailed Analysis'!$C$6</f>
        <v>Seattle</v>
      </c>
      <c r="M2" t="str">
        <f>K2</f>
        <v>Seattle</v>
      </c>
      <c r="N2">
        <f>'Detailed Analysis'!C13</f>
        <v>124.6</v>
      </c>
    </row>
    <row r="3" spans="1:14">
      <c r="A3" t="str">
        <f>'Detailed Analysis'!D5</f>
        <v>University of Massachusetts Amherst</v>
      </c>
      <c r="B3" s="46">
        <f>'Detailed Analysis'!D10</f>
        <v>12350</v>
      </c>
      <c r="D3" t="str">
        <f>'Detailed Analysis'!D5</f>
        <v>University of Massachusetts Amherst</v>
      </c>
      <c r="E3" s="46">
        <f>'Detailed Analysis'!D11</f>
        <v>8481</v>
      </c>
      <c r="G3" t="str">
        <f>'Detailed Analysis'!D5</f>
        <v>University of Massachusetts Amherst</v>
      </c>
      <c r="H3" s="46">
        <f>'Detailed Analysis'!D12</f>
        <v>122300</v>
      </c>
      <c r="J3" t="str">
        <f>'Detailed Analysis'!D7</f>
        <v>Massachusetts</v>
      </c>
      <c r="K3" t="str">
        <f>'Detailed Analysis'!$D$6</f>
        <v>Amherst</v>
      </c>
      <c r="M3" t="str">
        <f>K3</f>
        <v>Amherst</v>
      </c>
      <c r="N3">
        <f>'Detailed Analysis'!D13</f>
        <v>89.2</v>
      </c>
    </row>
    <row r="4" spans="1:14">
      <c r="A4" t="str">
        <f>'Detailed Analysis'!E5</f>
        <v>University of Washington</v>
      </c>
      <c r="B4" s="46">
        <f>'Detailed Analysis'!E10</f>
        <v>14731</v>
      </c>
      <c r="D4" t="str">
        <f>'Detailed Analysis'!E5</f>
        <v>University of Washington</v>
      </c>
      <c r="E4" s="46">
        <f>'Detailed Analysis'!E11</f>
        <v>6169</v>
      </c>
      <c r="G4" t="str">
        <f>'Detailed Analysis'!E5</f>
        <v>University of Washington</v>
      </c>
      <c r="H4" s="46">
        <f>'Detailed Analysis'!E12</f>
        <v>136800</v>
      </c>
      <c r="J4" t="str">
        <f>'Detailed Analysis'!E7</f>
        <v>Washington</v>
      </c>
      <c r="K4" t="str">
        <f>'Detailed Analysis'!$E$6</f>
        <v>Seattle</v>
      </c>
      <c r="M4" t="str">
        <f>K4</f>
        <v>Seattle</v>
      </c>
      <c r="N4">
        <f>'Detailed Analysis'!E13</f>
        <v>124.6</v>
      </c>
    </row>
    <row r="5" spans="1:14">
      <c r="A5" t="str">
        <f>'Detailed Analysis'!F5</f>
        <v>University of Chicago</v>
      </c>
      <c r="B5" s="46">
        <f>'Detailed Analysis'!F10</f>
        <v>48422</v>
      </c>
      <c r="D5" t="str">
        <f>'Detailed Analysis'!F5</f>
        <v>University of Chicago</v>
      </c>
      <c r="E5" s="46">
        <f>'Detailed Analysis'!F11</f>
        <v>12150</v>
      </c>
      <c r="G5" t="str">
        <f>'Detailed Analysis'!F5</f>
        <v>University of Chicago</v>
      </c>
      <c r="H5" s="46">
        <f>'Detailed Analysis'!F12</f>
        <v>150600</v>
      </c>
      <c r="J5" t="str">
        <f>'Detailed Analysis'!F7</f>
        <v>Illinois</v>
      </c>
      <c r="K5" t="str">
        <f>'Detailed Analysis'!$F$6</f>
        <v>Chicago</v>
      </c>
      <c r="M5" t="str">
        <f>K5</f>
        <v>Chicago</v>
      </c>
      <c r="N5">
        <f>'Detailed Analysis'!F13</f>
        <v>100.1</v>
      </c>
    </row>
    <row r="6" spans="1:14">
      <c r="A6" t="str">
        <f>'Detailed Analysis'!G5</f>
        <v>Princeton University</v>
      </c>
      <c r="B6" s="46">
        <f>'Detailed Analysis'!F10</f>
        <v>48422</v>
      </c>
      <c r="D6" t="str">
        <f>'Detailed Analysis'!G5</f>
        <v>Princeton University</v>
      </c>
      <c r="E6" s="46">
        <f>'Detailed Analysis'!G11</f>
        <v>7559</v>
      </c>
      <c r="G6" t="str">
        <f>'Detailed Analysis'!G5</f>
        <v>Princeton University</v>
      </c>
      <c r="H6" s="46">
        <f>'Detailed Analysis'!F12</f>
        <v>150600</v>
      </c>
      <c r="J6" t="str">
        <f>'Detailed Analysis'!G7</f>
        <v>New Jersey</v>
      </c>
      <c r="K6" t="str">
        <f>'Detailed Analysis'!$G$6</f>
        <v>Princeton</v>
      </c>
      <c r="M6" t="str">
        <f>K6</f>
        <v>Princeton</v>
      </c>
      <c r="N6">
        <f>'Detailed Analysis'!G13</f>
        <v>84.8</v>
      </c>
    </row>
    <row r="7" spans="1:14">
      <c r="A7" t="s">
        <v>2514</v>
      </c>
      <c r="B7" s="46">
        <f>AVERAGE(Top_100_Universities[Av. Grant Aid])</f>
        <v>25428.12</v>
      </c>
      <c r="D7" t="s">
        <v>2515</v>
      </c>
      <c r="E7" s="46">
        <f>AVERAGE(Top_100_Universities[Av. Debt])</f>
        <v>8372.4699999999993</v>
      </c>
      <c r="G7" t="s">
        <v>2512</v>
      </c>
      <c r="H7" s="46">
        <f>AVERAGE(Top_100_Universities[Median 10-year Salary])</f>
        <v>135194.94949494948</v>
      </c>
    </row>
    <row r="15" spans="1:14">
      <c r="G15" t="s">
        <v>2360</v>
      </c>
      <c r="H15" t="s">
        <v>2530</v>
      </c>
    </row>
    <row r="16" spans="1:14">
      <c r="G16" t="str">
        <f>M2</f>
        <v>Seattle</v>
      </c>
      <c r="H16" s="64" cm="1">
        <f t="array" ref="H16">_xlfn.XLOOKUP(G16,Top_100_Universities[[#All],[Town]], Top_100_Universities[[#All],[Overall Score]], "NA", 0)</f>
        <v>0.62450729388739201</v>
      </c>
    </row>
    <row r="17" spans="7:8">
      <c r="G17" t="str">
        <f>M3</f>
        <v>Amherst</v>
      </c>
      <c r="H17" s="64" cm="1">
        <f t="array" ref="H17">_xlfn.XLOOKUP(G17,Top_100_Universities[[#All],[Town]], Top_100_Universities[[#All],[Overall Score]], "NA", 0)</f>
        <v>0.81062262585355138</v>
      </c>
    </row>
    <row r="18" spans="7:8">
      <c r="G18" t="str">
        <f>M4</f>
        <v>Seattle</v>
      </c>
      <c r="H18" s="64" cm="1">
        <f t="array" ref="H18">_xlfn.XLOOKUP(G18,Top_100_Universities[[#All],[Town]], Top_100_Universities[[#All],[Overall Score]], "NA", 0)</f>
        <v>0.62450729388739201</v>
      </c>
    </row>
    <row r="19" spans="7:8">
      <c r="G19" t="str">
        <f>M5</f>
        <v>Chicago</v>
      </c>
      <c r="H19" s="64" cm="1">
        <f t="array" ref="H19">_xlfn.XLOOKUP(G19,Top_100_Universities[[#All],[Town]], Top_100_Universities[[#All],[Overall Score]], "NA", 0)</f>
        <v>0.64459160816617422</v>
      </c>
    </row>
    <row r="20" spans="7:8">
      <c r="G20" t="str">
        <f>M6</f>
        <v>Princeton</v>
      </c>
      <c r="H20" s="64" cm="1">
        <f t="array" ref="H20">_xlfn.XLOOKUP(G20,Top_100_Universities[[#All],[Town]], Top_100_Universities[[#All],[Overall Score]], "NA", 0)</f>
        <v>0.80323848328351977</v>
      </c>
    </row>
    <row r="22" spans="7:8">
      <c r="G22" s="111" t="s">
        <v>2531</v>
      </c>
      <c r="H22" s="111"/>
    </row>
    <row r="23" spans="7:8">
      <c r="G23" s="65" t="s">
        <v>2510</v>
      </c>
      <c r="H23" s="66">
        <v>0.4</v>
      </c>
    </row>
    <row r="24" spans="7:8">
      <c r="G24" s="65" t="s">
        <v>2523</v>
      </c>
      <c r="H24" s="66">
        <v>0.3</v>
      </c>
    </row>
    <row r="25" spans="7:8">
      <c r="G25" s="65" t="s">
        <v>2518</v>
      </c>
      <c r="H25" s="66">
        <v>0.3</v>
      </c>
    </row>
  </sheetData>
  <mergeCells count="1">
    <mergeCell ref="G22:H22"/>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BC92-928A-4C0E-A79B-730309437B0A}">
  <sheetPr codeName="Sheet14"/>
  <dimension ref="O22:T44"/>
  <sheetViews>
    <sheetView showGridLines="0" showRowColHeaders="0" zoomScale="40" zoomScaleNormal="40" workbookViewId="0"/>
  </sheetViews>
  <sheetFormatPr defaultRowHeight="14.5"/>
  <sheetData>
    <row r="22" spans="15:20" ht="15" thickBot="1"/>
    <row r="23" spans="15:20" ht="15.5" customHeight="1" thickTop="1" thickBot="1">
      <c r="O23" s="118" t="s">
        <v>2360</v>
      </c>
      <c r="P23" s="118"/>
      <c r="Q23" s="118"/>
      <c r="R23" s="118" t="s">
        <v>2530</v>
      </c>
      <c r="S23" s="118"/>
      <c r="T23" s="118"/>
    </row>
    <row r="24" spans="15:20" ht="15.5" customHeight="1" thickTop="1" thickBot="1">
      <c r="O24" s="118"/>
      <c r="P24" s="118"/>
      <c r="Q24" s="118"/>
      <c r="R24" s="118"/>
      <c r="S24" s="118"/>
      <c r="T24" s="118"/>
    </row>
    <row r="25" spans="15:20" ht="15.5" thickTop="1" thickBot="1">
      <c r="O25" s="122" t="str">
        <f>'Reference Sheet for Uni spec'!G16</f>
        <v>Seattle</v>
      </c>
      <c r="P25" s="122"/>
      <c r="Q25" s="122"/>
      <c r="R25" s="123">
        <f>'Reference Sheet for Uni spec'!H16</f>
        <v>0.62450729388739201</v>
      </c>
      <c r="S25" s="123"/>
      <c r="T25" s="123"/>
    </row>
    <row r="26" spans="15:20" ht="15.5" thickTop="1" thickBot="1">
      <c r="O26" s="122"/>
      <c r="P26" s="122"/>
      <c r="Q26" s="122"/>
      <c r="R26" s="123"/>
      <c r="S26" s="123"/>
      <c r="T26" s="123"/>
    </row>
    <row r="27" spans="15:20" ht="15.5" customHeight="1" thickTop="1" thickBot="1">
      <c r="O27" s="122" t="str">
        <f>'Reference Sheet for Uni spec'!G17</f>
        <v>Amherst</v>
      </c>
      <c r="P27" s="122"/>
      <c r="Q27" s="122"/>
      <c r="R27" s="123">
        <f>'Reference Sheet for Uni spec'!H17</f>
        <v>0.81062262585355138</v>
      </c>
      <c r="S27" s="123"/>
      <c r="T27" s="123"/>
    </row>
    <row r="28" spans="15:20" ht="15.5" customHeight="1" thickTop="1" thickBot="1">
      <c r="O28" s="122"/>
      <c r="P28" s="122"/>
      <c r="Q28" s="122"/>
      <c r="R28" s="123"/>
      <c r="S28" s="123"/>
      <c r="T28" s="123"/>
    </row>
    <row r="29" spans="15:20" ht="15.5" customHeight="1" thickTop="1" thickBot="1">
      <c r="O29" s="122" t="str">
        <f>'Reference Sheet for Uni spec'!G18</f>
        <v>Seattle</v>
      </c>
      <c r="P29" s="122"/>
      <c r="Q29" s="122"/>
      <c r="R29" s="123">
        <f>'Reference Sheet for Uni spec'!H18</f>
        <v>0.62450729388739201</v>
      </c>
      <c r="S29" s="123"/>
      <c r="T29" s="123"/>
    </row>
    <row r="30" spans="15:20" ht="15.5" customHeight="1" thickTop="1" thickBot="1">
      <c r="O30" s="122"/>
      <c r="P30" s="122"/>
      <c r="Q30" s="122"/>
      <c r="R30" s="123"/>
      <c r="S30" s="123"/>
      <c r="T30" s="123"/>
    </row>
    <row r="31" spans="15:20" ht="15.5" customHeight="1" thickTop="1" thickBot="1">
      <c r="O31" s="122" t="str">
        <f>'Reference Sheet for Uni spec'!G19</f>
        <v>Chicago</v>
      </c>
      <c r="P31" s="122"/>
      <c r="Q31" s="122"/>
      <c r="R31" s="123">
        <f>'Reference Sheet for Uni spec'!H19</f>
        <v>0.64459160816617422</v>
      </c>
      <c r="S31" s="123"/>
      <c r="T31" s="123"/>
    </row>
    <row r="32" spans="15:20" ht="15.5" customHeight="1" thickTop="1" thickBot="1">
      <c r="O32" s="122"/>
      <c r="P32" s="122"/>
      <c r="Q32" s="122"/>
      <c r="R32" s="123"/>
      <c r="S32" s="123"/>
      <c r="T32" s="123"/>
    </row>
    <row r="33" spans="15:20" ht="15.5" customHeight="1" thickTop="1" thickBot="1">
      <c r="O33" s="122" t="str">
        <f>'Reference Sheet for Uni spec'!G20</f>
        <v>Princeton</v>
      </c>
      <c r="P33" s="122"/>
      <c r="Q33" s="122"/>
      <c r="R33" s="123">
        <f>'Reference Sheet for Uni spec'!H20</f>
        <v>0.80323848328351977</v>
      </c>
      <c r="S33" s="123"/>
      <c r="T33" s="123"/>
    </row>
    <row r="34" spans="15:20" ht="15.5" customHeight="1" thickTop="1" thickBot="1">
      <c r="O34" s="122"/>
      <c r="P34" s="122"/>
      <c r="Q34" s="122"/>
      <c r="R34" s="123"/>
      <c r="S34" s="123"/>
      <c r="T34" s="123"/>
    </row>
    <row r="35" spans="15:20" ht="15" thickTop="1"/>
    <row r="37" spans="15:20">
      <c r="P37" s="119" t="s">
        <v>2531</v>
      </c>
      <c r="Q37" s="121"/>
      <c r="R37" s="121"/>
      <c r="S37" s="120"/>
    </row>
    <row r="38" spans="15:20">
      <c r="P38" s="114"/>
      <c r="Q38" s="117"/>
      <c r="R38" s="117"/>
      <c r="S38" s="115"/>
    </row>
    <row r="39" spans="15:20">
      <c r="P39" s="119" t="s">
        <v>2510</v>
      </c>
      <c r="Q39" s="120"/>
      <c r="R39" s="116">
        <v>0.4</v>
      </c>
      <c r="S39" s="113"/>
    </row>
    <row r="40" spans="15:20">
      <c r="P40" s="114"/>
      <c r="Q40" s="115"/>
      <c r="R40" s="117"/>
      <c r="S40" s="115"/>
    </row>
    <row r="41" spans="15:20">
      <c r="P41" s="112" t="s">
        <v>2523</v>
      </c>
      <c r="Q41" s="113"/>
      <c r="R41" s="116">
        <v>0.3</v>
      </c>
      <c r="S41" s="113"/>
    </row>
    <row r="42" spans="15:20">
      <c r="P42" s="114"/>
      <c r="Q42" s="115"/>
      <c r="R42" s="117"/>
      <c r="S42" s="115"/>
    </row>
    <row r="43" spans="15:20">
      <c r="P43" s="112" t="s">
        <v>2518</v>
      </c>
      <c r="Q43" s="113"/>
      <c r="R43" s="116">
        <v>0.3</v>
      </c>
      <c r="S43" s="113"/>
    </row>
    <row r="44" spans="15:20">
      <c r="P44" s="114"/>
      <c r="Q44" s="115"/>
      <c r="R44" s="117"/>
      <c r="S44" s="115"/>
    </row>
  </sheetData>
  <sortState xmlns:xlrd2="http://schemas.microsoft.com/office/spreadsheetml/2017/richdata2" ref="O23:T34">
    <sortCondition descending="1" ref="R23:R34"/>
  </sortState>
  <mergeCells count="19">
    <mergeCell ref="R29:T30"/>
    <mergeCell ref="R31:T32"/>
    <mergeCell ref="R33:T34"/>
    <mergeCell ref="P43:Q44"/>
    <mergeCell ref="R41:S42"/>
    <mergeCell ref="R43:S44"/>
    <mergeCell ref="O23:Q24"/>
    <mergeCell ref="R23:T24"/>
    <mergeCell ref="P39:Q40"/>
    <mergeCell ref="R39:S40"/>
    <mergeCell ref="P41:Q42"/>
    <mergeCell ref="P37:S38"/>
    <mergeCell ref="O25:Q26"/>
    <mergeCell ref="O27:Q28"/>
    <mergeCell ref="O29:Q30"/>
    <mergeCell ref="O31:Q32"/>
    <mergeCell ref="O33:Q34"/>
    <mergeCell ref="R25:T26"/>
    <mergeCell ref="R27:T28"/>
  </mergeCells>
  <conditionalFormatting sqref="R25:T34">
    <cfRule type="top10" dxfId="7" priority="1" rank="1"/>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A4F05-3404-F342-9D0D-1A9BC41A0DD6}">
  <sheetPr codeName="Sheet11"/>
  <dimension ref="A1:B6"/>
  <sheetViews>
    <sheetView workbookViewId="0">
      <selection activeCell="A17" sqref="A17"/>
    </sheetView>
  </sheetViews>
  <sheetFormatPr defaultColWidth="10.81640625" defaultRowHeight="14.5"/>
  <cols>
    <col min="1" max="1" width="92.7265625" bestFit="1" customWidth="1"/>
    <col min="2" max="2" width="20.7265625" bestFit="1" customWidth="1"/>
  </cols>
  <sheetData>
    <row r="1" spans="1:2">
      <c r="A1" s="5" t="s">
        <v>2340</v>
      </c>
      <c r="B1" t="s">
        <v>2346</v>
      </c>
    </row>
    <row r="2" spans="1:2">
      <c r="A2" s="5" t="s">
        <v>2341</v>
      </c>
      <c r="B2" t="s">
        <v>2342</v>
      </c>
    </row>
    <row r="3" spans="1:2">
      <c r="A3" s="5" t="s">
        <v>2343</v>
      </c>
      <c r="B3" t="s">
        <v>2344</v>
      </c>
    </row>
    <row r="4" spans="1:2">
      <c r="A4" s="5" t="s">
        <v>2345</v>
      </c>
      <c r="B4" t="s">
        <v>2347</v>
      </c>
    </row>
    <row r="5" spans="1:2">
      <c r="A5" s="5" t="s">
        <v>2348</v>
      </c>
      <c r="B5" t="s">
        <v>2349</v>
      </c>
    </row>
    <row r="6" spans="1:2">
      <c r="A6" s="5" t="s">
        <v>2511</v>
      </c>
      <c r="B6" t="s">
        <v>2510</v>
      </c>
    </row>
  </sheetData>
  <hyperlinks>
    <hyperlink ref="A1" r:id="rId1" xr:uid="{F36D67FC-200F-5046-9586-E281A7D53311}"/>
    <hyperlink ref="A2" r:id="rId2" xr:uid="{B5782BE7-B45A-2342-892C-FB311C1E4344}"/>
    <hyperlink ref="A3" r:id="rId3" xr:uid="{6E377D0D-C16E-4C42-ABBA-DA9527342B32}"/>
    <hyperlink ref="A4" r:id="rId4" xr:uid="{14B2B915-A9F2-3141-B8BE-7CEA357FCCEF}"/>
    <hyperlink ref="A5" r:id="rId5" xr:uid="{14138540-FEA0-ED4F-91E7-9560D084763B}"/>
    <hyperlink ref="A6" r:id="rId6" xr:uid="{A5656A7A-9863-41F8-8C8A-66AD772A118E}"/>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BF116-56FB-4C44-AA0A-D641C34A12E1}">
  <sheetPr codeName="Sheet16"/>
  <dimension ref="A1"/>
  <sheetViews>
    <sheetView workbookViewId="0"/>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 
</file>

<file path=customXml/item5.xml>�� 
</file>

<file path=customXml/item6.xml>�� 
</file>

<file path=customXml/item7.xml>�� �% 
</file>

<file path=customXml/item8.xml>�� �% �% 
</file>

<file path=customXml/itemProps1.xml><?xml version="1.0" encoding="utf-8"?>
<ds:datastoreItem xmlns:ds="http://schemas.openxmlformats.org/officeDocument/2006/customXml" ds:itemID="{5B5B3F9E-F3B9-4D81-8743-A961468206CD}">
  <ds:schemaRefs/>
</ds:datastoreItem>
</file>

<file path=customXml/itemProps2.xml><?xml version="1.0" encoding="utf-8"?>
<ds:datastoreItem xmlns:ds="http://schemas.openxmlformats.org/officeDocument/2006/customXml" ds:itemID="{5369F4B7-7E16-40E8-9330-C5BA5F6696B1}">
  <ds:schemaRefs>
    <ds:schemaRef ds:uri="http://schemas.microsoft.com/DataMashup"/>
  </ds:schemaRefs>
</ds:datastoreItem>
</file>

<file path=customXml/itemProps3.xml><?xml version="1.0" encoding="utf-8"?>
<ds:datastoreItem xmlns:ds="http://schemas.openxmlformats.org/officeDocument/2006/customXml" ds:itemID="{4FF01EE4-570E-44B3-8C96-13421C966BB3}">
  <ds:schemaRefs/>
</ds:datastoreItem>
</file>

<file path=customXml/itemProps4.xml><?xml version="1.0" encoding="utf-8"?>
<ds:datastoreItem xmlns:ds="http://schemas.openxmlformats.org/officeDocument/2006/customXml" ds:itemID="{D5CDA4C8-8C78-4495-A559-C243A607AA34}">
  <ds:schemaRefs/>
</ds:datastoreItem>
</file>

<file path=customXml/itemProps5.xml><?xml version="1.0" encoding="utf-8"?>
<ds:datastoreItem xmlns:ds="http://schemas.openxmlformats.org/officeDocument/2006/customXml" ds:itemID="{D84628ED-151D-4DE8-BDC7-9E51D2D90503}">
  <ds:schemaRefs/>
</ds:datastoreItem>
</file>

<file path=customXml/itemProps6.xml><?xml version="1.0" encoding="utf-8"?>
<ds:datastoreItem xmlns:ds="http://schemas.openxmlformats.org/officeDocument/2006/customXml" ds:itemID="{C2589003-EB51-4E79-8AE7-B5752418BFB7}">
  <ds:schemaRefs/>
</ds:datastoreItem>
</file>

<file path=customXml/itemProps7.xml><?xml version="1.0" encoding="utf-8"?>
<ds:datastoreItem xmlns:ds="http://schemas.openxmlformats.org/officeDocument/2006/customXml" ds:itemID="{8369B818-5FF9-4FC4-B585-49A7DAD32E81}">
  <ds:schemaRefs/>
</ds:datastoreItem>
</file>

<file path=customXml/itemProps8.xml><?xml version="1.0" encoding="utf-8"?>
<ds:datastoreItem xmlns:ds="http://schemas.openxmlformats.org/officeDocument/2006/customXml" ds:itemID="{45C951CD-7602-401C-9DD3-694A0E2EC8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Introduction</vt:lpstr>
      <vt:lpstr>Top 100 Universities</vt:lpstr>
      <vt:lpstr>Forbes Top 500 Unis</vt:lpstr>
      <vt:lpstr>Safest States</vt:lpstr>
      <vt:lpstr>Forbes</vt:lpstr>
      <vt:lpstr>State_Crime Rate</vt:lpstr>
      <vt:lpstr>Party Affliation by States</vt:lpstr>
      <vt:lpstr>Cost of Living</vt:lpstr>
      <vt:lpstr>Safety, Crime, Party Comb.sheet</vt:lpstr>
      <vt:lpstr>Make Your Selection</vt:lpstr>
      <vt:lpstr>Detailed Analysis</vt:lpstr>
      <vt:lpstr>Uni Specific Visuals</vt:lpstr>
      <vt:lpstr>Reference Sheet for Uni spec</vt:lpstr>
      <vt:lpstr>State Specific Analysis</vt:lpstr>
      <vt:lpstr>References</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Prathna Bhanushali</cp:lastModifiedBy>
  <cp:lastPrinted>2024-12-09T20:00:31Z</cp:lastPrinted>
  <dcterms:created xsi:type="dcterms:W3CDTF">2024-11-27T18:44:43Z</dcterms:created>
  <dcterms:modified xsi:type="dcterms:W3CDTF">2024-12-12T03:04:55Z</dcterms:modified>
</cp:coreProperties>
</file>