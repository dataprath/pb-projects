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7.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tables/table8.xml" ContentType="application/vnd.openxmlformats-officedocument.spreadsheetml.table+xml"/>
  <Override PartName="/xl/drawings/drawing7.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60608726d2b5d3a0/Desktop/Class/Data managment project/Data/Final Dashboard/"/>
    </mc:Choice>
  </mc:AlternateContent>
  <xr:revisionPtr revIDLastSave="209" documentId="13_ncr:1_{8A9BA481-9DD4-436F-91E0-4CBC54A248FB}" xr6:coauthVersionLast="47" xr6:coauthVersionMax="47" xr10:uidLastSave="{6DBEA0C6-ACC7-49FB-B404-F6B4C097D29E}"/>
  <bookViews>
    <workbookView xWindow="-110" yWindow="-110" windowWidth="19420" windowHeight="11500" firstSheet="10" activeTab="13" xr2:uid="{00000000-000D-0000-FFFF-FFFF00000000}"/>
  </bookViews>
  <sheets>
    <sheet name="Introduction" sheetId="32" r:id="rId1"/>
    <sheet name="Top 100 Universities" sheetId="7" r:id="rId2"/>
    <sheet name="Forbes Top 500 Unis" sheetId="6" state="hidden" r:id="rId3"/>
    <sheet name="Safest States" sheetId="10" state="hidden" r:id="rId4"/>
    <sheet name="Forbes" sheetId="4" state="hidden" r:id="rId5"/>
    <sheet name="State_Crime Rate" sheetId="8" state="hidden" r:id="rId6"/>
    <sheet name="Party Affliation by States" sheetId="9" state="hidden" r:id="rId7"/>
    <sheet name="Cost of Living" sheetId="13" state="hidden" r:id="rId8"/>
    <sheet name="Safety, Crime, Party Comb.sheet" sheetId="28" state="hidden" r:id="rId9"/>
    <sheet name="Make Your Selection" sheetId="21" r:id="rId10"/>
    <sheet name="Detailed Analysis" sheetId="22" r:id="rId11"/>
    <sheet name="Uni Specific Visuals" sheetId="15" r:id="rId12"/>
    <sheet name="Reference Sheet for Uni spec" sheetId="24" state="hidden" r:id="rId13"/>
    <sheet name="State Specific Analysis" sheetId="26" r:id="rId14"/>
    <sheet name="References" sheetId="11" state="hidden" r:id="rId15"/>
    <sheet name="Sheet2" sheetId="30" state="hidden" r:id="rId16"/>
  </sheets>
  <externalReferences>
    <externalReference r:id="rId17"/>
  </externalReferences>
  <definedNames>
    <definedName name="_xlnm._FilterDatabase" localSheetId="4" hidden="1">Forbes!$A$1:$H$501</definedName>
    <definedName name="_xlchart.v2.4" hidden="1">'Reference Sheet for Uni spec'!$A$2:$A$7</definedName>
    <definedName name="_xlchart.v2.5" hidden="1">'Reference Sheet for Uni spec'!$B$1</definedName>
    <definedName name="_xlchart.v2.6" hidden="1">'Reference Sheet for Uni spec'!$B$2:$B$7</definedName>
    <definedName name="_xlchart.v2.7" hidden="1">'Reference Sheet for Uni spec'!$A$2:$A$7</definedName>
    <definedName name="_xlchart.v2.8" hidden="1">'Reference Sheet for Uni spec'!$B$1</definedName>
    <definedName name="_xlchart.v2.9" hidden="1">'Reference Sheet for Uni spec'!$B$2:$B$7</definedName>
    <definedName name="_xlchart.v5.0" hidden="1">'Reference Sheet for Uni spec'!$J$1</definedName>
    <definedName name="_xlchart.v5.1" hidden="1">'Reference Sheet for Uni spec'!$J$2:$J$6</definedName>
    <definedName name="_xlchart.v5.2" hidden="1">'Reference Sheet for Uni spec'!$K$1</definedName>
    <definedName name="_xlchart.v5.3" hidden="1">'Reference Sheet for Uni spec'!$K$2:$K$6</definedName>
    <definedName name="Slicer_State">#N/A</definedName>
  </definedNames>
  <calcPr calcId="191029"/>
  <pivotCaches>
    <pivotCache cacheId="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3" l="1"/>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M2" i="7" l="1" a="1"/>
  <c r="M2" i="7" s="1"/>
  <c r="M3" i="7" a="1"/>
  <c r="M3" i="7" s="1"/>
  <c r="M4" i="7" a="1"/>
  <c r="M4" i="7" s="1"/>
  <c r="M5" i="7" a="1"/>
  <c r="M5" i="7" s="1"/>
  <c r="M6" i="7" a="1"/>
  <c r="M6" i="7" s="1"/>
  <c r="M7" i="7" a="1"/>
  <c r="M7" i="7" s="1"/>
  <c r="M8" i="7" a="1"/>
  <c r="M8" i="7" s="1"/>
  <c r="M9" i="7" a="1"/>
  <c r="M9" i="7" s="1"/>
  <c r="M10" i="7" a="1"/>
  <c r="M10" i="7" s="1"/>
  <c r="M11" i="7" a="1"/>
  <c r="M11" i="7" s="1"/>
  <c r="M12" i="7" a="1"/>
  <c r="M12" i="7" s="1"/>
  <c r="M13" i="7" a="1"/>
  <c r="M13" i="7" s="1"/>
  <c r="M14" i="7" a="1"/>
  <c r="M14" i="7" s="1"/>
  <c r="M15" i="7" a="1"/>
  <c r="M15" i="7" s="1"/>
  <c r="M16" i="7" a="1"/>
  <c r="M16" i="7" s="1"/>
  <c r="M17" i="7" a="1"/>
  <c r="M17" i="7" s="1"/>
  <c r="M18" i="7" a="1"/>
  <c r="M18" i="7" s="1"/>
  <c r="M19" i="7" a="1"/>
  <c r="M19" i="7" s="1"/>
  <c r="M20" i="7" a="1"/>
  <c r="M20" i="7" s="1"/>
  <c r="M21" i="7" a="1"/>
  <c r="M21" i="7" s="1"/>
  <c r="M22" i="7" a="1"/>
  <c r="M22" i="7" s="1"/>
  <c r="M23" i="7" a="1"/>
  <c r="M23" i="7" s="1"/>
  <c r="M24" i="7" a="1"/>
  <c r="M24" i="7" s="1"/>
  <c r="M25" i="7" a="1"/>
  <c r="M25" i="7" s="1"/>
  <c r="M26" i="7" a="1"/>
  <c r="M26" i="7" s="1"/>
  <c r="M27" i="7" a="1"/>
  <c r="M27" i="7" s="1"/>
  <c r="M28" i="7" a="1"/>
  <c r="M28" i="7" s="1"/>
  <c r="M29" i="7" a="1"/>
  <c r="M29" i="7" s="1"/>
  <c r="M30" i="7" a="1"/>
  <c r="M30" i="7" s="1"/>
  <c r="M31" i="7" a="1"/>
  <c r="M31" i="7" s="1"/>
  <c r="M32" i="7" a="1"/>
  <c r="M32" i="7" s="1"/>
  <c r="M33" i="7" a="1"/>
  <c r="M33" i="7" s="1"/>
  <c r="M34" i="7" a="1"/>
  <c r="M34" i="7" s="1"/>
  <c r="M35" i="7" a="1"/>
  <c r="M35" i="7" s="1"/>
  <c r="M36" i="7" a="1"/>
  <c r="M36" i="7" s="1"/>
  <c r="M37" i="7" a="1"/>
  <c r="M37" i="7" s="1"/>
  <c r="M38" i="7" a="1"/>
  <c r="M38" i="7" s="1"/>
  <c r="M39" i="7" a="1"/>
  <c r="M39" i="7" s="1"/>
  <c r="M40" i="7" a="1"/>
  <c r="M40" i="7" s="1"/>
  <c r="M41" i="7" a="1"/>
  <c r="M41" i="7" s="1"/>
  <c r="M42" i="7" a="1"/>
  <c r="M42" i="7" s="1"/>
  <c r="M43" i="7" a="1"/>
  <c r="M43" i="7" s="1"/>
  <c r="M44" i="7" a="1"/>
  <c r="M44" i="7" s="1"/>
  <c r="M45" i="7" a="1"/>
  <c r="M45" i="7" s="1"/>
  <c r="M47" i="7" a="1"/>
  <c r="M47" i="7" s="1"/>
  <c r="M48" i="7" a="1"/>
  <c r="M48" i="7" s="1"/>
  <c r="M49" i="7" a="1"/>
  <c r="M49" i="7" s="1"/>
  <c r="M50" i="7" a="1"/>
  <c r="M50" i="7" s="1"/>
  <c r="M51" i="7" a="1"/>
  <c r="M51" i="7" s="1"/>
  <c r="M52" i="7" a="1"/>
  <c r="M52" i="7" s="1"/>
  <c r="M53" i="7" a="1"/>
  <c r="M53" i="7" s="1"/>
  <c r="M54" i="7" a="1"/>
  <c r="M54" i="7" s="1"/>
  <c r="M55" i="7" a="1"/>
  <c r="M55" i="7" s="1"/>
  <c r="M56" i="7" a="1"/>
  <c r="M56" i="7" s="1"/>
  <c r="M57" i="7" a="1"/>
  <c r="M57" i="7" s="1"/>
  <c r="M58" i="7" a="1"/>
  <c r="M58" i="7" s="1"/>
  <c r="M59" i="7" a="1"/>
  <c r="M59" i="7" s="1"/>
  <c r="M60" i="7" a="1"/>
  <c r="M60" i="7" s="1"/>
  <c r="M61" i="7" a="1"/>
  <c r="M61" i="7" s="1"/>
  <c r="M62" i="7" a="1"/>
  <c r="M62" i="7" s="1"/>
  <c r="M64" i="7" a="1"/>
  <c r="M64" i="7" s="1"/>
  <c r="M65" i="7" a="1"/>
  <c r="M65" i="7" s="1"/>
  <c r="M66" i="7" a="1"/>
  <c r="M66" i="7" s="1"/>
  <c r="M67" i="7" a="1"/>
  <c r="M67" i="7" s="1"/>
  <c r="M68" i="7" a="1"/>
  <c r="M68" i="7" s="1"/>
  <c r="M69" i="7" a="1"/>
  <c r="M69" i="7" s="1"/>
  <c r="M70" i="7" a="1"/>
  <c r="M70" i="7" s="1"/>
  <c r="M71" i="7" a="1"/>
  <c r="M71" i="7" s="1"/>
  <c r="M72" i="7" a="1"/>
  <c r="M72" i="7" s="1"/>
  <c r="M73" i="7" a="1"/>
  <c r="M73" i="7" s="1"/>
  <c r="M74" i="7" a="1"/>
  <c r="M74" i="7" s="1"/>
  <c r="M75" i="7" a="1"/>
  <c r="M75" i="7" s="1"/>
  <c r="M76" i="7" a="1"/>
  <c r="M76" i="7" s="1"/>
  <c r="M77" i="7" a="1"/>
  <c r="M77" i="7" s="1"/>
  <c r="M78" i="7" a="1"/>
  <c r="M78" i="7" s="1"/>
  <c r="M79" i="7" a="1"/>
  <c r="M79" i="7" s="1"/>
  <c r="M80" i="7" a="1"/>
  <c r="M80" i="7" s="1"/>
  <c r="M81" i="7" a="1"/>
  <c r="M81" i="7" s="1"/>
  <c r="M82" i="7" a="1"/>
  <c r="M82" i="7" s="1"/>
  <c r="M83" i="7" a="1"/>
  <c r="M83" i="7" s="1"/>
  <c r="M84" i="7" a="1"/>
  <c r="M84" i="7" s="1"/>
  <c r="M85" i="7" a="1"/>
  <c r="M85" i="7" s="1"/>
  <c r="M86" i="7" a="1"/>
  <c r="M86" i="7" s="1"/>
  <c r="M87" i="7" a="1"/>
  <c r="M87" i="7" s="1"/>
  <c r="M88" i="7" a="1"/>
  <c r="M88" i="7" s="1"/>
  <c r="M89" i="7" a="1"/>
  <c r="M89" i="7" s="1"/>
  <c r="M90" i="7" a="1"/>
  <c r="M90" i="7" s="1"/>
  <c r="M91" i="7" a="1"/>
  <c r="M91" i="7" s="1"/>
  <c r="M92" i="7" a="1"/>
  <c r="M92" i="7" s="1"/>
  <c r="M93" i="7" a="1"/>
  <c r="M93" i="7" s="1"/>
  <c r="M94" i="7" a="1"/>
  <c r="M94" i="7" s="1"/>
  <c r="M95" i="7" a="1"/>
  <c r="M95" i="7" s="1"/>
  <c r="M96" i="7" a="1"/>
  <c r="M96" i="7" s="1"/>
  <c r="M97" i="7" a="1"/>
  <c r="M97" i="7" s="1"/>
  <c r="M98" i="7" a="1"/>
  <c r="M98" i="7" s="1"/>
  <c r="M99" i="7" a="1"/>
  <c r="M99" i="7" s="1"/>
  <c r="M100" i="7" a="1"/>
  <c r="M100" i="7" s="1"/>
  <c r="M101" i="7" a="1"/>
  <c r="M101" i="7" s="1"/>
  <c r="K2" i="7" a="1"/>
  <c r="K2" i="7" s="1"/>
  <c r="K3" i="7" a="1"/>
  <c r="K3" i="7" s="1"/>
  <c r="K4" i="7" a="1"/>
  <c r="K4" i="7" s="1"/>
  <c r="K5" i="7" a="1"/>
  <c r="K5" i="7" s="1"/>
  <c r="K6" i="7" a="1"/>
  <c r="K6" i="7" s="1"/>
  <c r="K7" i="7" a="1"/>
  <c r="K7" i="7" s="1"/>
  <c r="K8" i="7" a="1"/>
  <c r="K8" i="7" s="1"/>
  <c r="K9" i="7" a="1"/>
  <c r="K9" i="7" s="1"/>
  <c r="K10" i="7" a="1"/>
  <c r="K10" i="7" s="1"/>
  <c r="K11" i="7" a="1"/>
  <c r="K11" i="7" s="1"/>
  <c r="K12" i="7" a="1"/>
  <c r="K12" i="7" s="1"/>
  <c r="K13" i="7" a="1"/>
  <c r="K13" i="7" s="1"/>
  <c r="K14" i="7" a="1"/>
  <c r="K14" i="7" s="1"/>
  <c r="K15" i="7" a="1"/>
  <c r="K15" i="7" s="1"/>
  <c r="K16" i="7" a="1"/>
  <c r="K16" i="7" s="1"/>
  <c r="K17" i="7" a="1"/>
  <c r="K17" i="7" s="1"/>
  <c r="K18" i="7" a="1"/>
  <c r="K18" i="7" s="1"/>
  <c r="K19" i="7" a="1"/>
  <c r="K19" i="7" s="1"/>
  <c r="K20" i="7" a="1"/>
  <c r="K20" i="7" s="1"/>
  <c r="K21" i="7" a="1"/>
  <c r="K21" i="7" s="1"/>
  <c r="K22" i="7" a="1"/>
  <c r="K22" i="7" s="1"/>
  <c r="K23" i="7" a="1"/>
  <c r="K23" i="7" s="1"/>
  <c r="K24" i="7" a="1"/>
  <c r="K24" i="7" s="1"/>
  <c r="K25" i="7" a="1"/>
  <c r="K25" i="7" s="1"/>
  <c r="K26" i="7" a="1"/>
  <c r="K26" i="7" s="1"/>
  <c r="K27" i="7" a="1"/>
  <c r="K27" i="7" s="1"/>
  <c r="K28" i="7" a="1"/>
  <c r="K28" i="7" s="1"/>
  <c r="K29" i="7" a="1"/>
  <c r="K29" i="7" s="1"/>
  <c r="K30" i="7" a="1"/>
  <c r="K30" i="7" s="1"/>
  <c r="K31" i="7" a="1"/>
  <c r="K31" i="7" s="1"/>
  <c r="K32" i="7" a="1"/>
  <c r="K32" i="7" s="1"/>
  <c r="K33" i="7" a="1"/>
  <c r="K33" i="7" s="1"/>
  <c r="K34" i="7" a="1"/>
  <c r="K34" i="7" s="1"/>
  <c r="K35" i="7" a="1"/>
  <c r="K35" i="7" s="1"/>
  <c r="K36" i="7" a="1"/>
  <c r="K36" i="7" s="1"/>
  <c r="K37" i="7" a="1"/>
  <c r="K37" i="7" s="1"/>
  <c r="K38" i="7" a="1"/>
  <c r="K38" i="7" s="1"/>
  <c r="K39" i="7" a="1"/>
  <c r="K39" i="7" s="1"/>
  <c r="K40" i="7" a="1"/>
  <c r="K40" i="7" s="1"/>
  <c r="K41" i="7" a="1"/>
  <c r="K41" i="7" s="1"/>
  <c r="K42" i="7" a="1"/>
  <c r="K42" i="7" s="1"/>
  <c r="K43" i="7" a="1"/>
  <c r="K43" i="7" s="1"/>
  <c r="K44" i="7" a="1"/>
  <c r="K44" i="7" s="1"/>
  <c r="K45" i="7" a="1"/>
  <c r="K45" i="7" s="1"/>
  <c r="K46" i="7" a="1"/>
  <c r="K46" i="7" s="1"/>
  <c r="K47" i="7" a="1"/>
  <c r="K47" i="7" s="1"/>
  <c r="K48" i="7" a="1"/>
  <c r="K48" i="7" s="1"/>
  <c r="K49" i="7" a="1"/>
  <c r="K49" i="7" s="1"/>
  <c r="K50" i="7" a="1"/>
  <c r="K50" i="7" s="1"/>
  <c r="K51" i="7" a="1"/>
  <c r="K51" i="7" s="1"/>
  <c r="K52" i="7" a="1"/>
  <c r="K52" i="7" s="1"/>
  <c r="K53" i="7" a="1"/>
  <c r="K53" i="7" s="1"/>
  <c r="K54" i="7" a="1"/>
  <c r="K54" i="7" s="1"/>
  <c r="K55" i="7" a="1"/>
  <c r="K55" i="7" s="1"/>
  <c r="K56" i="7" a="1"/>
  <c r="K56" i="7" s="1"/>
  <c r="K57" i="7" a="1"/>
  <c r="K57" i="7" s="1"/>
  <c r="K58" i="7" a="1"/>
  <c r="K58" i="7" s="1"/>
  <c r="K59" i="7" a="1"/>
  <c r="K59" i="7" s="1"/>
  <c r="K60" i="7" a="1"/>
  <c r="K60" i="7" s="1"/>
  <c r="K61" i="7" a="1"/>
  <c r="K61" i="7" s="1"/>
  <c r="K62" i="7" a="1"/>
  <c r="K62" i="7" s="1"/>
  <c r="K63" i="7" a="1"/>
  <c r="K63" i="7" s="1"/>
  <c r="K64" i="7" a="1"/>
  <c r="K64" i="7" s="1"/>
  <c r="K65" i="7" a="1"/>
  <c r="K65" i="7" s="1"/>
  <c r="K66" i="7" a="1"/>
  <c r="K66" i="7" s="1"/>
  <c r="K67" i="7" a="1"/>
  <c r="K67" i="7" s="1"/>
  <c r="K68" i="7" a="1"/>
  <c r="K68" i="7" s="1"/>
  <c r="K69" i="7" a="1"/>
  <c r="K69" i="7" s="1"/>
  <c r="K70" i="7" a="1"/>
  <c r="K70" i="7" s="1"/>
  <c r="K71" i="7" a="1"/>
  <c r="K71" i="7" s="1"/>
  <c r="K72" i="7" a="1"/>
  <c r="K72" i="7" s="1"/>
  <c r="K73" i="7" a="1"/>
  <c r="K73" i="7" s="1"/>
  <c r="K74" i="7" a="1"/>
  <c r="K74" i="7" s="1"/>
  <c r="K75" i="7" a="1"/>
  <c r="K75" i="7" s="1"/>
  <c r="K76" i="7" a="1"/>
  <c r="K76" i="7" s="1"/>
  <c r="K77" i="7" a="1"/>
  <c r="K77" i="7" s="1"/>
  <c r="K78" i="7" a="1"/>
  <c r="K78" i="7" s="1"/>
  <c r="K79" i="7" a="1"/>
  <c r="K79" i="7" s="1"/>
  <c r="K80" i="7" a="1"/>
  <c r="K80" i="7" s="1"/>
  <c r="K81" i="7" a="1"/>
  <c r="K81" i="7" s="1"/>
  <c r="K82" i="7" a="1"/>
  <c r="K82" i="7" s="1"/>
  <c r="K83" i="7" a="1"/>
  <c r="K83" i="7" s="1"/>
  <c r="K84" i="7" a="1"/>
  <c r="K84" i="7" s="1"/>
  <c r="K85" i="7" a="1"/>
  <c r="K85" i="7" s="1"/>
  <c r="K86" i="7" a="1"/>
  <c r="K86" i="7" s="1"/>
  <c r="K87" i="7" a="1"/>
  <c r="K87" i="7" s="1"/>
  <c r="K88" i="7" a="1"/>
  <c r="K88" i="7" s="1"/>
  <c r="K89" i="7" a="1"/>
  <c r="K89" i="7" s="1"/>
  <c r="K90" i="7" a="1"/>
  <c r="K90" i="7" s="1"/>
  <c r="K91" i="7" a="1"/>
  <c r="K91" i="7" s="1"/>
  <c r="K92" i="7" a="1"/>
  <c r="K92" i="7" s="1"/>
  <c r="K93" i="7" a="1"/>
  <c r="K93" i="7" s="1"/>
  <c r="K94" i="7" a="1"/>
  <c r="K94" i="7" s="1"/>
  <c r="K95" i="7" a="1"/>
  <c r="K95" i="7" s="1"/>
  <c r="K96" i="7" a="1"/>
  <c r="K96" i="7" s="1"/>
  <c r="K97" i="7" a="1"/>
  <c r="K97" i="7" s="1"/>
  <c r="K98" i="7" a="1"/>
  <c r="K98" i="7" s="1"/>
  <c r="K99" i="7" a="1"/>
  <c r="K99" i="7" s="1"/>
  <c r="K100" i="7" a="1"/>
  <c r="K100" i="7" s="1"/>
  <c r="K101" i="7" a="1"/>
  <c r="K101" i="7" s="1"/>
  <c r="C2" i="28"/>
  <c r="F3" i="28" a="1"/>
  <c r="F3" i="28" s="1"/>
  <c r="F4" i="28" a="1"/>
  <c r="F4" i="28"/>
  <c r="F5" i="28" a="1"/>
  <c r="F5" i="28" s="1"/>
  <c r="F6" i="28" a="1"/>
  <c r="F6" i="28"/>
  <c r="F7" i="28" a="1"/>
  <c r="F7" i="28" s="1"/>
  <c r="F8" i="28" a="1"/>
  <c r="F8" i="28"/>
  <c r="F9" i="28" a="1"/>
  <c r="F9" i="28" s="1"/>
  <c r="F10" i="28" a="1"/>
  <c r="F10" i="28"/>
  <c r="F11" i="28" a="1"/>
  <c r="F11" i="28" s="1"/>
  <c r="F12" i="28" a="1"/>
  <c r="F12" i="28"/>
  <c r="F13" i="28" a="1"/>
  <c r="F13" i="28" s="1"/>
  <c r="F14" i="28" a="1"/>
  <c r="F14" i="28"/>
  <c r="F15" i="28" a="1"/>
  <c r="F15" i="28" s="1"/>
  <c r="F16" i="28" a="1"/>
  <c r="F16" i="28"/>
  <c r="F17" i="28" a="1"/>
  <c r="F17" i="28" s="1"/>
  <c r="F18" i="28" a="1"/>
  <c r="F18" i="28"/>
  <c r="F19" i="28" a="1"/>
  <c r="F19" i="28" s="1"/>
  <c r="F20" i="28" a="1"/>
  <c r="F20" i="28"/>
  <c r="F21" i="28" a="1"/>
  <c r="F21" i="28" s="1"/>
  <c r="F22" i="28" a="1"/>
  <c r="F22" i="28"/>
  <c r="F23" i="28" a="1"/>
  <c r="F23" i="28" s="1"/>
  <c r="F24" i="28" a="1"/>
  <c r="F24" i="28"/>
  <c r="F25" i="28" a="1"/>
  <c r="F25" i="28" s="1"/>
  <c r="F26" i="28" a="1"/>
  <c r="F26" i="28"/>
  <c r="F27" i="28" a="1"/>
  <c r="F27" i="28" s="1"/>
  <c r="F28" i="28" a="1"/>
  <c r="F28" i="28"/>
  <c r="F29" i="28" a="1"/>
  <c r="F29" i="28" s="1"/>
  <c r="F30" i="28" a="1"/>
  <c r="F30" i="28"/>
  <c r="F31" i="28" a="1"/>
  <c r="F31" i="28" s="1"/>
  <c r="F32" i="28" a="1"/>
  <c r="F32" i="28"/>
  <c r="F33" i="28" a="1"/>
  <c r="F33" i="28" s="1"/>
  <c r="F34" i="28" a="1"/>
  <c r="F34" i="28"/>
  <c r="F35" i="28" a="1"/>
  <c r="F35" i="28" s="1"/>
  <c r="F36" i="28" a="1"/>
  <c r="F36" i="28"/>
  <c r="F37" i="28" a="1"/>
  <c r="F37" i="28" s="1"/>
  <c r="F38" i="28" a="1"/>
  <c r="F38" i="28"/>
  <c r="F39" i="28" a="1"/>
  <c r="F39" i="28" s="1"/>
  <c r="F40" i="28" a="1"/>
  <c r="F40" i="28"/>
  <c r="F41" i="28" a="1"/>
  <c r="F41" i="28" s="1"/>
  <c r="F42" i="28" a="1"/>
  <c r="F42" i="28"/>
  <c r="F43" i="28" a="1"/>
  <c r="F43" i="28" s="1"/>
  <c r="F44" i="28" a="1"/>
  <c r="F44" i="28"/>
  <c r="F45" i="28" a="1"/>
  <c r="F45" i="28" s="1"/>
  <c r="F46" i="28" a="1"/>
  <c r="F46" i="28"/>
  <c r="F47" i="28" a="1"/>
  <c r="F47" i="28" s="1"/>
  <c r="F48" i="28" a="1"/>
  <c r="F48" i="28"/>
  <c r="F49" i="28" a="1"/>
  <c r="F49" i="28" s="1"/>
  <c r="F50" i="28" a="1"/>
  <c r="F50" i="28"/>
  <c r="F51" i="28" a="1"/>
  <c r="F51" i="28" s="1"/>
  <c r="F2" i="28" a="1"/>
  <c r="F2" i="28" s="1"/>
  <c r="E3" i="28" a="1"/>
  <c r="E3" i="28" s="1"/>
  <c r="E4" i="28" a="1"/>
  <c r="E4" i="28"/>
  <c r="E5" i="28" a="1"/>
  <c r="E5" i="28" s="1"/>
  <c r="E6" i="28" a="1"/>
  <c r="E6" i="28"/>
  <c r="E7" i="28" a="1"/>
  <c r="E7" i="28" s="1"/>
  <c r="E8" i="28" a="1"/>
  <c r="E8" i="28"/>
  <c r="E9" i="28" a="1"/>
  <c r="E9" i="28" s="1"/>
  <c r="E10" i="28" a="1"/>
  <c r="E10" i="28"/>
  <c r="E11" i="28" a="1"/>
  <c r="E11" i="28" s="1"/>
  <c r="E12" i="28" a="1"/>
  <c r="E12" i="28"/>
  <c r="E13" i="28" a="1"/>
  <c r="E13" i="28" s="1"/>
  <c r="E14" i="28" a="1"/>
  <c r="E14" i="28"/>
  <c r="E15" i="28" a="1"/>
  <c r="E15" i="28" s="1"/>
  <c r="E16" i="28" a="1"/>
  <c r="E16" i="28"/>
  <c r="E17" i="28" a="1"/>
  <c r="E17" i="28" s="1"/>
  <c r="E18" i="28" a="1"/>
  <c r="E18" i="28"/>
  <c r="E19" i="28" a="1"/>
  <c r="E19" i="28" s="1"/>
  <c r="E20" i="28" a="1"/>
  <c r="E20" i="28"/>
  <c r="E21" i="28" a="1"/>
  <c r="E21" i="28" s="1"/>
  <c r="E22" i="28" a="1"/>
  <c r="E22" i="28"/>
  <c r="E23" i="28" a="1"/>
  <c r="E23" i="28" s="1"/>
  <c r="E24" i="28" a="1"/>
  <c r="E24" i="28"/>
  <c r="E25" i="28" a="1"/>
  <c r="E25" i="28" s="1"/>
  <c r="E26" i="28" a="1"/>
  <c r="E26" i="28"/>
  <c r="E27" i="28" a="1"/>
  <c r="E27" i="28" s="1"/>
  <c r="E28" i="28" a="1"/>
  <c r="E28" i="28"/>
  <c r="E29" i="28" a="1"/>
  <c r="E29" i="28" s="1"/>
  <c r="E30" i="28" a="1"/>
  <c r="E30" i="28"/>
  <c r="E31" i="28" a="1"/>
  <c r="E31" i="28" s="1"/>
  <c r="E32" i="28" a="1"/>
  <c r="E32" i="28"/>
  <c r="E33" i="28" a="1"/>
  <c r="E33" i="28" s="1"/>
  <c r="E34" i="28" a="1"/>
  <c r="E34" i="28"/>
  <c r="E35" i="28" a="1"/>
  <c r="E35" i="28" s="1"/>
  <c r="E36" i="28" a="1"/>
  <c r="E36" i="28"/>
  <c r="E37" i="28" a="1"/>
  <c r="E37" i="28" s="1"/>
  <c r="E38" i="28" a="1"/>
  <c r="E38" i="28"/>
  <c r="E39" i="28" a="1"/>
  <c r="E39" i="28" s="1"/>
  <c r="E40" i="28" a="1"/>
  <c r="E40" i="28"/>
  <c r="E41" i="28" a="1"/>
  <c r="E41" i="28" s="1"/>
  <c r="E42" i="28" a="1"/>
  <c r="E42" i="28"/>
  <c r="E43" i="28" a="1"/>
  <c r="E43" i="28" s="1"/>
  <c r="E44" i="28" a="1"/>
  <c r="E44" i="28"/>
  <c r="E45" i="28" a="1"/>
  <c r="E45" i="28" s="1"/>
  <c r="E46" i="28" a="1"/>
  <c r="E46" i="28"/>
  <c r="E47" i="28" a="1"/>
  <c r="E47" i="28" s="1"/>
  <c r="E48" i="28" a="1"/>
  <c r="E48" i="28"/>
  <c r="E49" i="28" a="1"/>
  <c r="E49" i="28" s="1"/>
  <c r="E50" i="28" a="1"/>
  <c r="E50" i="28"/>
  <c r="E51" i="28" a="1"/>
  <c r="E51" i="28" s="1"/>
  <c r="E2" i="28" a="1"/>
  <c r="E2" i="28" s="1"/>
  <c r="D3" i="28" a="1"/>
  <c r="D3" i="28" s="1"/>
  <c r="D4" i="28" a="1"/>
  <c r="D4" i="28" s="1"/>
  <c r="D5" i="28" a="1"/>
  <c r="D5" i="28" s="1"/>
  <c r="D6" i="28" a="1"/>
  <c r="D6" i="28" s="1"/>
  <c r="D7" i="28" a="1"/>
  <c r="D7" i="28" s="1"/>
  <c r="D8" i="28" a="1"/>
  <c r="D8" i="28" s="1"/>
  <c r="D9" i="28" a="1"/>
  <c r="D9" i="28" s="1"/>
  <c r="D10" i="28" a="1"/>
  <c r="D10" i="28" s="1"/>
  <c r="D11" i="28" a="1"/>
  <c r="D11" i="28" s="1"/>
  <c r="D12" i="28" a="1"/>
  <c r="D12" i="28" s="1"/>
  <c r="D13" i="28" a="1"/>
  <c r="D13" i="28" s="1"/>
  <c r="D14" i="28" a="1"/>
  <c r="D14" i="28" s="1"/>
  <c r="D15" i="28" a="1"/>
  <c r="D15" i="28" s="1"/>
  <c r="D16" i="28" a="1"/>
  <c r="D16" i="28" s="1"/>
  <c r="D17" i="28" a="1"/>
  <c r="D17" i="28" s="1"/>
  <c r="D18" i="28" a="1"/>
  <c r="D18" i="28" s="1"/>
  <c r="D19" i="28" a="1"/>
  <c r="D19" i="28" s="1"/>
  <c r="D20" i="28" a="1"/>
  <c r="D20" i="28" s="1"/>
  <c r="D21" i="28" a="1"/>
  <c r="D21" i="28" s="1"/>
  <c r="D22" i="28" a="1"/>
  <c r="D22" i="28" s="1"/>
  <c r="D23" i="28" a="1"/>
  <c r="D23" i="28" s="1"/>
  <c r="D24" i="28" a="1"/>
  <c r="D24" i="28" s="1"/>
  <c r="D25" i="28" a="1"/>
  <c r="D25" i="28" s="1"/>
  <c r="D26" i="28" a="1"/>
  <c r="D26" i="28" s="1"/>
  <c r="D27" i="28" a="1"/>
  <c r="D27" i="28" s="1"/>
  <c r="D28" i="28" a="1"/>
  <c r="D28" i="28" s="1"/>
  <c r="D29" i="28" a="1"/>
  <c r="D29" i="28" s="1"/>
  <c r="D30" i="28" a="1"/>
  <c r="D30" i="28" s="1"/>
  <c r="D31" i="28" a="1"/>
  <c r="D31" i="28" s="1"/>
  <c r="D32" i="28" a="1"/>
  <c r="D32" i="28" s="1"/>
  <c r="D33" i="28" a="1"/>
  <c r="D33" i="28" s="1"/>
  <c r="D34" i="28" a="1"/>
  <c r="D34" i="28" s="1"/>
  <c r="D35" i="28" a="1"/>
  <c r="D35" i="28" s="1"/>
  <c r="D36" i="28" a="1"/>
  <c r="D36" i="28" s="1"/>
  <c r="D37" i="28" a="1"/>
  <c r="D37" i="28" s="1"/>
  <c r="D38" i="28" a="1"/>
  <c r="D38" i="28" s="1"/>
  <c r="D39" i="28" a="1"/>
  <c r="D39" i="28" s="1"/>
  <c r="D40" i="28" a="1"/>
  <c r="D40" i="28" s="1"/>
  <c r="D41" i="28" a="1"/>
  <c r="D41" i="28" s="1"/>
  <c r="D42" i="28" a="1"/>
  <c r="D42" i="28" s="1"/>
  <c r="D43" i="28" a="1"/>
  <c r="D43" i="28" s="1"/>
  <c r="D44" i="28" a="1"/>
  <c r="D44" i="28" s="1"/>
  <c r="D45" i="28" a="1"/>
  <c r="D45" i="28" s="1"/>
  <c r="D46" i="28" a="1"/>
  <c r="D46" i="28" s="1"/>
  <c r="D47" i="28" a="1"/>
  <c r="D47" i="28" s="1"/>
  <c r="D48" i="28" a="1"/>
  <c r="D48" i="28" s="1"/>
  <c r="D49" i="28" a="1"/>
  <c r="D49" i="28" s="1"/>
  <c r="D50" i="28" a="1"/>
  <c r="D50" i="28" s="1"/>
  <c r="D51" i="28" a="1"/>
  <c r="D51" i="28" s="1"/>
  <c r="D2" i="28" a="1"/>
  <c r="D2" i="28"/>
  <c r="C3" i="28"/>
  <c r="C4" i="28"/>
  <c r="C5" i="28"/>
  <c r="C6" i="28"/>
  <c r="C7" i="28"/>
  <c r="C8" i="28"/>
  <c r="C9" i="28"/>
  <c r="C10" i="28"/>
  <c r="C11" i="28"/>
  <c r="C12" i="28"/>
  <c r="C13" i="28"/>
  <c r="C14" i="28"/>
  <c r="C15" i="28"/>
  <c r="C16" i="28"/>
  <c r="C17" i="28"/>
  <c r="C18" i="28"/>
  <c r="C19" i="28"/>
  <c r="C20" i="28"/>
  <c r="C21" i="28"/>
  <c r="C22" i="28"/>
  <c r="C23" i="28"/>
  <c r="C24" i="28"/>
  <c r="C25" i="28"/>
  <c r="C26" i="28"/>
  <c r="C27" i="28"/>
  <c r="C28" i="28"/>
  <c r="C29" i="28"/>
  <c r="C30" i="28"/>
  <c r="C31" i="28"/>
  <c r="C32" i="28"/>
  <c r="C33" i="28"/>
  <c r="C34" i="28"/>
  <c r="C35" i="28"/>
  <c r="C36" i="28"/>
  <c r="C37" i="28"/>
  <c r="C38" i="28"/>
  <c r="C39" i="28"/>
  <c r="C40" i="28"/>
  <c r="C41" i="28"/>
  <c r="C42" i="28"/>
  <c r="C43" i="28"/>
  <c r="C44" i="28"/>
  <c r="C45" i="28"/>
  <c r="C46" i="28"/>
  <c r="C47" i="28"/>
  <c r="C48" i="28"/>
  <c r="C49" i="28"/>
  <c r="C50" i="28"/>
  <c r="C51" i="28"/>
  <c r="G5" i="22"/>
  <c r="G6" i="22" s="1"/>
  <c r="K6" i="24" s="1"/>
  <c r="M6" i="24" s="1"/>
  <c r="G20" i="24" s="1"/>
  <c r="F5" i="22"/>
  <c r="F6" i="22" s="1"/>
  <c r="K5" i="24" s="1"/>
  <c r="M5" i="24" s="1"/>
  <c r="G19" i="24" s="1"/>
  <c r="O31" i="26" s="1"/>
  <c r="E5" i="22"/>
  <c r="E6" i="22" s="1"/>
  <c r="K4" i="24" s="1"/>
  <c r="M4" i="24" s="1"/>
  <c r="G18" i="24" s="1"/>
  <c r="O29" i="26" s="1"/>
  <c r="D5" i="22"/>
  <c r="D6" i="22" s="1"/>
  <c r="K3" i="24" s="1"/>
  <c r="M3" i="24" s="1"/>
  <c r="G17" i="24" s="1"/>
  <c r="O27" i="26" s="1"/>
  <c r="C5" i="22"/>
  <c r="C6" i="22" s="1"/>
  <c r="K2" i="24" s="1"/>
  <c r="H35" i="7"/>
  <c r="J2"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E52" i="8"/>
  <c r="L46" i="7" s="1" a="1"/>
  <c r="L46" i="7" s="1"/>
  <c r="E51" i="8"/>
  <c r="L93" i="7" s="1" a="1"/>
  <c r="L93" i="7" s="1"/>
  <c r="E50" i="8"/>
  <c r="L90" i="7" s="1" a="1"/>
  <c r="L90" i="7" s="1"/>
  <c r="N90" i="7" s="1"/>
  <c r="E49" i="8"/>
  <c r="L69" i="7" s="1" a="1"/>
  <c r="L69" i="7" s="1"/>
  <c r="N69" i="7" s="1"/>
  <c r="E48" i="8"/>
  <c r="E47" i="8"/>
  <c r="L95" i="7" s="1" a="1"/>
  <c r="L95" i="7" s="1"/>
  <c r="E46" i="8"/>
  <c r="L66" i="7" s="1" a="1"/>
  <c r="L66" i="7" s="1"/>
  <c r="E45" i="8"/>
  <c r="E44" i="8"/>
  <c r="L29" i="7" s="1" a="1"/>
  <c r="L29" i="7" s="1"/>
  <c r="E43" i="8"/>
  <c r="E42" i="8"/>
  <c r="L88" i="7" s="1" a="1"/>
  <c r="L88" i="7" s="1"/>
  <c r="E41" i="8"/>
  <c r="L77" i="7" s="1" a="1"/>
  <c r="L77" i="7" s="1"/>
  <c r="E40" i="8"/>
  <c r="E39" i="8"/>
  <c r="E38" i="8"/>
  <c r="L85" i="7" s="1" a="1"/>
  <c r="L85" i="7" s="1"/>
  <c r="E37" i="8"/>
  <c r="L21" i="7" s="1" a="1"/>
  <c r="L21" i="7" s="1"/>
  <c r="E36" i="8"/>
  <c r="L30" i="7" s="1" a="1"/>
  <c r="L30" i="7" s="1"/>
  <c r="E35" i="8"/>
  <c r="L48" i="7" s="1" a="1"/>
  <c r="L48" i="7" s="1"/>
  <c r="E34" i="8"/>
  <c r="L8" i="7" s="1" a="1"/>
  <c r="L8" i="7" s="1"/>
  <c r="E33" i="8"/>
  <c r="L25" i="7" s="1" a="1"/>
  <c r="L25" i="7" s="1"/>
  <c r="E32" i="8"/>
  <c r="L6" i="7" s="1" a="1"/>
  <c r="L6" i="7" s="1"/>
  <c r="E31" i="8"/>
  <c r="L34" i="7" s="1" a="1"/>
  <c r="L34" i="7" s="1"/>
  <c r="E30" i="8"/>
  <c r="L87" i="7" s="1" a="1"/>
  <c r="L87" i="7" s="1"/>
  <c r="E29" i="8"/>
  <c r="L33" i="7" s="1" a="1"/>
  <c r="L33" i="7" s="1"/>
  <c r="E28" i="8"/>
  <c r="E27" i="8"/>
  <c r="L18" i="7" s="1" a="1"/>
  <c r="L18" i="7" s="1"/>
  <c r="E26" i="8"/>
  <c r="E25" i="8"/>
  <c r="L35" i="7" s="1" a="1"/>
  <c r="L35" i="7" s="1"/>
  <c r="N35" i="7" s="1"/>
  <c r="E24" i="8"/>
  <c r="L52" i="7" s="1" a="1"/>
  <c r="L52" i="7" s="1"/>
  <c r="E23" i="8"/>
  <c r="L43" i="7" s="1" a="1"/>
  <c r="L43" i="7" s="1"/>
  <c r="E22" i="8"/>
  <c r="L50" i="7" s="1" a="1"/>
  <c r="L50" i="7" s="1"/>
  <c r="E21" i="8"/>
  <c r="L2" i="7" s="1" a="1"/>
  <c r="L2" i="7" s="1"/>
  <c r="E20" i="8"/>
  <c r="L12" i="7" s="1" a="1"/>
  <c r="L12" i="7" s="1"/>
  <c r="E19" i="8"/>
  <c r="L79" i="7" s="1" a="1"/>
  <c r="L79" i="7" s="1"/>
  <c r="E18" i="8"/>
  <c r="L17" i="7" s="1" a="1"/>
  <c r="L17" i="7" s="1"/>
  <c r="N17" i="7" s="1"/>
  <c r="E17" i="8"/>
  <c r="L57" i="7" s="1" a="1"/>
  <c r="L57" i="7" s="1"/>
  <c r="E16" i="8"/>
  <c r="E15" i="8"/>
  <c r="E14" i="8"/>
  <c r="L13" i="7" s="1" a="1"/>
  <c r="L13" i="7" s="1"/>
  <c r="E13" i="8"/>
  <c r="L60" i="7" s="1" a="1"/>
  <c r="L60" i="7" s="1"/>
  <c r="E12" i="8"/>
  <c r="L22" i="7" s="1" a="1"/>
  <c r="L22" i="7" s="1"/>
  <c r="E11" i="8"/>
  <c r="L32" i="7" s="1" a="1"/>
  <c r="L32" i="7" s="1"/>
  <c r="E10" i="8"/>
  <c r="L11" i="7" s="1" a="1"/>
  <c r="L11" i="7" s="1"/>
  <c r="E9" i="8"/>
  <c r="E8" i="8"/>
  <c r="L65" i="7" s="1" a="1"/>
  <c r="L65" i="7" s="1"/>
  <c r="E7" i="8"/>
  <c r="E6" i="8"/>
  <c r="E5" i="8"/>
  <c r="E4" i="8"/>
  <c r="E3" i="8"/>
  <c r="L75" i="7" s="1" a="1"/>
  <c r="L75" i="7" s="1"/>
  <c r="E2" i="8"/>
  <c r="H51" i="10"/>
  <c r="H50" i="10"/>
  <c r="H49" i="10"/>
  <c r="H48" i="10"/>
  <c r="H47" i="10"/>
  <c r="H46" i="10"/>
  <c r="H45" i="10"/>
  <c r="H44" i="10"/>
  <c r="H43" i="10"/>
  <c r="H42" i="10"/>
  <c r="H41" i="10"/>
  <c r="H40" i="10"/>
  <c r="H39" i="10"/>
  <c r="H38" i="10"/>
  <c r="H37" i="10"/>
  <c r="H36" i="10"/>
  <c r="H35" i="10"/>
  <c r="H34" i="10"/>
  <c r="H33" i="10"/>
  <c r="H32" i="10"/>
  <c r="H31" i="10"/>
  <c r="H30" i="10"/>
  <c r="H29" i="10"/>
  <c r="H28" i="10"/>
  <c r="H27" i="10"/>
  <c r="H26" i="10"/>
  <c r="H25" i="10"/>
  <c r="H24" i="10"/>
  <c r="H23" i="10"/>
  <c r="H22" i="10"/>
  <c r="H21" i="10"/>
  <c r="H20" i="10"/>
  <c r="H19" i="10"/>
  <c r="H18" i="10"/>
  <c r="H17" i="10"/>
  <c r="H16" i="10"/>
  <c r="H15" i="10"/>
  <c r="H14" i="10"/>
  <c r="H13" i="10"/>
  <c r="H12" i="10"/>
  <c r="H11" i="10"/>
  <c r="H10" i="10"/>
  <c r="H9" i="10"/>
  <c r="H8" i="10"/>
  <c r="H7" i="10"/>
  <c r="H6" i="10"/>
  <c r="H5" i="10"/>
  <c r="H4" i="10"/>
  <c r="H3" i="10"/>
  <c r="H2" i="10"/>
  <c r="N79" i="7" l="1"/>
  <c r="N77" i="7"/>
  <c r="N2" i="7"/>
  <c r="N85" i="7"/>
  <c r="N57" i="7"/>
  <c r="N18" i="7"/>
  <c r="H19" i="24" s="1" a="1"/>
  <c r="H19" i="24" s="1"/>
  <c r="R31" i="26" s="1"/>
  <c r="N34" i="7"/>
  <c r="N11" i="7"/>
  <c r="N32" i="7"/>
  <c r="N46" i="7"/>
  <c r="N88" i="7"/>
  <c r="N12" i="7"/>
  <c r="N66" i="7"/>
  <c r="N33" i="7"/>
  <c r="N13" i="7"/>
  <c r="N50" i="7"/>
  <c r="H20" i="24" s="1" a="1"/>
  <c r="H20" i="24" s="1"/>
  <c r="R33" i="26" s="1"/>
  <c r="N29" i="7"/>
  <c r="N43" i="7"/>
  <c r="N52" i="7"/>
  <c r="N93" i="7"/>
  <c r="N87" i="7"/>
  <c r="N6" i="7"/>
  <c r="N95" i="7"/>
  <c r="N8" i="7"/>
  <c r="N22" i="7"/>
  <c r="N30" i="7"/>
  <c r="N75" i="7"/>
  <c r="N65" i="7"/>
  <c r="N25" i="7"/>
  <c r="H18" i="24" s="1" a="1"/>
  <c r="H18" i="24" s="1"/>
  <c r="R29" i="26" s="1"/>
  <c r="N60" i="7"/>
  <c r="N48" i="7"/>
  <c r="N21" i="7"/>
  <c r="L53" i="7" a="1"/>
  <c r="L53" i="7" s="1"/>
  <c r="N53" i="7" s="1"/>
  <c r="O33" i="26"/>
  <c r="L71" i="7" a="1"/>
  <c r="L71" i="7" s="1"/>
  <c r="N71" i="7" s="1"/>
  <c r="H17" i="24" s="1" a="1"/>
  <c r="H17" i="24" s="1"/>
  <c r="R27" i="26" s="1"/>
  <c r="L28" i="7" a="1"/>
  <c r="L28" i="7" s="1"/>
  <c r="N28" i="7" s="1"/>
  <c r="L98" i="7" a="1"/>
  <c r="L98" i="7" s="1"/>
  <c r="N98" i="7" s="1"/>
  <c r="L23" i="7" a="1"/>
  <c r="L23" i="7" s="1"/>
  <c r="N23" i="7" s="1"/>
  <c r="L47" i="7" a="1"/>
  <c r="L47" i="7" s="1"/>
  <c r="N47" i="7" s="1"/>
  <c r="L99" i="7" a="1"/>
  <c r="L99" i="7" s="1"/>
  <c r="N99" i="7" s="1"/>
  <c r="L41" i="7" a="1"/>
  <c r="L41" i="7" s="1"/>
  <c r="N41" i="7" s="1"/>
  <c r="L94" i="7" a="1"/>
  <c r="L94" i="7" s="1"/>
  <c r="N94" i="7" s="1"/>
  <c r="L64" i="7" a="1"/>
  <c r="L64" i="7" s="1"/>
  <c r="N64" i="7" s="1"/>
  <c r="L49" i="7" a="1"/>
  <c r="L49" i="7" s="1"/>
  <c r="N49" i="7" s="1"/>
  <c r="L3" i="7" a="1"/>
  <c r="L3" i="7" s="1"/>
  <c r="N3" i="7" s="1"/>
  <c r="L86" i="7" a="1"/>
  <c r="L86" i="7" s="1"/>
  <c r="N86" i="7" s="1"/>
  <c r="L56" i="7" a="1"/>
  <c r="L56" i="7" s="1"/>
  <c r="N56" i="7" s="1"/>
  <c r="L9" i="7" a="1"/>
  <c r="L9" i="7" s="1"/>
  <c r="N9" i="7" s="1"/>
  <c r="L96" i="7" a="1"/>
  <c r="L96" i="7" s="1"/>
  <c r="N96" i="7" s="1"/>
  <c r="L20" i="7" a="1"/>
  <c r="L20" i="7" s="1"/>
  <c r="N20" i="7" s="1"/>
  <c r="L84" i="7" a="1"/>
  <c r="L84" i="7" s="1"/>
  <c r="N84" i="7" s="1"/>
  <c r="L100" i="7" a="1"/>
  <c r="L100" i="7" s="1"/>
  <c r="N100" i="7" s="1"/>
  <c r="L68" i="7" a="1"/>
  <c r="L68" i="7" s="1"/>
  <c r="N68" i="7" s="1"/>
  <c r="L5" i="7" a="1"/>
  <c r="L5" i="7" s="1"/>
  <c r="N5" i="7" s="1"/>
  <c r="L76" i="7" a="1"/>
  <c r="L76" i="7" s="1"/>
  <c r="N76" i="7" s="1"/>
  <c r="L40" i="7" a="1"/>
  <c r="L40" i="7" s="1"/>
  <c r="N40" i="7" s="1"/>
  <c r="L24" i="7" a="1"/>
  <c r="L24" i="7" s="1"/>
  <c r="N24" i="7" s="1"/>
  <c r="L16" i="7" a="1"/>
  <c r="L16" i="7" s="1"/>
  <c r="N16" i="7" s="1"/>
  <c r="L72" i="7" a="1"/>
  <c r="L72" i="7" s="1"/>
  <c r="N72" i="7" s="1"/>
  <c r="L61" i="7" a="1"/>
  <c r="L61" i="7" s="1"/>
  <c r="N61" i="7" s="1"/>
  <c r="L44" i="7" a="1"/>
  <c r="L44" i="7" s="1"/>
  <c r="N44" i="7" s="1"/>
  <c r="L91" i="7" a="1"/>
  <c r="L91" i="7" s="1"/>
  <c r="N91" i="7" s="1"/>
  <c r="L83" i="7" a="1"/>
  <c r="L83" i="7" s="1"/>
  <c r="N83" i="7" s="1"/>
  <c r="L67" i="7" a="1"/>
  <c r="L67" i="7" s="1"/>
  <c r="N67" i="7" s="1"/>
  <c r="L63" i="7" a="1"/>
  <c r="L63" i="7" s="1"/>
  <c r="N63" i="7" s="1"/>
  <c r="L59" i="7" a="1"/>
  <c r="L59" i="7" s="1"/>
  <c r="N59" i="7" s="1"/>
  <c r="L55" i="7" a="1"/>
  <c r="L55" i="7" s="1"/>
  <c r="N55" i="7" s="1"/>
  <c r="L51" i="7" a="1"/>
  <c r="L51" i="7" s="1"/>
  <c r="N51" i="7" s="1"/>
  <c r="L39" i="7" a="1"/>
  <c r="L39" i="7" s="1"/>
  <c r="N39" i="7" s="1"/>
  <c r="L31" i="7" a="1"/>
  <c r="L31" i="7" s="1"/>
  <c r="N31" i="7" s="1"/>
  <c r="L27" i="7" a="1"/>
  <c r="L27" i="7" s="1"/>
  <c r="N27" i="7" s="1"/>
  <c r="L19" i="7" a="1"/>
  <c r="L19" i="7" s="1"/>
  <c r="N19" i="7" s="1"/>
  <c r="L15" i="7" a="1"/>
  <c r="L15" i="7" s="1"/>
  <c r="N15" i="7" s="1"/>
  <c r="L4" i="7" a="1"/>
  <c r="L4" i="7" s="1"/>
  <c r="N4" i="7" s="1"/>
  <c r="L82" i="7" a="1"/>
  <c r="L82" i="7" s="1"/>
  <c r="N82" i="7" s="1"/>
  <c r="L78" i="7" a="1"/>
  <c r="L78" i="7" s="1"/>
  <c r="N78" i="7" s="1"/>
  <c r="L74" i="7" a="1"/>
  <c r="L74" i="7" s="1"/>
  <c r="N74" i="7" s="1"/>
  <c r="L70" i="7" a="1"/>
  <c r="L70" i="7" s="1"/>
  <c r="N70" i="7" s="1"/>
  <c r="L62" i="7" a="1"/>
  <c r="L62" i="7" s="1"/>
  <c r="N62" i="7" s="1"/>
  <c r="L58" i="7" a="1"/>
  <c r="L58" i="7" s="1"/>
  <c r="N58" i="7" s="1"/>
  <c r="L54" i="7" a="1"/>
  <c r="L54" i="7" s="1"/>
  <c r="N54" i="7" s="1"/>
  <c r="L42" i="7" a="1"/>
  <c r="L42" i="7" s="1"/>
  <c r="N42" i="7" s="1"/>
  <c r="L38" i="7" a="1"/>
  <c r="L38" i="7" s="1"/>
  <c r="N38" i="7" s="1"/>
  <c r="L26" i="7" a="1"/>
  <c r="L26" i="7" s="1"/>
  <c r="N26" i="7" s="1"/>
  <c r="L14" i="7" a="1"/>
  <c r="L14" i="7" s="1"/>
  <c r="N14" i="7" s="1"/>
  <c r="L7" i="7" a="1"/>
  <c r="L7" i="7" s="1"/>
  <c r="N7" i="7" s="1"/>
  <c r="L92" i="7" a="1"/>
  <c r="L92" i="7" s="1"/>
  <c r="N92" i="7" s="1"/>
  <c r="L80" i="7" a="1"/>
  <c r="L80" i="7" s="1"/>
  <c r="N80" i="7" s="1"/>
  <c r="L36" i="7" a="1"/>
  <c r="L36" i="7" s="1"/>
  <c r="N36" i="7" s="1"/>
  <c r="L101" i="7" a="1"/>
  <c r="L101" i="7" s="1"/>
  <c r="N101" i="7" s="1"/>
  <c r="L97" i="7" a="1"/>
  <c r="L97" i="7" s="1"/>
  <c r="N97" i="7" s="1"/>
  <c r="L89" i="7" a="1"/>
  <c r="L89" i="7" s="1"/>
  <c r="N89" i="7" s="1"/>
  <c r="L81" i="7" a="1"/>
  <c r="L81" i="7" s="1"/>
  <c r="N81" i="7" s="1"/>
  <c r="L73" i="7" a="1"/>
  <c r="L73" i="7" s="1"/>
  <c r="N73" i="7" s="1"/>
  <c r="L45" i="7" a="1"/>
  <c r="L45" i="7" s="1"/>
  <c r="N45" i="7" s="1"/>
  <c r="L37" i="7" a="1"/>
  <c r="L37" i="7" s="1"/>
  <c r="N37" i="7" s="1"/>
  <c r="L10" i="7" a="1"/>
  <c r="L10" i="7" s="1"/>
  <c r="N10" i="7" s="1"/>
  <c r="M2" i="24"/>
  <c r="G16" i="24" s="1"/>
  <c r="G4" i="24"/>
  <c r="D5" i="24"/>
  <c r="A5" i="24"/>
  <c r="G5" i="24"/>
  <c r="A4" i="24"/>
  <c r="D4" i="24"/>
  <c r="G3" i="24"/>
  <c r="D3" i="24"/>
  <c r="A6" i="24"/>
  <c r="D6" i="24"/>
  <c r="G6" i="24"/>
  <c r="A3" i="24"/>
  <c r="A2" i="24"/>
  <c r="D2" i="24"/>
  <c r="G2" i="24"/>
  <c r="D13" i="22"/>
  <c r="N3" i="24" s="1"/>
  <c r="E13" i="22"/>
  <c r="N4" i="24" s="1"/>
  <c r="F13" i="22"/>
  <c r="N5" i="24" s="1"/>
  <c r="G13" i="22"/>
  <c r="N6" i="24" s="1"/>
  <c r="C13" i="22"/>
  <c r="N2" i="24" s="1"/>
  <c r="C4" i="22"/>
  <c r="F7" i="22"/>
  <c r="J5" i="24" s="1"/>
  <c r="C7" i="22"/>
  <c r="J2" i="24" s="1"/>
  <c r="D7" i="22"/>
  <c r="J3" i="24" s="1"/>
  <c r="E7" i="22"/>
  <c r="J4" i="24" s="1"/>
  <c r="G7" i="22"/>
  <c r="J6" i="24" s="1"/>
  <c r="G8" i="22"/>
  <c r="C8" i="22"/>
  <c r="D8" i="22"/>
  <c r="E8" i="22"/>
  <c r="F8" i="22"/>
  <c r="D4" i="22"/>
  <c r="E4" i="22"/>
  <c r="F4" i="22"/>
  <c r="G4" i="22"/>
  <c r="G75" i="7"/>
  <c r="I2" i="7"/>
  <c r="I3" i="7"/>
  <c r="I4" i="7"/>
  <c r="I5" i="7"/>
  <c r="I6" i="7"/>
  <c r="I7" i="7"/>
  <c r="I8" i="7"/>
  <c r="I9" i="7"/>
  <c r="I10" i="7"/>
  <c r="I11" i="7"/>
  <c r="I12" i="7"/>
  <c r="I13" i="7"/>
  <c r="I14" i="7"/>
  <c r="I15" i="7"/>
  <c r="I16" i="7"/>
  <c r="I17" i="7"/>
  <c r="I18" i="7"/>
  <c r="I19" i="7"/>
  <c r="I20" i="7"/>
  <c r="I21" i="7"/>
  <c r="I22"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H2" i="7"/>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G3" i="7"/>
  <c r="G2"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6" i="7"/>
  <c r="G77" i="7"/>
  <c r="G78" i="7"/>
  <c r="G79" i="7"/>
  <c r="G80" i="7"/>
  <c r="G81" i="7"/>
  <c r="G82" i="7"/>
  <c r="G83" i="7"/>
  <c r="G84" i="7"/>
  <c r="G85" i="7"/>
  <c r="G86" i="7"/>
  <c r="G87" i="7"/>
  <c r="G88" i="7"/>
  <c r="G89" i="7"/>
  <c r="G90" i="7"/>
  <c r="G91" i="7"/>
  <c r="G92" i="7"/>
  <c r="G93" i="7"/>
  <c r="G94" i="7"/>
  <c r="G95" i="7"/>
  <c r="G96" i="7"/>
  <c r="G97" i="7"/>
  <c r="G98" i="7"/>
  <c r="G99" i="7"/>
  <c r="G100" i="7"/>
  <c r="G101" i="7"/>
  <c r="F2"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H16" i="24" l="1" a="1"/>
  <c r="H16" i="24" s="1"/>
  <c r="R25" i="26" s="1"/>
  <c r="O25" i="26"/>
  <c r="C12" i="22"/>
  <c r="H2" i="24" s="1"/>
  <c r="D11" i="22"/>
  <c r="E3" i="24" s="1"/>
  <c r="G12" i="22"/>
  <c r="D10" i="22"/>
  <c r="B3" i="24" s="1"/>
  <c r="G11" i="22"/>
  <c r="E6" i="24" s="1"/>
  <c r="C11" i="22"/>
  <c r="E2" i="24" s="1"/>
  <c r="F12" i="22"/>
  <c r="H5" i="24" s="1"/>
  <c r="F9" i="22"/>
  <c r="E10" i="22"/>
  <c r="B4" i="24" s="1"/>
  <c r="H7" i="24"/>
  <c r="E9" i="22"/>
  <c r="D9" i="22"/>
  <c r="G10" i="22"/>
  <c r="B7" i="24"/>
  <c r="F11" i="22"/>
  <c r="E5" i="24" s="1"/>
  <c r="E7" i="24"/>
  <c r="E12" i="22"/>
  <c r="H4" i="24" s="1"/>
  <c r="G9" i="22"/>
  <c r="C9" i="22"/>
  <c r="F10" i="22"/>
  <c r="B6" i="24" s="1"/>
  <c r="C10" i="22"/>
  <c r="B2" i="24" s="1"/>
  <c r="E11" i="22"/>
  <c r="E4" i="24" s="1"/>
  <c r="D12" i="22"/>
  <c r="H3" i="24" s="1"/>
  <c r="H6" i="24" l="1"/>
  <c r="B5"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E46A06-21BF-4FCA-8048-B48A5DFCAF90}" keepAlive="1" name="Query - Table37" description="Connection to the 'Table37' query in the workbook." type="5" refreshedVersion="0" background="1">
    <dbPr connection="Provider=Microsoft.Mashup.OleDb.1;Data Source=$Workbook$;Location=Table37;Extended Properties=&quot;&quot;" command="SELECT * FROM [Table37]"/>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<sst xmlns="http://schemas.openxmlformats.org/spreadsheetml/2006/main" count="6837" uniqueCount="2546">
  <si>
    <t>Rank</t>
  </si>
  <si>
    <t>University</t>
  </si>
  <si>
    <t>Town</t>
  </si>
  <si>
    <t>State</t>
  </si>
  <si>
    <t>Massachusetts Institute of Technology</t>
  </si>
  <si>
    <t>Cambridge</t>
  </si>
  <si>
    <t>Harvard University</t>
  </si>
  <si>
    <t>Stanford University</t>
  </si>
  <si>
    <t>Cornell University</t>
  </si>
  <si>
    <t>Ithaca</t>
  </si>
  <si>
    <t>University of California, Berkeley</t>
  </si>
  <si>
    <t>University of Michigan</t>
  </si>
  <si>
    <t>University of Washington</t>
  </si>
  <si>
    <t>Columbia University in the City of New York</t>
  </si>
  <si>
    <t>New York City</t>
  </si>
  <si>
    <t>University of California, Los Angeles</t>
  </si>
  <si>
    <t>Yale University</t>
  </si>
  <si>
    <t>New Haven</t>
  </si>
  <si>
    <t>University of Pennsylvania</t>
  </si>
  <si>
    <t>Philadelphia</t>
  </si>
  <si>
    <t>University of Wisconsin-Madison</t>
  </si>
  <si>
    <t>Madison</t>
  </si>
  <si>
    <t>The University of Texas at Austin</t>
  </si>
  <si>
    <t>Austin</t>
  </si>
  <si>
    <t>University of Chicago</t>
  </si>
  <si>
    <t>Chicago</t>
  </si>
  <si>
    <t>Princeton University</t>
  </si>
  <si>
    <t>Princeton</t>
  </si>
  <si>
    <t>University of Minnesota Twin Cities</t>
  </si>
  <si>
    <t>Purdue University</t>
  </si>
  <si>
    <t>West Lafayette</t>
  </si>
  <si>
    <t>University of California, Davis</t>
  </si>
  <si>
    <t>University of California, San Diego</t>
  </si>
  <si>
    <t>Johns Hopkins University</t>
  </si>
  <si>
    <t>New York University</t>
  </si>
  <si>
    <t>Penn State University</t>
  </si>
  <si>
    <t>University of Florida</t>
  </si>
  <si>
    <t>Gainesville</t>
  </si>
  <si>
    <t>Michigan State University</t>
  </si>
  <si>
    <t>East Lansing</t>
  </si>
  <si>
    <t>University of Southern California</t>
  </si>
  <si>
    <t>Los Angeles</t>
  </si>
  <si>
    <t>University of North Carolina at Chapel Hill</t>
  </si>
  <si>
    <t>Chapel Hill</t>
  </si>
  <si>
    <t>Carnegie Mellon University</t>
  </si>
  <si>
    <t>Arizona State University</t>
  </si>
  <si>
    <t>Duke University</t>
  </si>
  <si>
    <t>Durham</t>
  </si>
  <si>
    <t>University of Maryland</t>
  </si>
  <si>
    <t>College Park</t>
  </si>
  <si>
    <t>Rutgers, The State University of New Jersey</t>
  </si>
  <si>
    <t>University of Illinois Urbana-Champaign</t>
  </si>
  <si>
    <t>The Ohio State University</t>
  </si>
  <si>
    <t>University of Colorado Boulder</t>
  </si>
  <si>
    <t>Boulder</t>
  </si>
  <si>
    <t>Texas A&amp;M University</t>
  </si>
  <si>
    <t>College Station</t>
  </si>
  <si>
    <t>The University of Arizona</t>
  </si>
  <si>
    <t>Tucson</t>
  </si>
  <si>
    <t>University of California, Irvine</t>
  </si>
  <si>
    <t>Northwestern University</t>
  </si>
  <si>
    <t>University of Virginia</t>
  </si>
  <si>
    <t>Boston University</t>
  </si>
  <si>
    <t>North Carolina State University</t>
  </si>
  <si>
    <t>Raleigh</t>
  </si>
  <si>
    <t>The University of Utah</t>
  </si>
  <si>
    <t>Salt Lake City</t>
  </si>
  <si>
    <t>Indiana University Bloomington</t>
  </si>
  <si>
    <t>Bloomington</t>
  </si>
  <si>
    <t>University of California, Santa Barbara</t>
  </si>
  <si>
    <t>Georgetown University</t>
  </si>
  <si>
    <t>Washington</t>
  </si>
  <si>
    <t>University of Pittsburgh</t>
  </si>
  <si>
    <t>Washington University in St. Louis</t>
  </si>
  <si>
    <t>St. Louis</t>
  </si>
  <si>
    <t>Tufts University</t>
  </si>
  <si>
    <t>Medford</t>
  </si>
  <si>
    <t>University of Nebraska-Lincoln</t>
  </si>
  <si>
    <t>Lincoln</t>
  </si>
  <si>
    <t>Virginia Polytechnic Institute and State University</t>
  </si>
  <si>
    <t>Blacksburg</t>
  </si>
  <si>
    <t>Oregon State University</t>
  </si>
  <si>
    <t>Brigham Young University</t>
  </si>
  <si>
    <t>Provo</t>
  </si>
  <si>
    <t>Georgia Institute of Technology</t>
  </si>
  <si>
    <t>Atlanta</t>
  </si>
  <si>
    <t>University of Georgia</t>
  </si>
  <si>
    <t>Athens</t>
  </si>
  <si>
    <t>University of Rochester</t>
  </si>
  <si>
    <t>Rochester</t>
  </si>
  <si>
    <t>Brown University</t>
  </si>
  <si>
    <t>Providence</t>
  </si>
  <si>
    <t>California Institute of Technology</t>
  </si>
  <si>
    <t>Pasadena</t>
  </si>
  <si>
    <t>University of Iowa</t>
  </si>
  <si>
    <t>Iowa State University</t>
  </si>
  <si>
    <t>Ames</t>
  </si>
  <si>
    <t>Colorado State University</t>
  </si>
  <si>
    <t>Fort Collins</t>
  </si>
  <si>
    <t>University of California, San Francisco</t>
  </si>
  <si>
    <t>George Washington University</t>
  </si>
  <si>
    <t>University of Massachusetts Amherst</t>
  </si>
  <si>
    <t>Amherst</t>
  </si>
  <si>
    <t>George Mason University</t>
  </si>
  <si>
    <t>Fairfax</t>
  </si>
  <si>
    <t>University of South Florida</t>
  </si>
  <si>
    <t>Washington State University</t>
  </si>
  <si>
    <t>Pullman</t>
  </si>
  <si>
    <t>Florida State University</t>
  </si>
  <si>
    <t>Vanderbilt University</t>
  </si>
  <si>
    <t>Nashville</t>
  </si>
  <si>
    <t>Syracuse University</t>
  </si>
  <si>
    <t>Syracuse</t>
  </si>
  <si>
    <t>University of Oregon</t>
  </si>
  <si>
    <t>Emory University</t>
  </si>
  <si>
    <t>University of California, Santa Cruz</t>
  </si>
  <si>
    <t>University of Notre Dame</t>
  </si>
  <si>
    <t>Notre Dame</t>
  </si>
  <si>
    <t>Dartmouth College</t>
  </si>
  <si>
    <t>Hanover</t>
  </si>
  <si>
    <t>University of Connecticut</t>
  </si>
  <si>
    <t>University of Houston</t>
  </si>
  <si>
    <t>Houston</t>
  </si>
  <si>
    <t>University at Buffalo, State University of New York</t>
  </si>
  <si>
    <t>University of Kentucky</t>
  </si>
  <si>
    <t>Lexington</t>
  </si>
  <si>
    <t>University of Illinois Chicago</t>
  </si>
  <si>
    <t>University of California, Riverside</t>
  </si>
  <si>
    <t>Rice University</t>
  </si>
  <si>
    <t>University of Central Florida</t>
  </si>
  <si>
    <t>University of Missouri</t>
  </si>
  <si>
    <t>Columbia</t>
  </si>
  <si>
    <t>Georgia State University</t>
  </si>
  <si>
    <t>Northeastern University</t>
  </si>
  <si>
    <t>University of Kansas</t>
  </si>
  <si>
    <t>University of Delaware</t>
  </si>
  <si>
    <t>Newark</t>
  </si>
  <si>
    <t>The University of Tennessee, Knoxville</t>
  </si>
  <si>
    <t>University of New Mexico</t>
  </si>
  <si>
    <t>University of Miami</t>
  </si>
  <si>
    <t>University of North Texas</t>
  </si>
  <si>
    <t>University of South Carolina</t>
  </si>
  <si>
    <t>Boston College</t>
  </si>
  <si>
    <t>Chestnut Hill</t>
  </si>
  <si>
    <t>Louisiana State University</t>
  </si>
  <si>
    <t>Baton Rouge</t>
  </si>
  <si>
    <t>Florida International University</t>
  </si>
  <si>
    <t>Miami</t>
  </si>
  <si>
    <t>San Diego State University</t>
  </si>
  <si>
    <t>Temple University</t>
  </si>
  <si>
    <t>Drexel University</t>
  </si>
  <si>
    <t>University of Cincinnati</t>
  </si>
  <si>
    <t>Cincinnati</t>
  </si>
  <si>
    <t>Clemson University</t>
  </si>
  <si>
    <t>Clemson</t>
  </si>
  <si>
    <t>University of New Hampshire</t>
  </si>
  <si>
    <t>Rochester Institute of Technology</t>
  </si>
  <si>
    <t>University of Vermont</t>
  </si>
  <si>
    <t>Burlington</t>
  </si>
  <si>
    <t>Utah State University</t>
  </si>
  <si>
    <t>American University</t>
  </si>
  <si>
    <t>Case Western Reserve University</t>
  </si>
  <si>
    <t>Cleveland</t>
  </si>
  <si>
    <t>Fordham University</t>
  </si>
  <si>
    <t>Virginia Commonwealth University</t>
  </si>
  <si>
    <t>Richmond</t>
  </si>
  <si>
    <t>The University of Oklahoma</t>
  </si>
  <si>
    <t>Oklahoma State University</t>
  </si>
  <si>
    <t>The University of Alabama</t>
  </si>
  <si>
    <t>Tuscaloosa</t>
  </si>
  <si>
    <t>West Virginia University</t>
  </si>
  <si>
    <t>Portland State University</t>
  </si>
  <si>
    <t>Portland</t>
  </si>
  <si>
    <t>Auburn University</t>
  </si>
  <si>
    <t>Auburn</t>
  </si>
  <si>
    <t>Rensselaer Polytechnic Institute</t>
  </si>
  <si>
    <t>Tulane University</t>
  </si>
  <si>
    <t>New Orleans</t>
  </si>
  <si>
    <t>The University of Tennessee at Martin</t>
  </si>
  <si>
    <t>University of Alabama at Birmingham</t>
  </si>
  <si>
    <t>Birmingham</t>
  </si>
  <si>
    <t>Wayne State University</t>
  </si>
  <si>
    <t>Detroit</t>
  </si>
  <si>
    <t>University at Albany, State University of New York</t>
  </si>
  <si>
    <t>Albany</t>
  </si>
  <si>
    <t>Manchester</t>
  </si>
  <si>
    <t>Baylor University</t>
  </si>
  <si>
    <t>Waco</t>
  </si>
  <si>
    <t>University of Arkansas</t>
  </si>
  <si>
    <t>Fayetteville</t>
  </si>
  <si>
    <t>University of Maryland, Baltimore County</t>
  </si>
  <si>
    <t>Baltimore</t>
  </si>
  <si>
    <t>Texas Tech University</t>
  </si>
  <si>
    <t>Lubbock</t>
  </si>
  <si>
    <t>San Jose</t>
  </si>
  <si>
    <t>Charlotte</t>
  </si>
  <si>
    <t>Mississippi State University</t>
  </si>
  <si>
    <t>San Francisco State University</t>
  </si>
  <si>
    <t>San Francisco</t>
  </si>
  <si>
    <t>Brandeis University</t>
  </si>
  <si>
    <t>Milwaukee</t>
  </si>
  <si>
    <t>Southern Methodist University</t>
  </si>
  <si>
    <t>Dallas</t>
  </si>
  <si>
    <t>Marquette University</t>
  </si>
  <si>
    <t>Kansas State University</t>
  </si>
  <si>
    <t>University of Nevada, Reno</t>
  </si>
  <si>
    <t>Reno</t>
  </si>
  <si>
    <t>DePaul University</t>
  </si>
  <si>
    <t>California State University, Northridge</t>
  </si>
  <si>
    <t>University of Denver</t>
  </si>
  <si>
    <t>Denver</t>
  </si>
  <si>
    <t>Lynchburg</t>
  </si>
  <si>
    <t>University of Nevada, Las Vegas</t>
  </si>
  <si>
    <t>Las Vegas</t>
  </si>
  <si>
    <t>Northern Illinois University</t>
  </si>
  <si>
    <t>Florida Atlantic University</t>
  </si>
  <si>
    <t>Michigan Technological University</t>
  </si>
  <si>
    <t>California Polytechnic State University, San Luis Obispo</t>
  </si>
  <si>
    <t>San Luis Obispo</t>
  </si>
  <si>
    <t>New Mexico State University</t>
  </si>
  <si>
    <t>Las Cruces</t>
  </si>
  <si>
    <t>Montana State University</t>
  </si>
  <si>
    <t>Bozeman</t>
  </si>
  <si>
    <t>Loyola University Chicago</t>
  </si>
  <si>
    <t>University of Rhode Island</t>
  </si>
  <si>
    <t>Santa Clara University</t>
  </si>
  <si>
    <t>University of Idaho</t>
  </si>
  <si>
    <t>Northern Arizona University</t>
  </si>
  <si>
    <t>Indianapolis</t>
  </si>
  <si>
    <t>University of Wyoming</t>
  </si>
  <si>
    <t>University of Louisville</t>
  </si>
  <si>
    <t>University of Missouri-Kansas City</t>
  </si>
  <si>
    <t>Kansas City</t>
  </si>
  <si>
    <t>Swarthmore College</t>
  </si>
  <si>
    <t>Binghamton University, State University of New York</t>
  </si>
  <si>
    <t>Phoenix</t>
  </si>
  <si>
    <t>Wake Forest University</t>
  </si>
  <si>
    <t>Winston-Salem</t>
  </si>
  <si>
    <t>University of Mississippi</t>
  </si>
  <si>
    <t>Middle Tennessee State University</t>
  </si>
  <si>
    <t>Saint Louis University</t>
  </si>
  <si>
    <t>University of Maryland, Baltimore</t>
  </si>
  <si>
    <t>Kalamazoo</t>
  </si>
  <si>
    <t>Texas State University</t>
  </si>
  <si>
    <t>University of Richmond</t>
  </si>
  <si>
    <t>Lehigh University</t>
  </si>
  <si>
    <t>Illinois Institute of Technology</t>
  </si>
  <si>
    <t>California State University, Fullerton</t>
  </si>
  <si>
    <t>California State University, Long Beach</t>
  </si>
  <si>
    <t>San Antonio</t>
  </si>
  <si>
    <t>Missoula</t>
  </si>
  <si>
    <t>Marist College</t>
  </si>
  <si>
    <t>Middlebury College</t>
  </si>
  <si>
    <t>James Madison University</t>
  </si>
  <si>
    <t>Harrisonburg</t>
  </si>
  <si>
    <t>University of Massachusetts Boston</t>
  </si>
  <si>
    <t>Boston</t>
  </si>
  <si>
    <t>Williams College</t>
  </si>
  <si>
    <t>Greensboro</t>
  </si>
  <si>
    <t>Appalachian State University</t>
  </si>
  <si>
    <t>Worcester Polytechnic Institute</t>
  </si>
  <si>
    <t>Worcester</t>
  </si>
  <si>
    <t>Western Washington University</t>
  </si>
  <si>
    <t>Bellingham</t>
  </si>
  <si>
    <t>California State University, Chico</t>
  </si>
  <si>
    <t>Chico</t>
  </si>
  <si>
    <t>Berklee College of Music</t>
  </si>
  <si>
    <t>East Carolina University</t>
  </si>
  <si>
    <t>Greenville</t>
  </si>
  <si>
    <t>Smith College</t>
  </si>
  <si>
    <t>Howard University</t>
  </si>
  <si>
    <t>Villanova University</t>
  </si>
  <si>
    <t>University of Dayton</t>
  </si>
  <si>
    <t>Dayton</t>
  </si>
  <si>
    <t>Grand Valley State University</t>
  </si>
  <si>
    <t>Boise State University</t>
  </si>
  <si>
    <t>New Jersey Institute of Technology</t>
  </si>
  <si>
    <t>University of North Dakota</t>
  </si>
  <si>
    <t>Grand Forks</t>
  </si>
  <si>
    <t>Wesleyan University</t>
  </si>
  <si>
    <t>Carleton College</t>
  </si>
  <si>
    <t>Pace University</t>
  </si>
  <si>
    <t>El Paso</t>
  </si>
  <si>
    <t>University of San Diego</t>
  </si>
  <si>
    <t>San Diego</t>
  </si>
  <si>
    <t>Bryn Mawr College</t>
  </si>
  <si>
    <t>University of San Francisco</t>
  </si>
  <si>
    <t>North Dakota State University</t>
  </si>
  <si>
    <t>Fargo</t>
  </si>
  <si>
    <t>Muncie</t>
  </si>
  <si>
    <t>Pepperdine University</t>
  </si>
  <si>
    <t>The Catholic University of America</t>
  </si>
  <si>
    <t>College of Charleston</t>
  </si>
  <si>
    <t>Charleston</t>
  </si>
  <si>
    <t>University of Massachusetts Lowell</t>
  </si>
  <si>
    <t>Toledo</t>
  </si>
  <si>
    <t>Bowling Green</t>
  </si>
  <si>
    <t>California State University, Sacramento</t>
  </si>
  <si>
    <t>Sacramento</t>
  </si>
  <si>
    <t>Bard College</t>
  </si>
  <si>
    <t>Montclair State University</t>
  </si>
  <si>
    <t>Vassar College</t>
  </si>
  <si>
    <t>Thomas Jefferson University</t>
  </si>
  <si>
    <t>California State Polytechnic University, Pomona</t>
  </si>
  <si>
    <t>Chapman University</t>
  </si>
  <si>
    <t>Hofstra University</t>
  </si>
  <si>
    <t>Hattiesburg</t>
  </si>
  <si>
    <t>Bucknell University</t>
  </si>
  <si>
    <t>Amherst College</t>
  </si>
  <si>
    <t>Calvin University</t>
  </si>
  <si>
    <t>Grand Rapids</t>
  </si>
  <si>
    <t>Creighton University</t>
  </si>
  <si>
    <t>Omaha</t>
  </si>
  <si>
    <t>Seton Hall University</t>
  </si>
  <si>
    <t>Illinois State University</t>
  </si>
  <si>
    <t>Wellesley College</t>
  </si>
  <si>
    <t>Loyola Marymount University</t>
  </si>
  <si>
    <t>Mount Holyoke College</t>
  </si>
  <si>
    <t>Missouri State University</t>
  </si>
  <si>
    <t>University of Northern Iowa</t>
  </si>
  <si>
    <t>Oberlin College</t>
  </si>
  <si>
    <t>Yeshiva University</t>
  </si>
  <si>
    <t>Colby College</t>
  </si>
  <si>
    <t>California State University, San Bernardino</t>
  </si>
  <si>
    <t>Central Michigan University</t>
  </si>
  <si>
    <t>Mount Pleasant</t>
  </si>
  <si>
    <t>University of North Florida</t>
  </si>
  <si>
    <t>Jacksonville</t>
  </si>
  <si>
    <t>Texas Christian University</t>
  </si>
  <si>
    <t>Cleveland State University</t>
  </si>
  <si>
    <t>Oakland University</t>
  </si>
  <si>
    <t>Rowan University</t>
  </si>
  <si>
    <t>Towson University</t>
  </si>
  <si>
    <t>Sonoma State University</t>
  </si>
  <si>
    <t>Wilmington</t>
  </si>
  <si>
    <t>California State University, Fresno</t>
  </si>
  <si>
    <t>Fresno</t>
  </si>
  <si>
    <t>Huntington</t>
  </si>
  <si>
    <t>University of California, Merced</t>
  </si>
  <si>
    <t>Colorado School of Mines</t>
  </si>
  <si>
    <t>Wichita State University</t>
  </si>
  <si>
    <t>Wichita</t>
  </si>
  <si>
    <t>Georgia Southern University</t>
  </si>
  <si>
    <t>Bowdoin College</t>
  </si>
  <si>
    <t>Brunswick</t>
  </si>
  <si>
    <t>Seattle University</t>
  </si>
  <si>
    <t>Seattle</t>
  </si>
  <si>
    <t>Dickinson College</t>
  </si>
  <si>
    <t>South Dakota State University</t>
  </si>
  <si>
    <t>Washington and Lee University</t>
  </si>
  <si>
    <t>Sam Houston State University</t>
  </si>
  <si>
    <t>Huntsville</t>
  </si>
  <si>
    <t>Beaumont</t>
  </si>
  <si>
    <t>Fashion Institute of Technology</t>
  </si>
  <si>
    <t>Reed College</t>
  </si>
  <si>
    <t>Duquesne University</t>
  </si>
  <si>
    <t>Pittsburgh</t>
  </si>
  <si>
    <t>Terre Haute</t>
  </si>
  <si>
    <t>Stevens Point</t>
  </si>
  <si>
    <t>Melbourne</t>
  </si>
  <si>
    <t>California State University, Los Angeles</t>
  </si>
  <si>
    <t>Ithaca College</t>
  </si>
  <si>
    <t>Harvey Mudd College</t>
  </si>
  <si>
    <t>Missouri University of Science and Technology</t>
  </si>
  <si>
    <t>Elon University</t>
  </si>
  <si>
    <t>Davidson College</t>
  </si>
  <si>
    <t>Kenyon College</t>
  </si>
  <si>
    <t>Pomona College</t>
  </si>
  <si>
    <t>Claremont</t>
  </si>
  <si>
    <t>Lewis &amp; Clark College</t>
  </si>
  <si>
    <t>Babson College</t>
  </si>
  <si>
    <t>New Mexico Institute of Mining and Technology</t>
  </si>
  <si>
    <t>Biola University</t>
  </si>
  <si>
    <t>University of South Dakota</t>
  </si>
  <si>
    <t>Furman University</t>
  </si>
  <si>
    <t>Simmons University</t>
  </si>
  <si>
    <t>Weber State University</t>
  </si>
  <si>
    <t>Augusta</t>
  </si>
  <si>
    <t>Eau Claire</t>
  </si>
  <si>
    <t>Stevens Institute of Technology</t>
  </si>
  <si>
    <t>Barnard College</t>
  </si>
  <si>
    <t>Gettysburg College</t>
  </si>
  <si>
    <t>Gettysburg</t>
  </si>
  <si>
    <t>Colorado Springs</t>
  </si>
  <si>
    <t>Hanover College</t>
  </si>
  <si>
    <t>University of Baltimore</t>
  </si>
  <si>
    <t>Hamilton College</t>
  </si>
  <si>
    <t>Hartford</t>
  </si>
  <si>
    <t>Stetson University</t>
  </si>
  <si>
    <t>Colgate University</t>
  </si>
  <si>
    <t>St. Olaf College</t>
  </si>
  <si>
    <t>Olympia</t>
  </si>
  <si>
    <t>Willamette University</t>
  </si>
  <si>
    <t>Salem</t>
  </si>
  <si>
    <t>Little Rock</t>
  </si>
  <si>
    <t>Tulsa</t>
  </si>
  <si>
    <t>Grinnell College</t>
  </si>
  <si>
    <t>Marquette</t>
  </si>
  <si>
    <t>Greeley</t>
  </si>
  <si>
    <t>Bates College</t>
  </si>
  <si>
    <t>Lewiston</t>
  </si>
  <si>
    <t>Evansville</t>
  </si>
  <si>
    <t>Gonzaga University</t>
  </si>
  <si>
    <t>Spokane</t>
  </si>
  <si>
    <t>Nacogdoches</t>
  </si>
  <si>
    <t>Bradley University</t>
  </si>
  <si>
    <t>Peoria</t>
  </si>
  <si>
    <t>California State University, Stanislaus</t>
  </si>
  <si>
    <t>Florida Gulf Coast University</t>
  </si>
  <si>
    <t>Fort Myers</t>
  </si>
  <si>
    <t>Rhode Island School of Design</t>
  </si>
  <si>
    <t>Haverford College</t>
  </si>
  <si>
    <t>Jonesboro</t>
  </si>
  <si>
    <t>Eastern Illinois University</t>
  </si>
  <si>
    <t>Lafayette</t>
  </si>
  <si>
    <t>Green Bay</t>
  </si>
  <si>
    <t>Indiana</t>
  </si>
  <si>
    <t>College of the Holy Cross</t>
  </si>
  <si>
    <t>Bentley University</t>
  </si>
  <si>
    <t>Colorado College</t>
  </si>
  <si>
    <t>Emerson College</t>
  </si>
  <si>
    <t>La Crosse</t>
  </si>
  <si>
    <t>Skidmore College</t>
  </si>
  <si>
    <t>Chattanooga</t>
  </si>
  <si>
    <t>University of West Florida</t>
  </si>
  <si>
    <t>Clarkson University</t>
  </si>
  <si>
    <t>Macalester College</t>
  </si>
  <si>
    <t>Butler University</t>
  </si>
  <si>
    <t>Central Connecticut State University</t>
  </si>
  <si>
    <t>University of New Orleans</t>
  </si>
  <si>
    <t>Jackson</t>
  </si>
  <si>
    <t>Connecticut College</t>
  </si>
  <si>
    <t>New London</t>
  </si>
  <si>
    <t>Orlando</t>
  </si>
  <si>
    <t>Valparaiso University</t>
  </si>
  <si>
    <t>Loyola University Maryland</t>
  </si>
  <si>
    <t>Mobile</t>
  </si>
  <si>
    <t>Xavier University</t>
  </si>
  <si>
    <t>Occidental College</t>
  </si>
  <si>
    <t>Drake University</t>
  </si>
  <si>
    <t>Des Moines</t>
  </si>
  <si>
    <t>Whitewater</t>
  </si>
  <si>
    <t>Cookeville</t>
  </si>
  <si>
    <t>DePauw University</t>
  </si>
  <si>
    <t>Louisiana Tech University</t>
  </si>
  <si>
    <t>Florida Agricultural and Mechanical University</t>
  </si>
  <si>
    <t>Tallahassee</t>
  </si>
  <si>
    <t>Siena College</t>
  </si>
  <si>
    <t>The Juilliard School</t>
  </si>
  <si>
    <t>Azusa Pacific University</t>
  </si>
  <si>
    <t>Honolulu</t>
  </si>
  <si>
    <t>Mercer University</t>
  </si>
  <si>
    <t>Whitman College</t>
  </si>
  <si>
    <t>Walla Walla</t>
  </si>
  <si>
    <t>Texas Woman's University</t>
  </si>
  <si>
    <t>Adelphi University</t>
  </si>
  <si>
    <t>Loyola University New Orleans</t>
  </si>
  <si>
    <t>University of Wisconsin-Oshkosh</t>
  </si>
  <si>
    <t>Oshkosh</t>
  </si>
  <si>
    <t>Franklin and Marshall College</t>
  </si>
  <si>
    <t>Lancaster</t>
  </si>
  <si>
    <t>Rose-Hulman Institute of Technology</t>
  </si>
  <si>
    <t>Hobart and William Smith Colleges</t>
  </si>
  <si>
    <t>Rollins College</t>
  </si>
  <si>
    <t>Pitzer College</t>
  </si>
  <si>
    <t>New York Institute of Technology</t>
  </si>
  <si>
    <t>Hope College</t>
  </si>
  <si>
    <t>Holland</t>
  </si>
  <si>
    <t>Drew University</t>
  </si>
  <si>
    <t>Corpus Christi</t>
  </si>
  <si>
    <t>Fairfield University</t>
  </si>
  <si>
    <t>Lafayette College</t>
  </si>
  <si>
    <t>Seattle Pacific University</t>
  </si>
  <si>
    <t>Beloit College</t>
  </si>
  <si>
    <t>Youngstown</t>
  </si>
  <si>
    <t>Morehouse College</t>
  </si>
  <si>
    <t>Samford University</t>
  </si>
  <si>
    <t>California State University, East Bay</t>
  </si>
  <si>
    <t>Valdosta</t>
  </si>
  <si>
    <t>Virginia Beach</t>
  </si>
  <si>
    <t>Oklahoma City</t>
  </si>
  <si>
    <t>Fort Wayne</t>
  </si>
  <si>
    <t>Denison University</t>
  </si>
  <si>
    <t>Truman State University</t>
  </si>
  <si>
    <t>Claremont McKenna College</t>
  </si>
  <si>
    <t>University of Puget Sound</t>
  </si>
  <si>
    <t>Illinois Wesleyan University</t>
  </si>
  <si>
    <t>Abilene Christian University</t>
  </si>
  <si>
    <t>Abilene</t>
  </si>
  <si>
    <t>Salisbury University</t>
  </si>
  <si>
    <t>Salisbury</t>
  </si>
  <si>
    <t>Wabash College</t>
  </si>
  <si>
    <t>St. Catherine University</t>
  </si>
  <si>
    <t>University of Mary Washington</t>
  </si>
  <si>
    <t>Providence College</t>
  </si>
  <si>
    <t>Hammond</t>
  </si>
  <si>
    <t>Pacific Lutheran University</t>
  </si>
  <si>
    <t>Hampton University</t>
  </si>
  <si>
    <t>Lawrence University</t>
  </si>
  <si>
    <t>Appleton</t>
  </si>
  <si>
    <t>Spelman College</t>
  </si>
  <si>
    <t>Cape Girardeau</t>
  </si>
  <si>
    <t>Asheville</t>
  </si>
  <si>
    <t>University of Scranton</t>
  </si>
  <si>
    <t>Scranton</t>
  </si>
  <si>
    <t>Berea College</t>
  </si>
  <si>
    <t>Memphis</t>
  </si>
  <si>
    <t>Wooster</t>
  </si>
  <si>
    <t>University of Detroit Mercy</t>
  </si>
  <si>
    <t>Kean University</t>
  </si>
  <si>
    <t>Sarah Lawrence College</t>
  </si>
  <si>
    <t>Agnes Scott College</t>
  </si>
  <si>
    <t>Decatur</t>
  </si>
  <si>
    <t>Goucher College</t>
  </si>
  <si>
    <t>Christopher Newport University</t>
  </si>
  <si>
    <t>Ramapo College of New Jersey</t>
  </si>
  <si>
    <t>Elizabethtown</t>
  </si>
  <si>
    <t>Rhodes College</t>
  </si>
  <si>
    <t>Louisville</t>
  </si>
  <si>
    <t>Kettering University</t>
  </si>
  <si>
    <t>San Angelo</t>
  </si>
  <si>
    <t>Clarksville</t>
  </si>
  <si>
    <t>Minneapolis</t>
  </si>
  <si>
    <t>St. Lawrence University</t>
  </si>
  <si>
    <t>Canton</t>
  </si>
  <si>
    <t>Bakersfield</t>
  </si>
  <si>
    <t>University of Portland</t>
  </si>
  <si>
    <t>Tampa</t>
  </si>
  <si>
    <t>Marion</t>
  </si>
  <si>
    <t>Gustavus Adolphus College</t>
  </si>
  <si>
    <t>St. Edward's University</t>
  </si>
  <si>
    <t>Milwaukee School of Engineering</t>
  </si>
  <si>
    <t>University of Michigan-Dearborn</t>
  </si>
  <si>
    <t>Regis University</t>
  </si>
  <si>
    <t>Virginia Military Institute</t>
  </si>
  <si>
    <t>University of Redlands</t>
  </si>
  <si>
    <t>University of Wisconsin-Platteville</t>
  </si>
  <si>
    <t>Bryant University</t>
  </si>
  <si>
    <t>La Salle University</t>
  </si>
  <si>
    <t>Muhlenberg College</t>
  </si>
  <si>
    <t>Allentown</t>
  </si>
  <si>
    <t>Pittsburg State University</t>
  </si>
  <si>
    <t>Dominican University of California</t>
  </si>
  <si>
    <t>Saint Michael's College</t>
  </si>
  <si>
    <t>Columbus</t>
  </si>
  <si>
    <t>Maryland Institute College of Art</t>
  </si>
  <si>
    <t>Jefferson City</t>
  </si>
  <si>
    <t>Saint Mary's College of California</t>
  </si>
  <si>
    <t>Ohio Northern University</t>
  </si>
  <si>
    <t>Topeka</t>
  </si>
  <si>
    <t>Dover</t>
  </si>
  <si>
    <t>Southwestern University</t>
  </si>
  <si>
    <t>Buffalo</t>
  </si>
  <si>
    <t>Bloomsburg</t>
  </si>
  <si>
    <t>Kalamazoo College</t>
  </si>
  <si>
    <t>Augustana College</t>
  </si>
  <si>
    <t>Monroe</t>
  </si>
  <si>
    <t>Bennington College</t>
  </si>
  <si>
    <t>Washington College</t>
  </si>
  <si>
    <t>California Lutheran University</t>
  </si>
  <si>
    <t>Gordon College</t>
  </si>
  <si>
    <t>Wofford College</t>
  </si>
  <si>
    <t>Spartanburg</t>
  </si>
  <si>
    <t>St. George</t>
  </si>
  <si>
    <t>Mount Vernon</t>
  </si>
  <si>
    <t>Savannah</t>
  </si>
  <si>
    <t>Williamsport</t>
  </si>
  <si>
    <t>St. Mary's College of Maryland</t>
  </si>
  <si>
    <t>Centre College</t>
  </si>
  <si>
    <t>Danville</t>
  </si>
  <si>
    <t>SUNY Polytechnic Institute</t>
  </si>
  <si>
    <t>Utica</t>
  </si>
  <si>
    <t>South Dakota School of Mines and Technology</t>
  </si>
  <si>
    <t>Rapid City</t>
  </si>
  <si>
    <t>Montgomery</t>
  </si>
  <si>
    <t>Jacksonville University</t>
  </si>
  <si>
    <t>University of Wisconsin-River Falls</t>
  </si>
  <si>
    <t>Laredo</t>
  </si>
  <si>
    <t>Oregon Institute of Technology</t>
  </si>
  <si>
    <t>Klamath Falls</t>
  </si>
  <si>
    <t>Florence</t>
  </si>
  <si>
    <t>Winchester</t>
  </si>
  <si>
    <t>Grand Junction</t>
  </si>
  <si>
    <t>Westmont College</t>
  </si>
  <si>
    <t>Santa Barbara</t>
  </si>
  <si>
    <t>Springfield</t>
  </si>
  <si>
    <t>East Stroudsburg</t>
  </si>
  <si>
    <t>Susquehanna University</t>
  </si>
  <si>
    <t>University of Dallas</t>
  </si>
  <si>
    <t>Irvine</t>
  </si>
  <si>
    <t>Wichita Falls</t>
  </si>
  <si>
    <t>Daytona Beach</t>
  </si>
  <si>
    <t>Taylor University</t>
  </si>
  <si>
    <t>Point Loma Nazarene University</t>
  </si>
  <si>
    <t>Lewis University</t>
  </si>
  <si>
    <t>Niagara University</t>
  </si>
  <si>
    <t>Ursinus College</t>
  </si>
  <si>
    <t>Grove City College</t>
  </si>
  <si>
    <t>Wentworth Institute of Technology</t>
  </si>
  <si>
    <t>Frankfort</t>
  </si>
  <si>
    <t>Odessa</t>
  </si>
  <si>
    <t>Greenwood</t>
  </si>
  <si>
    <t>Allegheny College</t>
  </si>
  <si>
    <t>Meadville</t>
  </si>
  <si>
    <t>York</t>
  </si>
  <si>
    <t>Russellville</t>
  </si>
  <si>
    <t>Lakeland</t>
  </si>
  <si>
    <t>Keene</t>
  </si>
  <si>
    <t>University Park</t>
  </si>
  <si>
    <t>Sioux Falls</t>
  </si>
  <si>
    <t>Linfield University</t>
  </si>
  <si>
    <t>Marshall</t>
  </si>
  <si>
    <t>Findlay</t>
  </si>
  <si>
    <t>Aberdeen</t>
  </si>
  <si>
    <t>Billings</t>
  </si>
  <si>
    <t>Saint Mary's University of Minnesota</t>
  </si>
  <si>
    <t>New College of Florida</t>
  </si>
  <si>
    <t>Sarasota</t>
  </si>
  <si>
    <t>Northwood University</t>
  </si>
  <si>
    <t>Davenport</t>
  </si>
  <si>
    <t>Lake Forest College</t>
  </si>
  <si>
    <t>Stonehill College</t>
  </si>
  <si>
    <t>Erie</t>
  </si>
  <si>
    <t>Iona University</t>
  </si>
  <si>
    <t>Roanoke</t>
  </si>
  <si>
    <t>Lake Charles</t>
  </si>
  <si>
    <t>Manhattanville College</t>
  </si>
  <si>
    <t>Shreveport</t>
  </si>
  <si>
    <t>Orangeburg</t>
  </si>
  <si>
    <t>Manhattan School of Music</t>
  </si>
  <si>
    <t>Rockhurst University</t>
  </si>
  <si>
    <t>Riverside</t>
  </si>
  <si>
    <t>Bangor</t>
  </si>
  <si>
    <t>Central College</t>
  </si>
  <si>
    <t>Victoria</t>
  </si>
  <si>
    <t>Portsmouth</t>
  </si>
  <si>
    <t>Laurel</t>
  </si>
  <si>
    <t>Scripps College</t>
  </si>
  <si>
    <t>Austin College</t>
  </si>
  <si>
    <t>Sherman</t>
  </si>
  <si>
    <t>Hampden-Sydney College</t>
  </si>
  <si>
    <t>Hilo</t>
  </si>
  <si>
    <t>Reading</t>
  </si>
  <si>
    <t>Hickory</t>
  </si>
  <si>
    <t>Trenton</t>
  </si>
  <si>
    <t>St. Joseph</t>
  </si>
  <si>
    <t>Cedar Rapids</t>
  </si>
  <si>
    <t>Helena</t>
  </si>
  <si>
    <t>Dordt University</t>
  </si>
  <si>
    <t>Alma College</t>
  </si>
  <si>
    <t>Chambersburg</t>
  </si>
  <si>
    <t>Anchorage</t>
  </si>
  <si>
    <t>Saint Peter's University</t>
  </si>
  <si>
    <t>California State University Maritime Academy</t>
  </si>
  <si>
    <t>Vallejo</t>
  </si>
  <si>
    <t>Macon</t>
  </si>
  <si>
    <t>McAllen</t>
  </si>
  <si>
    <t>Bismarck</t>
  </si>
  <si>
    <t>Longview</t>
  </si>
  <si>
    <t>Knoxville</t>
  </si>
  <si>
    <t>Washington &amp; Jefferson College</t>
  </si>
  <si>
    <t>Sioux City</t>
  </si>
  <si>
    <t>Staunton</t>
  </si>
  <si>
    <t>Wagner College</t>
  </si>
  <si>
    <t>Dubuque</t>
  </si>
  <si>
    <t>Prescott</t>
  </si>
  <si>
    <t>California</t>
  </si>
  <si>
    <t>Loras College</t>
  </si>
  <si>
    <t>Lebanon</t>
  </si>
  <si>
    <t>Minot</t>
  </si>
  <si>
    <t>Dalton</t>
  </si>
  <si>
    <t>Elmira</t>
  </si>
  <si>
    <t>Harrisburg</t>
  </si>
  <si>
    <t>Elizabeth City</t>
  </si>
  <si>
    <t>Maine Maritime Academy</t>
  </si>
  <si>
    <t>Adrian</t>
  </si>
  <si>
    <t>Shawnee</t>
  </si>
  <si>
    <t>Presbyterian College</t>
  </si>
  <si>
    <t>Joplin</t>
  </si>
  <si>
    <t>Massachusetts Maritime Academy</t>
  </si>
  <si>
    <t>Soka University of America</t>
  </si>
  <si>
    <t>SUNY Maritime College</t>
  </si>
  <si>
    <t>Mansfield</t>
  </si>
  <si>
    <t>Woodbury University</t>
  </si>
  <si>
    <t>Pine Bluff</t>
  </si>
  <si>
    <t>Emmanuel College</t>
  </si>
  <si>
    <t>Wheeling</t>
  </si>
  <si>
    <t>Tempe</t>
  </si>
  <si>
    <t>Rome</t>
  </si>
  <si>
    <t>Quincy</t>
  </si>
  <si>
    <t>Talladega</t>
  </si>
  <si>
    <t>Greeneville</t>
  </si>
  <si>
    <t>Fort Smith</t>
  </si>
  <si>
    <t>Ocala</t>
  </si>
  <si>
    <t>Jamestown</t>
  </si>
  <si>
    <t>Panama City</t>
  </si>
  <si>
    <t>Fond du Lac</t>
  </si>
  <si>
    <t>Kokomo</t>
  </si>
  <si>
    <t>Alexandria</t>
  </si>
  <si>
    <t>Texarkana</t>
  </si>
  <si>
    <t>Midland</t>
  </si>
  <si>
    <t>Bluefield</t>
  </si>
  <si>
    <t>Wilson</t>
  </si>
  <si>
    <t>Carson City</t>
  </si>
  <si>
    <t>Pensacola</t>
  </si>
  <si>
    <t>Ann Arbor</t>
  </si>
  <si>
    <t>Morristown</t>
  </si>
  <si>
    <t>Great Falls</t>
  </si>
  <si>
    <t>LaGrange</t>
  </si>
  <si>
    <t>Daphne</t>
  </si>
  <si>
    <t>Menlo College</t>
  </si>
  <si>
    <t>Watertown</t>
  </si>
  <si>
    <t>Forest City</t>
  </si>
  <si>
    <t>Parkersburg</t>
  </si>
  <si>
    <t>Lima</t>
  </si>
  <si>
    <t>Tyler</t>
  </si>
  <si>
    <t>Owensboro</t>
  </si>
  <si>
    <t>Centralia</t>
  </si>
  <si>
    <t>Palatka</t>
  </si>
  <si>
    <t>Nevada</t>
  </si>
  <si>
    <t>Redding</t>
  </si>
  <si>
    <t>Eugene</t>
  </si>
  <si>
    <t>Sumter</t>
  </si>
  <si>
    <t>Lake City</t>
  </si>
  <si>
    <t>Muskogee</t>
  </si>
  <si>
    <t>Berkeley</t>
  </si>
  <si>
    <t>Waterloo</t>
  </si>
  <si>
    <t>Stockton</t>
  </si>
  <si>
    <t>Manhattan</t>
  </si>
  <si>
    <t>Wyoming</t>
  </si>
  <si>
    <t>Hobbs</t>
  </si>
  <si>
    <t>Concord</t>
  </si>
  <si>
    <t>Lansing</t>
  </si>
  <si>
    <t>Ukiah</t>
  </si>
  <si>
    <t>Santa Fe</t>
  </si>
  <si>
    <t>Farmington</t>
  </si>
  <si>
    <t>Rockford</t>
  </si>
  <si>
    <t>Chillicothe</t>
  </si>
  <si>
    <t>Massachusetts</t>
  </si>
  <si>
    <t>Stanford</t>
  </si>
  <si>
    <t>New York</t>
  </si>
  <si>
    <t>Michigan</t>
  </si>
  <si>
    <t>Connecticut</t>
  </si>
  <si>
    <t>Pennsylvania</t>
  </si>
  <si>
    <t>Wisconsin</t>
  </si>
  <si>
    <t>Texas</t>
  </si>
  <si>
    <t>Illinois</t>
  </si>
  <si>
    <t>New Jersey</t>
  </si>
  <si>
    <t>Minnesota</t>
  </si>
  <si>
    <t>Davis</t>
  </si>
  <si>
    <t>Maryland</t>
  </si>
  <si>
    <t>Florida</t>
  </si>
  <si>
    <t>North Carolina</t>
  </si>
  <si>
    <t>Arizona</t>
  </si>
  <si>
    <t>New Brunswick</t>
  </si>
  <si>
    <t>Champaign</t>
  </si>
  <si>
    <t>Ohio</t>
  </si>
  <si>
    <t>Colorado</t>
  </si>
  <si>
    <t>Evanston</t>
  </si>
  <si>
    <t>Charlottesville</t>
  </si>
  <si>
    <t>Virginia</t>
  </si>
  <si>
    <t>Utah</t>
  </si>
  <si>
    <t>District of Columbia</t>
  </si>
  <si>
    <t>Missouri</t>
  </si>
  <si>
    <t>Nebraska</t>
  </si>
  <si>
    <t>Corvallis</t>
  </si>
  <si>
    <t>Oregon</t>
  </si>
  <si>
    <t>Georgia</t>
  </si>
  <si>
    <t>Rhode Island</t>
  </si>
  <si>
    <t>Iowa City</t>
  </si>
  <si>
    <t>Iowa</t>
  </si>
  <si>
    <t>Tennessee</t>
  </si>
  <si>
    <t>Santa Cruz</t>
  </si>
  <si>
    <t>New Hampshire</t>
  </si>
  <si>
    <t>Storrs</t>
  </si>
  <si>
    <t>Kentucky</t>
  </si>
  <si>
    <t>Lawrence</t>
  </si>
  <si>
    <t>Kansas</t>
  </si>
  <si>
    <t>Delaware</t>
  </si>
  <si>
    <t>Albuquerque</t>
  </si>
  <si>
    <t>New Mexico</t>
  </si>
  <si>
    <t>Coral Gables</t>
  </si>
  <si>
    <t>Denton</t>
  </si>
  <si>
    <t>South Carolina</t>
  </si>
  <si>
    <t>Louisiana</t>
  </si>
  <si>
    <t>Vermont</t>
  </si>
  <si>
    <t>Logan</t>
  </si>
  <si>
    <t>Oklahoma</t>
  </si>
  <si>
    <t>Stillwater</t>
  </si>
  <si>
    <t>Alabama</t>
  </si>
  <si>
    <t>Morgantown</t>
  </si>
  <si>
    <t>West Virginia</t>
  </si>
  <si>
    <t>Arkansas</t>
  </si>
  <si>
    <t>Mississippi</t>
  </si>
  <si>
    <t>Montana</t>
  </si>
  <si>
    <t>Kingston</t>
  </si>
  <si>
    <t>Idaho</t>
  </si>
  <si>
    <t>Flagstaff</t>
  </si>
  <si>
    <t>Maine</t>
  </si>
  <si>
    <t>Fairbanks</t>
  </si>
  <si>
    <t>Alaska</t>
  </si>
  <si>
    <t>Carbondale</t>
  </si>
  <si>
    <t>North Dakota</t>
  </si>
  <si>
    <t>Akron</t>
  </si>
  <si>
    <t>Pocatello</t>
  </si>
  <si>
    <t>Merced</t>
  </si>
  <si>
    <t>Statesboro</t>
  </si>
  <si>
    <t>Johnson City</t>
  </si>
  <si>
    <t>South Dakota</t>
  </si>
  <si>
    <t>Ogden</t>
  </si>
  <si>
    <t>Hawaii</t>
  </si>
  <si>
    <t>Type</t>
  </si>
  <si>
    <t>Av. Grant Aid</t>
  </si>
  <si>
    <t>Av. Debt</t>
  </si>
  <si>
    <t>Median 10-year Salary</t>
  </si>
  <si>
    <t>Financial Grade</t>
  </si>
  <si>
    <t>NJ</t>
  </si>
  <si>
    <t>Private not-for-profit</t>
  </si>
  <si>
    <t>$59,792</t>
  </si>
  <si>
    <t>$7,559</t>
  </si>
  <si>
    <t>$1,89,400</t>
  </si>
  <si>
    <t>A-</t>
  </si>
  <si>
    <t>CA</t>
  </si>
  <si>
    <t>$60,619</t>
  </si>
  <si>
    <t>$12,999</t>
  </si>
  <si>
    <t>$1,77,500</t>
  </si>
  <si>
    <t>A+</t>
  </si>
  <si>
    <t>MA</t>
  </si>
  <si>
    <t>$45,591</t>
  </si>
  <si>
    <t>$13,792</t>
  </si>
  <si>
    <t>A</t>
  </si>
  <si>
    <t>CT</t>
  </si>
  <si>
    <t>$63,523</t>
  </si>
  <si>
    <t>$4,926</t>
  </si>
  <si>
    <t>$1,68,300</t>
  </si>
  <si>
    <t>Public</t>
  </si>
  <si>
    <t>$21,669</t>
  </si>
  <si>
    <t>$7,238</t>
  </si>
  <si>
    <t>$1,67,000</t>
  </si>
  <si>
    <t>Columbia University</t>
  </si>
  <si>
    <t>NY</t>
  </si>
  <si>
    <t>$61,061</t>
  </si>
  <si>
    <t>$16,849</t>
  </si>
  <si>
    <t>$1,56,000</t>
  </si>
  <si>
    <t>PA</t>
  </si>
  <si>
    <t>$57,175</t>
  </si>
  <si>
    <t>$12,499</t>
  </si>
  <si>
    <t>$1,71,800</t>
  </si>
  <si>
    <t>$61,801</t>
  </si>
  <si>
    <t>$9,004</t>
  </si>
  <si>
    <t>$1,71,400</t>
  </si>
  <si>
    <t>TX</t>
  </si>
  <si>
    <t>$51,955</t>
  </si>
  <si>
    <t>$10,818</t>
  </si>
  <si>
    <t>$1,52,100</t>
  </si>
  <si>
    <t>$54,219</t>
  </si>
  <si>
    <t>$8,309</t>
  </si>
  <si>
    <t>$1,55,400</t>
  </si>
  <si>
    <t>IL</t>
  </si>
  <si>
    <t>$61,716</t>
  </si>
  <si>
    <t>$6,973</t>
  </si>
  <si>
    <t>$1,41,300</t>
  </si>
  <si>
    <t>MD</t>
  </si>
  <si>
    <t>$54,405</t>
  </si>
  <si>
    <t>$9,843</t>
  </si>
  <si>
    <t>$1,42,300</t>
  </si>
  <si>
    <t>$21,766</t>
  </si>
  <si>
    <t>$6,418</t>
  </si>
  <si>
    <t>$1,44,400</t>
  </si>
  <si>
    <t>$48,422</t>
  </si>
  <si>
    <t>$12,150</t>
  </si>
  <si>
    <t>$1,50,600</t>
  </si>
  <si>
    <t>TN</t>
  </si>
  <si>
    <t>$53,932</t>
  </si>
  <si>
    <t>$8,872</t>
  </si>
  <si>
    <t>$1,48,000</t>
  </si>
  <si>
    <t>NH</t>
  </si>
  <si>
    <t>$62,293</t>
  </si>
  <si>
    <t>$6,404</t>
  </si>
  <si>
    <t>$1,73,300</t>
  </si>
  <si>
    <t>$57,121</t>
  </si>
  <si>
    <t>$4,143</t>
  </si>
  <si>
    <t>$1,69,200</t>
  </si>
  <si>
    <t>RI</t>
  </si>
  <si>
    <t>$55,847</t>
  </si>
  <si>
    <t>$10,059</t>
  </si>
  <si>
    <t>$1,55,000</t>
  </si>
  <si>
    <t>$50,020</t>
  </si>
  <si>
    <t>$7,631</t>
  </si>
  <si>
    <t>NC</t>
  </si>
  <si>
    <t>$57,444</t>
  </si>
  <si>
    <t>$6,351</t>
  </si>
  <si>
    <t>$1,58,700</t>
  </si>
  <si>
    <t>$20,782</t>
  </si>
  <si>
    <t>$6,437</t>
  </si>
  <si>
    <t>$1,51,500</t>
  </si>
  <si>
    <t>$59,192</t>
  </si>
  <si>
    <t>$12,553</t>
  </si>
  <si>
    <t>$1,68,600</t>
  </si>
  <si>
    <t>B+</t>
  </si>
  <si>
    <t>$61,328</t>
  </si>
  <si>
    <t>$5,608</t>
  </si>
  <si>
    <t>$1,34,100</t>
  </si>
  <si>
    <t>$58,693</t>
  </si>
  <si>
    <t>$9,293</t>
  </si>
  <si>
    <t>$1,39,700</t>
  </si>
  <si>
    <t>ME</t>
  </si>
  <si>
    <t>$53,534</t>
  </si>
  <si>
    <t>$10,512</t>
  </si>
  <si>
    <t>$1,52,900</t>
  </si>
  <si>
    <t>FL</t>
  </si>
  <si>
    <t>$10,555</t>
  </si>
  <si>
    <t>$6,122</t>
  </si>
  <si>
    <t>$1,23,700</t>
  </si>
  <si>
    <t>$47,703</t>
  </si>
  <si>
    <t>$7,705</t>
  </si>
  <si>
    <t>$1,54,900</t>
  </si>
  <si>
    <t>$45,262</t>
  </si>
  <si>
    <t>$7,526</t>
  </si>
  <si>
    <t>$1,50,100</t>
  </si>
  <si>
    <t>B-</t>
  </si>
  <si>
    <t>University of Michigan, Ann Arbor</t>
  </si>
  <si>
    <t>MI</t>
  </si>
  <si>
    <t>$15,121</t>
  </si>
  <si>
    <t>$8,470</t>
  </si>
  <si>
    <t>$1,37,500</t>
  </si>
  <si>
    <t>MO</t>
  </si>
  <si>
    <t>$58,188</t>
  </si>
  <si>
    <t>$9,495</t>
  </si>
  <si>
    <t>$1,42,800</t>
  </si>
  <si>
    <t>University of North Carolina, Chapel Hill</t>
  </si>
  <si>
    <t>$18,066</t>
  </si>
  <si>
    <t>$7,953</t>
  </si>
  <si>
    <t>$1,18,200</t>
  </si>
  <si>
    <t>DC</t>
  </si>
  <si>
    <t>$45,949</t>
  </si>
  <si>
    <t>$8,982</t>
  </si>
  <si>
    <t>$1,63,400</t>
  </si>
  <si>
    <t>B</t>
  </si>
  <si>
    <t>GA</t>
  </si>
  <si>
    <t>$48,914</t>
  </si>
  <si>
    <t>$7,280</t>
  </si>
  <si>
    <t>$1,38,600</t>
  </si>
  <si>
    <t>VA</t>
  </si>
  <si>
    <t>$26,818</t>
  </si>
  <si>
    <t>$8,639</t>
  </si>
  <si>
    <t>$1,49,100</t>
  </si>
  <si>
    <t>$20,389</t>
  </si>
  <si>
    <t>$7,453</t>
  </si>
  <si>
    <t>$1,48,600</t>
  </si>
  <si>
    <t>UT</t>
  </si>
  <si>
    <t>$6,325</t>
  </si>
  <si>
    <t>$5,457</t>
  </si>
  <si>
    <t>$1,33,900</t>
  </si>
  <si>
    <t>$57,848</t>
  </si>
  <si>
    <t>$9,049</t>
  </si>
  <si>
    <t>$1,38,900</t>
  </si>
  <si>
    <t>$13,992</t>
  </si>
  <si>
    <t>$7,027</t>
  </si>
  <si>
    <t>$1,63,500</t>
  </si>
  <si>
    <t>$17,411</t>
  </si>
  <si>
    <t>$6,561</t>
  </si>
  <si>
    <t>$1,48,400</t>
  </si>
  <si>
    <t>University of Illinois, Urbana-Champaign</t>
  </si>
  <si>
    <t>$16,552</t>
  </si>
  <si>
    <t>$6,697</t>
  </si>
  <si>
    <t>$1,39,900</t>
  </si>
  <si>
    <t>University of Maryland, College Park</t>
  </si>
  <si>
    <t>$11,232</t>
  </si>
  <si>
    <t>$10,201</t>
  </si>
  <si>
    <t>$1,34,700</t>
  </si>
  <si>
    <t>IN</t>
  </si>
  <si>
    <t>$49,859</t>
  </si>
  <si>
    <t>$7,390</t>
  </si>
  <si>
    <t>$1,60,200</t>
  </si>
  <si>
    <t>$20,548</t>
  </si>
  <si>
    <t>$5,965</t>
  </si>
  <si>
    <t>$1,42,700</t>
  </si>
  <si>
    <t>University of Washington, Seattle</t>
  </si>
  <si>
    <t>WA</t>
  </si>
  <si>
    <t>$14,731</t>
  </si>
  <si>
    <t>$6,169</t>
  </si>
  <si>
    <t>$1,36,800</t>
  </si>
  <si>
    <t>$54,647</t>
  </si>
  <si>
    <t>$9,018</t>
  </si>
  <si>
    <t>$1,73,800</t>
  </si>
  <si>
    <t>University of Texas, Austin</t>
  </si>
  <si>
    <t>$8,321</t>
  </si>
  <si>
    <t>$5,851</t>
  </si>
  <si>
    <t>$1,37,000</t>
  </si>
  <si>
    <t>$55,567</t>
  </si>
  <si>
    <t>$7,714</t>
  </si>
  <si>
    <t>$1,62,500</t>
  </si>
  <si>
    <t>$46,496</t>
  </si>
  <si>
    <t>$8,422</t>
  </si>
  <si>
    <t>$1,40,300</t>
  </si>
  <si>
    <t>$47,096</t>
  </si>
  <si>
    <t>$8,550</t>
  </si>
  <si>
    <t>$1,47,100</t>
  </si>
  <si>
    <t>University of Wisconsin, Madison</t>
  </si>
  <si>
    <t>WI</t>
  </si>
  <si>
    <t>$11,171</t>
  </si>
  <si>
    <t>$9,299</t>
  </si>
  <si>
    <t>$1,25,900</t>
  </si>
  <si>
    <t>VT</t>
  </si>
  <si>
    <t>$56,639</t>
  </si>
  <si>
    <t>$8,541</t>
  </si>
  <si>
    <t>$139,500</t>
  </si>
  <si>
    <t>$51,613</t>
  </si>
  <si>
    <t>$7,034</t>
  </si>
  <si>
    <t>$144,400</t>
  </si>
  <si>
    <t>$51,565</t>
  </si>
  <si>
    <t>$10,425</t>
  </si>
  <si>
    <t>$59,825</t>
  </si>
  <si>
    <t>$9,716</t>
  </si>
  <si>
    <t>$149,200</t>
  </si>
  <si>
    <t>William &amp; Mary</t>
  </si>
  <si>
    <t>$15,134</t>
  </si>
  <si>
    <t>$8,882</t>
  </si>
  <si>
    <t>$134,200</t>
  </si>
  <si>
    <t>$53,817</t>
  </si>
  <si>
    <t>$7,339</t>
  </si>
  <si>
    <t>$149,300</t>
  </si>
  <si>
    <t>$10,065</t>
  </si>
  <si>
    <t>$6,132</t>
  </si>
  <si>
    <t>$148,600</t>
  </si>
  <si>
    <t>$43,966</t>
  </si>
  <si>
    <t>$6,525</t>
  </si>
  <si>
    <t>$162,100</t>
  </si>
  <si>
    <t>$49,992</t>
  </si>
  <si>
    <t>$3,588</t>
  </si>
  <si>
    <t>$142,200</t>
  </si>
  <si>
    <t>$24,981</t>
  </si>
  <si>
    <t>$8,349</t>
  </si>
  <si>
    <t>$158,700</t>
  </si>
  <si>
    <t>$25,295</t>
  </si>
  <si>
    <t>$7,778</t>
  </si>
  <si>
    <t>$173,100</t>
  </si>
  <si>
    <t>$11,559</t>
  </si>
  <si>
    <t>$6,778</t>
  </si>
  <si>
    <t>$124,800</t>
  </si>
  <si>
    <t>$8,950</t>
  </si>
  <si>
    <t>$9,125</t>
  </si>
  <si>
    <t>$126,300</t>
  </si>
  <si>
    <t>$44,116</t>
  </si>
  <si>
    <t>$9,603</t>
  </si>
  <si>
    <t>$168,200</t>
  </si>
  <si>
    <t>$10,169</t>
  </si>
  <si>
    <t>$6,953</t>
  </si>
  <si>
    <t>$111,900</t>
  </si>
  <si>
    <t>$52,497</t>
  </si>
  <si>
    <t>$4,749</t>
  </si>
  <si>
    <t>$125,400</t>
  </si>
  <si>
    <t>$35,257</t>
  </si>
  <si>
    <t>$10,893</t>
  </si>
  <si>
    <t>$148,300</t>
  </si>
  <si>
    <t>North Carolina State University, Raleigh</t>
  </si>
  <si>
    <t>$9,181</t>
  </si>
  <si>
    <t>$7,194</t>
  </si>
  <si>
    <t>$128,600</t>
  </si>
  <si>
    <t>Franklin W Olin College of Engineering</t>
  </si>
  <si>
    <t>$40,522</t>
  </si>
  <si>
    <t>$9,042</t>
  </si>
  <si>
    <t>Texas A&amp;M University, College Station</t>
  </si>
  <si>
    <t>$12,278</t>
  </si>
  <si>
    <t>$8,518</t>
  </si>
  <si>
    <t>$139,700</t>
  </si>
  <si>
    <t>Trinity College (CT)</t>
  </si>
  <si>
    <t>$46,929</t>
  </si>
  <si>
    <t>$7,819</t>
  </si>
  <si>
    <t>$141,600</t>
  </si>
  <si>
    <t>$57,999</t>
  </si>
  <si>
    <t>$10,152</t>
  </si>
  <si>
    <t>$146,900</t>
  </si>
  <si>
    <t>$42,331</t>
  </si>
  <si>
    <t>$8,278</t>
  </si>
  <si>
    <t>$130,300</t>
  </si>
  <si>
    <t>CUNY, Baruch College</t>
  </si>
  <si>
    <t>$9,423</t>
  </si>
  <si>
    <t>$5,495</t>
  </si>
  <si>
    <t>$132,100</t>
  </si>
  <si>
    <t>University of Minnesota, Twin Cities</t>
  </si>
  <si>
    <t>MN</t>
  </si>
  <si>
    <t>$11,388</t>
  </si>
  <si>
    <t>$9,722</t>
  </si>
  <si>
    <t>$125,700</t>
  </si>
  <si>
    <t>Binghamton University, SUNY</t>
  </si>
  <si>
    <t>$11,305</t>
  </si>
  <si>
    <t>$7,783</t>
  </si>
  <si>
    <t>$136,600</t>
  </si>
  <si>
    <t>$9,934</t>
  </si>
  <si>
    <t>$8,240</t>
  </si>
  <si>
    <t>$124,100</t>
  </si>
  <si>
    <t>Cooper Union</t>
  </si>
  <si>
    <t>$39,305</t>
  </si>
  <si>
    <t>$8,310</t>
  </si>
  <si>
    <t>$156,500</t>
  </si>
  <si>
    <t>Rutgers University</t>
  </si>
  <si>
    <t>$12,785</t>
  </si>
  <si>
    <t>$8,040</t>
  </si>
  <si>
    <t>$137,000</t>
  </si>
  <si>
    <t>$51,414</t>
  </si>
  <si>
    <t>$8,728</t>
  </si>
  <si>
    <t>$150,500</t>
  </si>
  <si>
    <t>IA</t>
  </si>
  <si>
    <t>$42,231</t>
  </si>
  <si>
    <t>$7,707</t>
  </si>
  <si>
    <t>$121,900</t>
  </si>
  <si>
    <t>University of Miami (FL)</t>
  </si>
  <si>
    <t>$37,322</t>
  </si>
  <si>
    <t>$8,432</t>
  </si>
  <si>
    <t>$120,000</t>
  </si>
  <si>
    <t>Virginia Tech</t>
  </si>
  <si>
    <t>$7,649</t>
  </si>
  <si>
    <t>$10,100</t>
  </si>
  <si>
    <t>$136,000</t>
  </si>
  <si>
    <t>Stony Brook University, SUNY</t>
  </si>
  <si>
    <t>$11,584</t>
  </si>
  <si>
    <t>$7,068</t>
  </si>
  <si>
    <t>$129,700</t>
  </si>
  <si>
    <t>$14,678</t>
  </si>
  <si>
    <t>$8,108</t>
  </si>
  <si>
    <t>$126,000</t>
  </si>
  <si>
    <t>Ohio State University</t>
  </si>
  <si>
    <t>OH</t>
  </si>
  <si>
    <t>$10,993</t>
  </si>
  <si>
    <t>$7,842</t>
  </si>
  <si>
    <t>$116,900</t>
  </si>
  <si>
    <t>$42,834</t>
  </si>
  <si>
    <t>$10,781</t>
  </si>
  <si>
    <t>$140,400</t>
  </si>
  <si>
    <t>$54,233</t>
  </si>
  <si>
    <t>$10,075</t>
  </si>
  <si>
    <t>$145,200</t>
  </si>
  <si>
    <t>$9,478</t>
  </si>
  <si>
    <t>$5,404</t>
  </si>
  <si>
    <t>$121,700</t>
  </si>
  <si>
    <t>$8,684</t>
  </si>
  <si>
    <t>$8,138</t>
  </si>
  <si>
    <t>$118,800</t>
  </si>
  <si>
    <t>$39,715</t>
  </si>
  <si>
    <t>$7,198</t>
  </si>
  <si>
    <t>$140,900</t>
  </si>
  <si>
    <t>Indiana University, Bloomington</t>
  </si>
  <si>
    <t>$10,336</t>
  </si>
  <si>
    <t>$9,757</t>
  </si>
  <si>
    <t>$117,300</t>
  </si>
  <si>
    <t>$37,775</t>
  </si>
  <si>
    <t>$11,397</t>
  </si>
  <si>
    <t>$155,500</t>
  </si>
  <si>
    <t>University of Utah</t>
  </si>
  <si>
    <t>$9,696</t>
  </si>
  <si>
    <t>$8,287</t>
  </si>
  <si>
    <t>$125,900</t>
  </si>
  <si>
    <t>Trinity University (TX)</t>
  </si>
  <si>
    <t>$33,614</t>
  </si>
  <si>
    <t>$9,574</t>
  </si>
  <si>
    <t>$130,600</t>
  </si>
  <si>
    <t>$30,513</t>
  </si>
  <si>
    <t>$9,137</t>
  </si>
  <si>
    <t>$175,200</t>
  </si>
  <si>
    <t>$22,042</t>
  </si>
  <si>
    <t>$5,140</t>
  </si>
  <si>
    <t>$128,800</t>
  </si>
  <si>
    <t>SC</t>
  </si>
  <si>
    <t>$10,430</t>
  </si>
  <si>
    <t>$11,748</t>
  </si>
  <si>
    <t>$125,200</t>
  </si>
  <si>
    <t>$35,344</t>
  </si>
  <si>
    <t>$12,369</t>
  </si>
  <si>
    <t>$139,000</t>
  </si>
  <si>
    <t>$9,194</t>
  </si>
  <si>
    <t>$5,834</t>
  </si>
  <si>
    <t>$118,200</t>
  </si>
  <si>
    <t>$46,385</t>
  </si>
  <si>
    <t>$8,250</t>
  </si>
  <si>
    <t>$129,800</t>
  </si>
  <si>
    <t>$50,193</t>
  </si>
  <si>
    <t>$6,177</t>
  </si>
  <si>
    <t>$39,615</t>
  </si>
  <si>
    <t>$5,896</t>
  </si>
  <si>
    <t>$138,100</t>
  </si>
  <si>
    <t>University of Colorado, Boulder</t>
  </si>
  <si>
    <t>CO</t>
  </si>
  <si>
    <t>$10,477</t>
  </si>
  <si>
    <t>$10,614</t>
  </si>
  <si>
    <t>$136,500</t>
  </si>
  <si>
    <t>$33,733</t>
  </si>
  <si>
    <t>$7,017</t>
  </si>
  <si>
    <t>$153,600</t>
  </si>
  <si>
    <t>$36,408</t>
  </si>
  <si>
    <t>$7,044</t>
  </si>
  <si>
    <t>$11,066</t>
  </si>
  <si>
    <t>$8,261</t>
  </si>
  <si>
    <t>$110,100</t>
  </si>
  <si>
    <t>$34,737</t>
  </si>
  <si>
    <t>$10,986</t>
  </si>
  <si>
    <t>$130,100</t>
  </si>
  <si>
    <t>Arizona State University, Tempe</t>
  </si>
  <si>
    <t>AZ</t>
  </si>
  <si>
    <t>$12,381</t>
  </si>
  <si>
    <t>$8,002</t>
  </si>
  <si>
    <t>$118,000</t>
  </si>
  <si>
    <t>$9,986</t>
  </si>
  <si>
    <t>$6,526</t>
  </si>
  <si>
    <t>$105,500</t>
  </si>
  <si>
    <t>$46,160</t>
  </si>
  <si>
    <t>$6,626</t>
  </si>
  <si>
    <t>$121,800</t>
  </si>
  <si>
    <t>University of Arizona</t>
  </si>
  <si>
    <t>$15,279</t>
  </si>
  <si>
    <t>$6,934</t>
  </si>
  <si>
    <t>$119,300</t>
  </si>
  <si>
    <t>University of Oklahoma, Norman</t>
  </si>
  <si>
    <t>OK</t>
  </si>
  <si>
    <t>$10,561</t>
  </si>
  <si>
    <t>$9,429</t>
  </si>
  <si>
    <t>$116,700</t>
  </si>
  <si>
    <t>$29,102</t>
  </si>
  <si>
    <t>$9,058</t>
  </si>
  <si>
    <t>$128,000</t>
  </si>
  <si>
    <t>C+</t>
  </si>
  <si>
    <t>$11,457</t>
  </si>
  <si>
    <t>$6,375</t>
  </si>
  <si>
    <t>$123,300</t>
  </si>
  <si>
    <t>University of Missouri, Columbia</t>
  </si>
  <si>
    <t>$11,545</t>
  </si>
  <si>
    <t>$9,167</t>
  </si>
  <si>
    <t>$119,500</t>
  </si>
  <si>
    <t>AL</t>
  </si>
  <si>
    <t>$9,791</t>
  </si>
  <si>
    <t>$9,579</t>
  </si>
  <si>
    <t>$33,129</t>
  </si>
  <si>
    <t>$9,406</t>
  </si>
  <si>
    <t>$138,500</t>
  </si>
  <si>
    <t>C-</t>
  </si>
  <si>
    <t>OR</t>
  </si>
  <si>
    <t>$9,260</t>
  </si>
  <si>
    <t>$7,622</t>
  </si>
  <si>
    <t>$124,000</t>
  </si>
  <si>
    <t>CUNY, The City College of New York</t>
  </si>
  <si>
    <t>$9,822</t>
  </si>
  <si>
    <t>$8,089</t>
  </si>
  <si>
    <t>$110,500</t>
  </si>
  <si>
    <t>$35,712</t>
  </si>
  <si>
    <t>$7,444</t>
  </si>
  <si>
    <t>$128,200</t>
  </si>
  <si>
    <t>$45,748</t>
  </si>
  <si>
    <t>$7,660</t>
  </si>
  <si>
    <t>College of New Jersey</t>
  </si>
  <si>
    <t>$11,826</t>
  </si>
  <si>
    <t>$10,030</t>
  </si>
  <si>
    <t>$122,400</t>
  </si>
  <si>
    <t>$38,636</t>
  </si>
  <si>
    <t>$10,092</t>
  </si>
  <si>
    <t>$159,100</t>
  </si>
  <si>
    <t>$32,348</t>
  </si>
  <si>
    <t>$8,440</t>
  </si>
  <si>
    <t>$123,400</t>
  </si>
  <si>
    <t>University of Texas, Dallas</t>
  </si>
  <si>
    <t>$14,858</t>
  </si>
  <si>
    <t>$6,970</t>
  </si>
  <si>
    <t>$117,400</t>
  </si>
  <si>
    <t>DE</t>
  </si>
  <si>
    <t>$12,375</t>
  </si>
  <si>
    <t>$10,580</t>
  </si>
  <si>
    <t>$127,600</t>
  </si>
  <si>
    <t>University of Massachusetts, Amherst</t>
  </si>
  <si>
    <t>$12,350</t>
  </si>
  <si>
    <t>$8,481</t>
  </si>
  <si>
    <t>$122,300</t>
  </si>
  <si>
    <t>$39,554</t>
  </si>
  <si>
    <t>$7,388</t>
  </si>
  <si>
    <t>$115,700</t>
  </si>
  <si>
    <t>CUNY, Hunter College</t>
  </si>
  <si>
    <t>$9,325</t>
  </si>
  <si>
    <t>$7,182</t>
  </si>
  <si>
    <t>$113,100</t>
  </si>
  <si>
    <t>University of Illinois at Chicago</t>
  </si>
  <si>
    <t>$13,813</t>
  </si>
  <si>
    <t>$7,514</t>
  </si>
  <si>
    <t>$121,600</t>
  </si>
  <si>
    <t>$20,901</t>
  </si>
  <si>
    <t>$8,634</t>
  </si>
  <si>
    <t>$144,000</t>
  </si>
  <si>
    <t>$33,657</t>
  </si>
  <si>
    <t>$7,658</t>
  </si>
  <si>
    <t>$128,400</t>
  </si>
  <si>
    <t>University at Buffalo</t>
  </si>
  <si>
    <t>$8,521</t>
  </si>
  <si>
    <t>$7,839</t>
  </si>
  <si>
    <t>$114,500</t>
  </si>
  <si>
    <t>$49,109</t>
  </si>
  <si>
    <t>$4,482</t>
  </si>
  <si>
    <t>$119,900</t>
  </si>
  <si>
    <t>$10,081</t>
  </si>
  <si>
    <t>$9,063</t>
  </si>
  <si>
    <t>$9,830</t>
  </si>
  <si>
    <t>$5,550</t>
  </si>
  <si>
    <t>$118,700</t>
  </si>
  <si>
    <t>$11,087</t>
  </si>
  <si>
    <t>$5,614</t>
  </si>
  <si>
    <t>$106,900</t>
  </si>
  <si>
    <t>LA</t>
  </si>
  <si>
    <t>$12,374</t>
  </si>
  <si>
    <t>$8,404</t>
  </si>
  <si>
    <t>$37,226</t>
  </si>
  <si>
    <t>$7,029</t>
  </si>
  <si>
    <t>$132,500</t>
  </si>
  <si>
    <t>$27,138</t>
  </si>
  <si>
    <t>$9,129</t>
  </si>
  <si>
    <t>$129,900</t>
  </si>
  <si>
    <t>University of Tennessee, Knoxville</t>
  </si>
  <si>
    <t>$10,593</t>
  </si>
  <si>
    <t>$10,094</t>
  </si>
  <si>
    <t>$10,919</t>
  </si>
  <si>
    <t>$121,200</t>
  </si>
  <si>
    <t>$10,689</t>
  </si>
  <si>
    <t>$6,714</t>
  </si>
  <si>
    <t>$61,714</t>
  </si>
  <si>
    <t>$8,426</t>
  </si>
  <si>
    <t>$128,500</t>
  </si>
  <si>
    <t>$33,861</t>
  </si>
  <si>
    <t>$10,865</t>
  </si>
  <si>
    <t>$132,600</t>
  </si>
  <si>
    <t>$30,747</t>
  </si>
  <si>
    <t>$8,283</t>
  </si>
  <si>
    <t>$133,200</t>
  </si>
  <si>
    <t>$9,767</t>
  </si>
  <si>
    <t>$7,821</t>
  </si>
  <si>
    <t>$36,384</t>
  </si>
  <si>
    <t>$7,962</t>
  </si>
  <si>
    <t>$121,000</t>
  </si>
  <si>
    <t>$31,949</t>
  </si>
  <si>
    <t>$10,599</t>
  </si>
  <si>
    <t>$168,700</t>
  </si>
  <si>
    <t>C</t>
  </si>
  <si>
    <t>$22,553</t>
  </si>
  <si>
    <t>$14,404</t>
  </si>
  <si>
    <t>$27,601</t>
  </si>
  <si>
    <t>$8,172</t>
  </si>
  <si>
    <t>$133,500</t>
  </si>
  <si>
    <t>$11,043</t>
  </si>
  <si>
    <t>$7,620</t>
  </si>
  <si>
    <t>$9,959</t>
  </si>
  <si>
    <t>$8,853</t>
  </si>
  <si>
    <t>$119,800</t>
  </si>
  <si>
    <t>SUNY, Geneseo</t>
  </si>
  <si>
    <t>$7,088</t>
  </si>
  <si>
    <t>$116,500</t>
  </si>
  <si>
    <t>$30,954</t>
  </si>
  <si>
    <t>$7,961</t>
  </si>
  <si>
    <t>AR</t>
  </si>
  <si>
    <t>$8,474</t>
  </si>
  <si>
    <t>$8,350</t>
  </si>
  <si>
    <t>$114,800</t>
  </si>
  <si>
    <t>$13,880</t>
  </si>
  <si>
    <t>$9,977</t>
  </si>
  <si>
    <t>KY</t>
  </si>
  <si>
    <t>$14,114</t>
  </si>
  <si>
    <t>$8,420</t>
  </si>
  <si>
    <t>$111,700</t>
  </si>
  <si>
    <t>$36,355</t>
  </si>
  <si>
    <t>$9,595</t>
  </si>
  <si>
    <t>$37,006</t>
  </si>
  <si>
    <t>$6,880</t>
  </si>
  <si>
    <t>$9,631</t>
  </si>
  <si>
    <t>$104,900</t>
  </si>
  <si>
    <t>CUNY, Brooklyn College</t>
  </si>
  <si>
    <t>$9,411</t>
  </si>
  <si>
    <t>$5,422</t>
  </si>
  <si>
    <t>$118,600</t>
  </si>
  <si>
    <t>$30,916</t>
  </si>
  <si>
    <t>$9,671</t>
  </si>
  <si>
    <t>$133,600</t>
  </si>
  <si>
    <t>$27,059</t>
  </si>
  <si>
    <t>$14,168</t>
  </si>
  <si>
    <t>$161,000</t>
  </si>
  <si>
    <t>University of Nevada-Reno</t>
  </si>
  <si>
    <t>NV</t>
  </si>
  <si>
    <t>$7,829</t>
  </si>
  <si>
    <t>$6,624</t>
  </si>
  <si>
    <t>$111,200</t>
  </si>
  <si>
    <t>$7,287</t>
  </si>
  <si>
    <t>$6,350</t>
  </si>
  <si>
    <t>$31,920</t>
  </si>
  <si>
    <t>$10,921</t>
  </si>
  <si>
    <t>$127,300</t>
  </si>
  <si>
    <t>$41,067</t>
  </si>
  <si>
    <t>$5,055</t>
  </si>
  <si>
    <t>$120,200</t>
  </si>
  <si>
    <t>$10,621</t>
  </si>
  <si>
    <t>$7,170</t>
  </si>
  <si>
    <t>$117,200</t>
  </si>
  <si>
    <t>University of Hawaii, Manoa</t>
  </si>
  <si>
    <t>HI</t>
  </si>
  <si>
    <t>$7,954</t>
  </si>
  <si>
    <t>$6,943</t>
  </si>
  <si>
    <t>$110,800</t>
  </si>
  <si>
    <t>Manhattan University</t>
  </si>
  <si>
    <t>$31,882</t>
  </si>
  <si>
    <t>$7,319</t>
  </si>
  <si>
    <t>$152,400</t>
  </si>
  <si>
    <t>$11,415</t>
  </si>
  <si>
    <t>$6,906</t>
  </si>
  <si>
    <t>$39,139</t>
  </si>
  <si>
    <t>$144,600</t>
  </si>
  <si>
    <t>$44,093</t>
  </si>
  <si>
    <t>$7,932</t>
  </si>
  <si>
    <t>$130,900</t>
  </si>
  <si>
    <t>$47,864</t>
  </si>
  <si>
    <t>$6,315</t>
  </si>
  <si>
    <t>$138,400</t>
  </si>
  <si>
    <t>$41,855</t>
  </si>
  <si>
    <t>$7,426</t>
  </si>
  <si>
    <t>$129,500</t>
  </si>
  <si>
    <t>NE</t>
  </si>
  <si>
    <t>$26,918</t>
  </si>
  <si>
    <t>$8,720</t>
  </si>
  <si>
    <t>$112,500</t>
  </si>
  <si>
    <t>$36,618</t>
  </si>
  <si>
    <t>$6,470</t>
  </si>
  <si>
    <t>$19,189</t>
  </si>
  <si>
    <t>$9,995</t>
  </si>
  <si>
    <t>$120,400</t>
  </si>
  <si>
    <t>University of Alabama</t>
  </si>
  <si>
    <t>$15,683</t>
  </si>
  <si>
    <t>$10,694</t>
  </si>
  <si>
    <t>KS</t>
  </si>
  <si>
    <t>$8,537</t>
  </si>
  <si>
    <t>$6,911</t>
  </si>
  <si>
    <t>$42,386</t>
  </si>
  <si>
    <t>$7,481</t>
  </si>
  <si>
    <t>$179,600</t>
  </si>
  <si>
    <t>$9,968</t>
  </si>
  <si>
    <t>$5,178</t>
  </si>
  <si>
    <t>$30,733</t>
  </si>
  <si>
    <t>$11,610</t>
  </si>
  <si>
    <t>$144,800</t>
  </si>
  <si>
    <t>$21,202</t>
  </si>
  <si>
    <t>$6,519</t>
  </si>
  <si>
    <t>$132,000</t>
  </si>
  <si>
    <t>$10,334</t>
  </si>
  <si>
    <t>$6,926</t>
  </si>
  <si>
    <t>$106,300</t>
  </si>
  <si>
    <t>WY</t>
  </si>
  <si>
    <t>$8,942</t>
  </si>
  <si>
    <t>$8,184</t>
  </si>
  <si>
    <t>$109,800</t>
  </si>
  <si>
    <t>$36,005</t>
  </si>
  <si>
    <t>$8,264</t>
  </si>
  <si>
    <t>$129,400</t>
  </si>
  <si>
    <t>University of Nebraska, Lincoln</t>
  </si>
  <si>
    <t>$10,941</t>
  </si>
  <si>
    <t>$6,553</t>
  </si>
  <si>
    <t>$117,000</t>
  </si>
  <si>
    <t>$11,575</t>
  </si>
  <si>
    <t>$10,571</t>
  </si>
  <si>
    <t>$113,900</t>
  </si>
  <si>
    <t>$15,959</t>
  </si>
  <si>
    <t>$7,478</t>
  </si>
  <si>
    <t>$146,500</t>
  </si>
  <si>
    <t>$19,111</t>
  </si>
  <si>
    <t>$6,390</t>
  </si>
  <si>
    <t>$145,300</t>
  </si>
  <si>
    <t>$44,331</t>
  </si>
  <si>
    <t>$8,228</t>
  </si>
  <si>
    <t>$132,900</t>
  </si>
  <si>
    <t>Pennsylvania State University-Main Campus</t>
  </si>
  <si>
    <t>$10,066</t>
  </si>
  <si>
    <t>$13,414</t>
  </si>
  <si>
    <t>$35,040</t>
  </si>
  <si>
    <t>$5,013</t>
  </si>
  <si>
    <t>$116,100</t>
  </si>
  <si>
    <t>Miami University (OH)</t>
  </si>
  <si>
    <t>$14,752</t>
  </si>
  <si>
    <t>$8,909</t>
  </si>
  <si>
    <t>$132,800</t>
  </si>
  <si>
    <t>CUNY, Queens College</t>
  </si>
  <si>
    <t>$7,927</t>
  </si>
  <si>
    <t>$5,089</t>
  </si>
  <si>
    <t>$114,300</t>
  </si>
  <si>
    <t>$33,510</t>
  </si>
  <si>
    <t>$7,312</t>
  </si>
  <si>
    <t>$116,400</t>
  </si>
  <si>
    <t>$11,140</t>
  </si>
  <si>
    <t>$118,100</t>
  </si>
  <si>
    <t>The Citadel</t>
  </si>
  <si>
    <t>$11,428</t>
  </si>
  <si>
    <t>$13,093</t>
  </si>
  <si>
    <t>$132,300</t>
  </si>
  <si>
    <t>St. John's University (NY)</t>
  </si>
  <si>
    <t>$32,626</t>
  </si>
  <si>
    <t>$7,990</t>
  </si>
  <si>
    <t>$127,100</t>
  </si>
  <si>
    <t>$21,483</t>
  </si>
  <si>
    <t>$6,320</t>
  </si>
  <si>
    <t>$107,000</t>
  </si>
  <si>
    <t>D</t>
  </si>
  <si>
    <t>$9,162</t>
  </si>
  <si>
    <t>$5,538</t>
  </si>
  <si>
    <t>$9,359</t>
  </si>
  <si>
    <t>$8,346</t>
  </si>
  <si>
    <t>$24,697</t>
  </si>
  <si>
    <t>$12,071</t>
  </si>
  <si>
    <t>$10,511</t>
  </si>
  <si>
    <t>$5,462</t>
  </si>
  <si>
    <t>$37,480</t>
  </si>
  <si>
    <t>$7,148</t>
  </si>
  <si>
    <t>$122,100</t>
  </si>
  <si>
    <t>$9,159</t>
  </si>
  <si>
    <t>$6,289</t>
  </si>
  <si>
    <t>$110,000</t>
  </si>
  <si>
    <t>$8,889</t>
  </si>
  <si>
    <t>$6,654</t>
  </si>
  <si>
    <t>$26,796</t>
  </si>
  <si>
    <t>$9,442</t>
  </si>
  <si>
    <t>University of Washington Bothell</t>
  </si>
  <si>
    <t>$15,474</t>
  </si>
  <si>
    <t>$4,651</t>
  </si>
  <si>
    <t>$26,448</t>
  </si>
  <si>
    <t>$7,486</t>
  </si>
  <si>
    <t>$110,300</t>
  </si>
  <si>
    <t>$37,119</t>
  </si>
  <si>
    <t>$7,844</t>
  </si>
  <si>
    <t>$6,522</t>
  </si>
  <si>
    <t>$6,936</t>
  </si>
  <si>
    <t>$123,600</t>
  </si>
  <si>
    <t>$20,711</t>
  </si>
  <si>
    <t>$7,815</t>
  </si>
  <si>
    <t>$104,600</t>
  </si>
  <si>
    <t>MS</t>
  </si>
  <si>
    <t>$13,720</t>
  </si>
  <si>
    <t>$10,144</t>
  </si>
  <si>
    <t>$102,800</t>
  </si>
  <si>
    <t>$21,143</t>
  </si>
  <si>
    <t>$5,351</t>
  </si>
  <si>
    <t>$111,300</t>
  </si>
  <si>
    <t>$26,004</t>
  </si>
  <si>
    <t>$7,204</t>
  </si>
  <si>
    <t>$126,700</t>
  </si>
  <si>
    <t>$28,048</t>
  </si>
  <si>
    <t>$14,299</t>
  </si>
  <si>
    <t>$119,600</t>
  </si>
  <si>
    <t>$29,443</t>
  </si>
  <si>
    <t>$11,822</t>
  </si>
  <si>
    <t>$122,900</t>
  </si>
  <si>
    <t>$46,821</t>
  </si>
  <si>
    <t>$4,492</t>
  </si>
  <si>
    <t>$141,500</t>
  </si>
  <si>
    <t>$31,274</t>
  </si>
  <si>
    <t>$8,953</t>
  </si>
  <si>
    <t>Wheaton College (IL)</t>
  </si>
  <si>
    <t>$24,272</t>
  </si>
  <si>
    <t>$6,429</t>
  </si>
  <si>
    <t>$127,200</t>
  </si>
  <si>
    <t>University of North Carolina, Charlotte</t>
  </si>
  <si>
    <t>$7,907</t>
  </si>
  <si>
    <t>$7,127</t>
  </si>
  <si>
    <t>Embry-Riddle Aeronautical University, Daytona Beach</t>
  </si>
  <si>
    <t>$20,372</t>
  </si>
  <si>
    <t>$15,475</t>
  </si>
  <si>
    <t>$129,100</t>
  </si>
  <si>
    <t>$10,907</t>
  </si>
  <si>
    <t>$5,227</t>
  </si>
  <si>
    <t>$111,600</t>
  </si>
  <si>
    <t>$10,760</t>
  </si>
  <si>
    <t>$8,079</t>
  </si>
  <si>
    <t>$30,973</t>
  </si>
  <si>
    <t>$12,038</t>
  </si>
  <si>
    <t>$161,500</t>
  </si>
  <si>
    <t>$26,693</t>
  </si>
  <si>
    <t>$7,299</t>
  </si>
  <si>
    <t>$123,500</t>
  </si>
  <si>
    <t>$8,866</t>
  </si>
  <si>
    <t>$165,700</t>
  </si>
  <si>
    <t>$32,808</t>
  </si>
  <si>
    <t>$9,438</t>
  </si>
  <si>
    <t>$118,900</t>
  </si>
  <si>
    <t>$36,435</t>
  </si>
  <si>
    <t>$7,547</t>
  </si>
  <si>
    <t>$120,600</t>
  </si>
  <si>
    <t>ND</t>
  </si>
  <si>
    <t>$6,387</t>
  </si>
  <si>
    <t>$11,927</t>
  </si>
  <si>
    <t>$114,700</t>
  </si>
  <si>
    <t>San Jose State University</t>
  </si>
  <si>
    <t>$9,210</t>
  </si>
  <si>
    <t>$5,592</t>
  </si>
  <si>
    <t>$137,200</t>
  </si>
  <si>
    <t>WV</t>
  </si>
  <si>
    <t>$11,685</t>
  </si>
  <si>
    <t>$9,613</t>
  </si>
  <si>
    <t>$9,808</t>
  </si>
  <si>
    <t>$6,445</t>
  </si>
  <si>
    <t>$112,300</t>
  </si>
  <si>
    <t>$35,452</t>
  </si>
  <si>
    <t>$6,836</t>
  </si>
  <si>
    <t>$142,300</t>
  </si>
  <si>
    <t>Union College (NY)</t>
  </si>
  <si>
    <t>$37,530</t>
  </si>
  <si>
    <t>$8,270</t>
  </si>
  <si>
    <t>$153,300</t>
  </si>
  <si>
    <t>$49,177</t>
  </si>
  <si>
    <t>$8,059</t>
  </si>
  <si>
    <t>$144,300</t>
  </si>
  <si>
    <t>$12,583</t>
  </si>
  <si>
    <t>$7,807</t>
  </si>
  <si>
    <t>$104,800</t>
  </si>
  <si>
    <t>$40,243</t>
  </si>
  <si>
    <t>$7,227</t>
  </si>
  <si>
    <t>$142,900</t>
  </si>
  <si>
    <t>$41,285</t>
  </si>
  <si>
    <t>$9,150</t>
  </si>
  <si>
    <t>$157,700</t>
  </si>
  <si>
    <t>$39,304</t>
  </si>
  <si>
    <t>$6,098</t>
  </si>
  <si>
    <t>$113,600</t>
  </si>
  <si>
    <t>$8,733</t>
  </si>
  <si>
    <t>$8,696</t>
  </si>
  <si>
    <t>$11,983</t>
  </si>
  <si>
    <t>$7,166</t>
  </si>
  <si>
    <t>$7,268</t>
  </si>
  <si>
    <t>$9,405</t>
  </si>
  <si>
    <t>$102,600</t>
  </si>
  <si>
    <t>$30,917</t>
  </si>
  <si>
    <t>$7,347</t>
  </si>
  <si>
    <t>$139,600</t>
  </si>
  <si>
    <t>$33,025</t>
  </si>
  <si>
    <t>$8,272</t>
  </si>
  <si>
    <t>$141,100</t>
  </si>
  <si>
    <t>$14,252</t>
  </si>
  <si>
    <t>$7,253</t>
  </si>
  <si>
    <t>$111,000</t>
  </si>
  <si>
    <t>$9,961</t>
  </si>
  <si>
    <t>$6,246</t>
  </si>
  <si>
    <t>$106,800</t>
  </si>
  <si>
    <t>$12,216</t>
  </si>
  <si>
    <t>$7,490</t>
  </si>
  <si>
    <t>$100,700</t>
  </si>
  <si>
    <t>University of Texas, Arlington</t>
  </si>
  <si>
    <t>$11,370</t>
  </si>
  <si>
    <t>$5,959</t>
  </si>
  <si>
    <t>$117,700</t>
  </si>
  <si>
    <t>$11,619</t>
  </si>
  <si>
    <t>$7,247</t>
  </si>
  <si>
    <t>$112,700</t>
  </si>
  <si>
    <t>$9,040</t>
  </si>
  <si>
    <t>$6,028</t>
  </si>
  <si>
    <t>$133,900</t>
  </si>
  <si>
    <t>$7,443</t>
  </si>
  <si>
    <t>$7,207</t>
  </si>
  <si>
    <t>$99,800</t>
  </si>
  <si>
    <t>Clark University (MA)</t>
  </si>
  <si>
    <t>$29,716</t>
  </si>
  <si>
    <t>$6,917</t>
  </si>
  <si>
    <t>$103,000</t>
  </si>
  <si>
    <t>University of Wisconsin, Eau Claire</t>
  </si>
  <si>
    <t>$4,251</t>
  </si>
  <si>
    <t>$7,354</t>
  </si>
  <si>
    <t>$108,900</t>
  </si>
  <si>
    <t>$24,880</t>
  </si>
  <si>
    <t>$7,428</t>
  </si>
  <si>
    <t>$108,000</t>
  </si>
  <si>
    <t>$25,615</t>
  </si>
  <si>
    <t>$13,242</t>
  </si>
  <si>
    <t>Sewanee—University of the South</t>
  </si>
  <si>
    <t>$34,241</t>
  </si>
  <si>
    <t>$5,059</t>
  </si>
  <si>
    <t>$38,167</t>
  </si>
  <si>
    <t>$6,265</t>
  </si>
  <si>
    <t>$115,600</t>
  </si>
  <si>
    <t>$39,594</t>
  </si>
  <si>
    <t>$4,829</t>
  </si>
  <si>
    <t>$121,400</t>
  </si>
  <si>
    <t>$8,376</t>
  </si>
  <si>
    <t>$6,521</t>
  </si>
  <si>
    <t>$105,700</t>
  </si>
  <si>
    <t>NM</t>
  </si>
  <si>
    <t>$10,293</t>
  </si>
  <si>
    <t>$4,925</t>
  </si>
  <si>
    <t>$10,605</t>
  </si>
  <si>
    <t>$103,100</t>
  </si>
  <si>
    <t>Rutgers University, Newark</t>
  </si>
  <si>
    <t>$13,168</t>
  </si>
  <si>
    <t>$6,475</t>
  </si>
  <si>
    <t>$123,100</t>
  </si>
  <si>
    <t>$40,399</t>
  </si>
  <si>
    <t>$6,527</t>
  </si>
  <si>
    <t>$24,235</t>
  </si>
  <si>
    <t>$13,929</t>
  </si>
  <si>
    <t>$28,826</t>
  </si>
  <si>
    <t>$8,635</t>
  </si>
  <si>
    <t>University of Texas at San Antonio</t>
  </si>
  <si>
    <t>$8,934</t>
  </si>
  <si>
    <t>$5,390</t>
  </si>
  <si>
    <t>$105,800</t>
  </si>
  <si>
    <t>$20,063</t>
  </si>
  <si>
    <t>$7,415</t>
  </si>
  <si>
    <t>$11,142</t>
  </si>
  <si>
    <t>$6,382</t>
  </si>
  <si>
    <t>$101,100</t>
  </si>
  <si>
    <t>$5,732</t>
  </si>
  <si>
    <t>$9,555</t>
  </si>
  <si>
    <t>$117,100</t>
  </si>
  <si>
    <t>$27,474</t>
  </si>
  <si>
    <t>$6,713</t>
  </si>
  <si>
    <t>MT</t>
  </si>
  <si>
    <t>$5,749</t>
  </si>
  <si>
    <t>$7,375</t>
  </si>
  <si>
    <t>$11,104</t>
  </si>
  <si>
    <t>$6,746</t>
  </si>
  <si>
    <t>$107,900</t>
  </si>
  <si>
    <t>$42,251</t>
  </si>
  <si>
    <t>$9,108</t>
  </si>
  <si>
    <t>$124,500</t>
  </si>
  <si>
    <t>University of Texas, El Paso</t>
  </si>
  <si>
    <t>$10,564</t>
  </si>
  <si>
    <t>$4,735</t>
  </si>
  <si>
    <t>$106,500</t>
  </si>
  <si>
    <t>ID</t>
  </si>
  <si>
    <t>$11,105</t>
  </si>
  <si>
    <t>$5,572</t>
  </si>
  <si>
    <t>$35,256</t>
  </si>
  <si>
    <t>$6,551</t>
  </si>
  <si>
    <t>$114,400</t>
  </si>
  <si>
    <t>$26,291</t>
  </si>
  <si>
    <t>$6,902</t>
  </si>
  <si>
    <t>$30,609</t>
  </si>
  <si>
    <t>$7,269</t>
  </si>
  <si>
    <t>$33,740</t>
  </si>
  <si>
    <t>$8,484</t>
  </si>
  <si>
    <t>$98,400</t>
  </si>
  <si>
    <t>$6,346</t>
  </si>
  <si>
    <t>$5,722</t>
  </si>
  <si>
    <t>$107,300</t>
  </si>
  <si>
    <t>$32,047</t>
  </si>
  <si>
    <t>$6,438</t>
  </si>
  <si>
    <t>$135,400</t>
  </si>
  <si>
    <t>$29,025</t>
  </si>
  <si>
    <t>$11,265</t>
  </si>
  <si>
    <t>$30,955</t>
  </si>
  <si>
    <t>$6,369</t>
  </si>
  <si>
    <t>$145,600</t>
  </si>
  <si>
    <t>$9,750</t>
  </si>
  <si>
    <t>$5,868</t>
  </si>
  <si>
    <t>$109,000</t>
  </si>
  <si>
    <t>$18,237</t>
  </si>
  <si>
    <t>$10,226</t>
  </si>
  <si>
    <t>$134,000</t>
  </si>
  <si>
    <t>$43,239</t>
  </si>
  <si>
    <t>$8,110</t>
  </si>
  <si>
    <t>$40,262</t>
  </si>
  <si>
    <t>$9,499</t>
  </si>
  <si>
    <t>$102,700</t>
  </si>
  <si>
    <t>California State University-Bakersfield</t>
  </si>
  <si>
    <t>$10,750</t>
  </si>
  <si>
    <t>$5,006</t>
  </si>
  <si>
    <t>University of the Pacific (CA)</t>
  </si>
  <si>
    <t>$38,322</t>
  </si>
  <si>
    <t>$6,817</t>
  </si>
  <si>
    <t>$11,865</t>
  </si>
  <si>
    <t>$6,397</t>
  </si>
  <si>
    <t>$106,700</t>
  </si>
  <si>
    <t>$11,791</t>
  </si>
  <si>
    <t>$5,703</t>
  </si>
  <si>
    <t>$105,600</t>
  </si>
  <si>
    <t>$8,357</t>
  </si>
  <si>
    <t>$27,897</t>
  </si>
  <si>
    <t>$8,988</t>
  </si>
  <si>
    <t>$112,900</t>
  </si>
  <si>
    <t>$29,122</t>
  </si>
  <si>
    <t>$9,891</t>
  </si>
  <si>
    <t>$126,100</t>
  </si>
  <si>
    <t>$30,958</t>
  </si>
  <si>
    <t>$10,202</t>
  </si>
  <si>
    <t>$8,260</t>
  </si>
  <si>
    <t>$8,716</t>
  </si>
  <si>
    <t>University of Saint Thomas (MN)</t>
  </si>
  <si>
    <t>$32,284</t>
  </si>
  <si>
    <t>$10,539</t>
  </si>
  <si>
    <t>$135,200</t>
  </si>
  <si>
    <t>$6,412</t>
  </si>
  <si>
    <t>$6,606</t>
  </si>
  <si>
    <t>$99,100</t>
  </si>
  <si>
    <t>University at Albany, SUNY</t>
  </si>
  <si>
    <t>$11,485</t>
  </si>
  <si>
    <t>$6,785</t>
  </si>
  <si>
    <t>$125,100</t>
  </si>
  <si>
    <t>University of Tulsa</t>
  </si>
  <si>
    <t>$36,877</t>
  </si>
  <si>
    <t>$7,505</t>
  </si>
  <si>
    <t>$40,914</t>
  </si>
  <si>
    <t>$9,772</t>
  </si>
  <si>
    <t>California State University-Monterey Bay</t>
  </si>
  <si>
    <t>$8,702</t>
  </si>
  <si>
    <t>$5,210</t>
  </si>
  <si>
    <t>$36,621</t>
  </si>
  <si>
    <t>$9,532</t>
  </si>
  <si>
    <t>$13,779</t>
  </si>
  <si>
    <t>$6,920</t>
  </si>
  <si>
    <t>New School</t>
  </si>
  <si>
    <t>$21,504</t>
  </si>
  <si>
    <t>$10,379</t>
  </si>
  <si>
    <t>$130,700</t>
  </si>
  <si>
    <t>$9,020</t>
  </si>
  <si>
    <t>$7,654</t>
  </si>
  <si>
    <t>$100,500</t>
  </si>
  <si>
    <t>$8,012</t>
  </si>
  <si>
    <t>$8,647</t>
  </si>
  <si>
    <t>$165,400</t>
  </si>
  <si>
    <t>$13,257</t>
  </si>
  <si>
    <t>$11,356</t>
  </si>
  <si>
    <t>$120,800</t>
  </si>
  <si>
    <t>Wheaton College (MA)</t>
  </si>
  <si>
    <t>$41,665</t>
  </si>
  <si>
    <t>$7,647</t>
  </si>
  <si>
    <t>$115,400</t>
  </si>
  <si>
    <t>Art Center College of Design</t>
  </si>
  <si>
    <t>$16,665</t>
  </si>
  <si>
    <t>$7,458</t>
  </si>
  <si>
    <t>$128,900</t>
  </si>
  <si>
    <t>$30,971</t>
  </si>
  <si>
    <t>$9,247</t>
  </si>
  <si>
    <t>$135,100</t>
  </si>
  <si>
    <t>Tennessee Technological University</t>
  </si>
  <si>
    <t>$8,471</t>
  </si>
  <si>
    <t>$6,766</t>
  </si>
  <si>
    <t>$109,400</t>
  </si>
  <si>
    <t>$16,114</t>
  </si>
  <si>
    <t>$8,372</t>
  </si>
  <si>
    <t>$135,600</t>
  </si>
  <si>
    <t>$11,515</t>
  </si>
  <si>
    <t>$6,174</t>
  </si>
  <si>
    <t>$96,700</t>
  </si>
  <si>
    <t>$37,116</t>
  </si>
  <si>
    <t>$7,650</t>
  </si>
  <si>
    <t>$98,600</t>
  </si>
  <si>
    <t>California State University-San Marcos</t>
  </si>
  <si>
    <t>$8,922</t>
  </si>
  <si>
    <t>$5,606</t>
  </si>
  <si>
    <t>$112,000</t>
  </si>
  <si>
    <t>University of California-Merced</t>
  </si>
  <si>
    <t>$25,868</t>
  </si>
  <si>
    <t>$4,754</t>
  </si>
  <si>
    <t>University of Alabama in Huntsville</t>
  </si>
  <si>
    <t>$8,983</t>
  </si>
  <si>
    <t>$7,054</t>
  </si>
  <si>
    <t>$127,000</t>
  </si>
  <si>
    <t>$8,742</t>
  </si>
  <si>
    <t>$5,825</t>
  </si>
  <si>
    <t>$103,300</t>
  </si>
  <si>
    <t>$9,046</t>
  </si>
  <si>
    <t>$8,468</t>
  </si>
  <si>
    <t>$117,500</t>
  </si>
  <si>
    <t>$26,280</t>
  </si>
  <si>
    <t>$10,671</t>
  </si>
  <si>
    <t>$53,584</t>
  </si>
  <si>
    <t>$6,006</t>
  </si>
  <si>
    <t>$107,100</t>
  </si>
  <si>
    <t>Colorado State University, Fort Collins</t>
  </si>
  <si>
    <t>$10,727</t>
  </si>
  <si>
    <t>$8,773</t>
  </si>
  <si>
    <t>$116,300</t>
  </si>
  <si>
    <t>$25,728</t>
  </si>
  <si>
    <t>$11,152</t>
  </si>
  <si>
    <t>$121,100</t>
  </si>
  <si>
    <t>$33,957</t>
  </si>
  <si>
    <t>$9,120</t>
  </si>
  <si>
    <t>$119,400</t>
  </si>
  <si>
    <t>$23,303</t>
  </si>
  <si>
    <t>$7,530</t>
  </si>
  <si>
    <t>$121,500</t>
  </si>
  <si>
    <t>$29,677</t>
  </si>
  <si>
    <t>$5,364</t>
  </si>
  <si>
    <t>$26,521</t>
  </si>
  <si>
    <t>$7,941</t>
  </si>
  <si>
    <t>$116,800</t>
  </si>
  <si>
    <t>SUNY, Farmingdale State College</t>
  </si>
  <si>
    <t>$10,382</t>
  </si>
  <si>
    <t>$5,276</t>
  </si>
  <si>
    <t>$9,529</t>
  </si>
  <si>
    <t>$6,511</t>
  </si>
  <si>
    <t>$156,200</t>
  </si>
  <si>
    <t>Charter Oak State College</t>
  </si>
  <si>
    <t>$8,195</t>
  </si>
  <si>
    <t>$9,500</t>
  </si>
  <si>
    <t>$98,900</t>
  </si>
  <si>
    <t>$12,552</t>
  </si>
  <si>
    <t>$6,377</t>
  </si>
  <si>
    <t>$115,100</t>
  </si>
  <si>
    <t>$34,200</t>
  </si>
  <si>
    <t>$9,590</t>
  </si>
  <si>
    <t>$4,958</t>
  </si>
  <si>
    <t>$36,421</t>
  </si>
  <si>
    <t>$7,218</t>
  </si>
  <si>
    <t>University of Puerto Rico-Rio Piedras</t>
  </si>
  <si>
    <t>PR</t>
  </si>
  <si>
    <t>$3,532</t>
  </si>
  <si>
    <t>$98,700</t>
  </si>
  <si>
    <t>$14,102</t>
  </si>
  <si>
    <t>$4,856</t>
  </si>
  <si>
    <t>$33,911</t>
  </si>
  <si>
    <t>$9,879</t>
  </si>
  <si>
    <t>University of Alaska, Fairbanks</t>
  </si>
  <si>
    <t>AK</t>
  </si>
  <si>
    <t>$8,704</t>
  </si>
  <si>
    <t>$5,705</t>
  </si>
  <si>
    <t>$36,497</t>
  </si>
  <si>
    <t>$7,089</t>
  </si>
  <si>
    <t>$140,800</t>
  </si>
  <si>
    <t>University of Washington, Tacoma Campus</t>
  </si>
  <si>
    <t>$12,961</t>
  </si>
  <si>
    <t>$4,891</t>
  </si>
  <si>
    <t>$34,449</t>
  </si>
  <si>
    <t>CUNY, Lehman College</t>
  </si>
  <si>
    <t>$10,412</t>
  </si>
  <si>
    <t>$5,384</t>
  </si>
  <si>
    <t>$94,900</t>
  </si>
  <si>
    <t>$32,842</t>
  </si>
  <si>
    <t>$6,403</t>
  </si>
  <si>
    <t>$31,988</t>
  </si>
  <si>
    <t>$9,901</t>
  </si>
  <si>
    <t>$9,892</t>
  </si>
  <si>
    <t>$7,335</t>
  </si>
  <si>
    <t>Rutgers University, Camden</t>
  </si>
  <si>
    <t>$15,670</t>
  </si>
  <si>
    <t>$6,495</t>
  </si>
  <si>
    <t>$33,900</t>
  </si>
  <si>
    <t>$7,897</t>
  </si>
  <si>
    <t>Saint John's University</t>
  </si>
  <si>
    <t>$37,533</t>
  </si>
  <si>
    <t>$9,006</t>
  </si>
  <si>
    <t>$131,700</t>
  </si>
  <si>
    <t>Embry-Riddle Aeronautical University, Prescott</t>
  </si>
  <si>
    <t>$20,536</t>
  </si>
  <si>
    <t>$15,653</t>
  </si>
  <si>
    <t>$146,800</t>
  </si>
  <si>
    <t>$10,629</t>
  </si>
  <si>
    <t>$7,997</t>
  </si>
  <si>
    <t>$32,482</t>
  </si>
  <si>
    <t>$7,519</t>
  </si>
  <si>
    <t>$5,076</t>
  </si>
  <si>
    <t>$38,412</t>
  </si>
  <si>
    <t>$8,149</t>
  </si>
  <si>
    <t>$120,900</t>
  </si>
  <si>
    <t>$10,265</t>
  </si>
  <si>
    <t>$7,459</t>
  </si>
  <si>
    <t>$28,273</t>
  </si>
  <si>
    <t>$9,536</t>
  </si>
  <si>
    <t>D'Youville University</t>
  </si>
  <si>
    <t>$22,053</t>
  </si>
  <si>
    <t>$10,292</t>
  </si>
  <si>
    <t>$96,200</t>
  </si>
  <si>
    <t>$11,563</t>
  </si>
  <si>
    <t>$5,857</t>
  </si>
  <si>
    <t>$108,800</t>
  </si>
  <si>
    <t>$8,022</t>
  </si>
  <si>
    <t>$8,879</t>
  </si>
  <si>
    <t>$103,800</t>
  </si>
  <si>
    <t>$13,577</t>
  </si>
  <si>
    <t>$8,374</t>
  </si>
  <si>
    <t>$124,200</t>
  </si>
  <si>
    <t>$10,761</t>
  </si>
  <si>
    <t>$5,720</t>
  </si>
  <si>
    <t>$117,800</t>
  </si>
  <si>
    <t>$8,659</t>
  </si>
  <si>
    <t>$5,669</t>
  </si>
  <si>
    <t>$31,901</t>
  </si>
  <si>
    <t>$9,988</t>
  </si>
  <si>
    <t>$13,573</t>
  </si>
  <si>
    <t>$10,862</t>
  </si>
  <si>
    <t>$29,952</t>
  </si>
  <si>
    <t>$9,340</t>
  </si>
  <si>
    <t>$122,600</t>
  </si>
  <si>
    <t>Concordia College—Moorhead</t>
  </si>
  <si>
    <t>$17,756</t>
  </si>
  <si>
    <t>$10,219</t>
  </si>
  <si>
    <t>$97,700</t>
  </si>
  <si>
    <t>$6,212</t>
  </si>
  <si>
    <t>$6,772</t>
  </si>
  <si>
    <t>$31,850</t>
  </si>
  <si>
    <t>$7,464</t>
  </si>
  <si>
    <t>$8,049</t>
  </si>
  <si>
    <t>$7,209</t>
  </si>
  <si>
    <t>$106,400</t>
  </si>
  <si>
    <t>University of Minnesota, Duluth</t>
  </si>
  <si>
    <t>$7,345</t>
  </si>
  <si>
    <t>California State University, Channel Islands</t>
  </si>
  <si>
    <t>$9,412</t>
  </si>
  <si>
    <t>$5,440</t>
  </si>
  <si>
    <t>$109,200</t>
  </si>
  <si>
    <t>Saint Joseph's University (PA)</t>
  </si>
  <si>
    <t>$29,822</t>
  </si>
  <si>
    <t>$9,723</t>
  </si>
  <si>
    <t>$124,600</t>
  </si>
  <si>
    <t>LIU Post</t>
  </si>
  <si>
    <t>$27,862</t>
  </si>
  <si>
    <t>$7,749</t>
  </si>
  <si>
    <t>$119,100</t>
  </si>
  <si>
    <t>SD</t>
  </si>
  <si>
    <t>$4,551</t>
  </si>
  <si>
    <t>$7,998</t>
  </si>
  <si>
    <t>$104,000</t>
  </si>
  <si>
    <t>SUNY, College at New Paltz</t>
  </si>
  <si>
    <t>$6,619</t>
  </si>
  <si>
    <t>$99,600</t>
  </si>
  <si>
    <t>$34,379</t>
  </si>
  <si>
    <t>$7,610</t>
  </si>
  <si>
    <t>$100,200</t>
  </si>
  <si>
    <t>$9,790</t>
  </si>
  <si>
    <t>$5,750</t>
  </si>
  <si>
    <t>$94,500</t>
  </si>
  <si>
    <t>$19,300</t>
  </si>
  <si>
    <t>$17,737</t>
  </si>
  <si>
    <t>$109,600</t>
  </si>
  <si>
    <t>$11,771</t>
  </si>
  <si>
    <t>$7,904</t>
  </si>
  <si>
    <t>$118,400</t>
  </si>
  <si>
    <t>$17,194</t>
  </si>
  <si>
    <t>$4,151</t>
  </si>
  <si>
    <t>$103,400</t>
  </si>
  <si>
    <t>$9,280</t>
  </si>
  <si>
    <t>$5,724</t>
  </si>
  <si>
    <t>$111,400</t>
  </si>
  <si>
    <t>$19,422</t>
  </si>
  <si>
    <t>$7,511</t>
  </si>
  <si>
    <t>$49,183</t>
  </si>
  <si>
    <t>$6,846</t>
  </si>
  <si>
    <t>$109,700</t>
  </si>
  <si>
    <t>$37,012</t>
  </si>
  <si>
    <t>$6,857</t>
  </si>
  <si>
    <t>$99,900</t>
  </si>
  <si>
    <t>$40,075</t>
  </si>
  <si>
    <t>$10,636</t>
  </si>
  <si>
    <t>$131,400</t>
  </si>
  <si>
    <t>$8,302</t>
  </si>
  <si>
    <t>$6,402</t>
  </si>
  <si>
    <t>$121,300</t>
  </si>
  <si>
    <t>$36,614</t>
  </si>
  <si>
    <t>$8,859</t>
  </si>
  <si>
    <t>$30,597</t>
  </si>
  <si>
    <t>$7,577</t>
  </si>
  <si>
    <t>$122,000</t>
  </si>
  <si>
    <t>$27,843</t>
  </si>
  <si>
    <t>$8,273</t>
  </si>
  <si>
    <t>$12,191</t>
  </si>
  <si>
    <t>$5,747</t>
  </si>
  <si>
    <t>$96,900</t>
  </si>
  <si>
    <t>$4,866</t>
  </si>
  <si>
    <t>$30,218</t>
  </si>
  <si>
    <t>$10,565</t>
  </si>
  <si>
    <t>$35,604</t>
  </si>
  <si>
    <t>$6,516</t>
  </si>
  <si>
    <t>$106,000</t>
  </si>
  <si>
    <t>$9,497</t>
  </si>
  <si>
    <t>CUNY, John Jay College of Criminal Justice</t>
  </si>
  <si>
    <t>$9,043</t>
  </si>
  <si>
    <t>$11,622</t>
  </si>
  <si>
    <t>$29,744</t>
  </si>
  <si>
    <t>$9,184</t>
  </si>
  <si>
    <t>$9,421</t>
  </si>
  <si>
    <t>$5,944</t>
  </si>
  <si>
    <t>$95,700</t>
  </si>
  <si>
    <t>$25,279</t>
  </si>
  <si>
    <t>$9,262</t>
  </si>
  <si>
    <t>$36,954</t>
  </si>
  <si>
    <t>$8,643</t>
  </si>
  <si>
    <t>The University of Tennessee-Chattanooga</t>
  </si>
  <si>
    <t>$9,309</t>
  </si>
  <si>
    <t>$6,850</t>
  </si>
  <si>
    <t>$100,800</t>
  </si>
  <si>
    <t>$11,314</t>
  </si>
  <si>
    <t>$7,099</t>
  </si>
  <si>
    <t>$97,200</t>
  </si>
  <si>
    <t>William Paterson University of New Jersey</t>
  </si>
  <si>
    <t>$6,173</t>
  </si>
  <si>
    <t>$108,600</t>
  </si>
  <si>
    <t>$5,431</t>
  </si>
  <si>
    <t>$7,854</t>
  </si>
  <si>
    <t>$131,500</t>
  </si>
  <si>
    <t>$4,450</t>
  </si>
  <si>
    <t>$6,250</t>
  </si>
  <si>
    <t>$29,898</t>
  </si>
  <si>
    <t>$8,860</t>
  </si>
  <si>
    <t>$9,358</t>
  </si>
  <si>
    <t>$12,526</t>
  </si>
  <si>
    <t>$143,100</t>
  </si>
  <si>
    <t>$24,360</t>
  </si>
  <si>
    <t>$12,551</t>
  </si>
  <si>
    <t>$25,359</t>
  </si>
  <si>
    <t>$6,894</t>
  </si>
  <si>
    <t>$25,767</t>
  </si>
  <si>
    <t>$9,965</t>
  </si>
  <si>
    <t>$99,300</t>
  </si>
  <si>
    <t>College of Wooster</t>
  </si>
  <si>
    <t>$42,315</t>
  </si>
  <si>
    <t>$6,703</t>
  </si>
  <si>
    <t>$120,700</t>
  </si>
  <si>
    <t>$4,431</t>
  </si>
  <si>
    <t>$110,700</t>
  </si>
  <si>
    <t>University of Puerto Rico, Mayaguez</t>
  </si>
  <si>
    <t>$8,087</t>
  </si>
  <si>
    <t>$3,472</t>
  </si>
  <si>
    <t>$42,150</t>
  </si>
  <si>
    <t>$8,121</t>
  </si>
  <si>
    <t>$109,500</t>
  </si>
  <si>
    <t>$10,499</t>
  </si>
  <si>
    <t>$5,658</t>
  </si>
  <si>
    <t>$34,710</t>
  </si>
  <si>
    <t>$8,547</t>
  </si>
  <si>
    <t>$126,600</t>
  </si>
  <si>
    <t>$9,755</t>
  </si>
  <si>
    <t>$5,672</t>
  </si>
  <si>
    <t>$110,900</t>
  </si>
  <si>
    <t>$13,123</t>
  </si>
  <si>
    <t>$6,569</t>
  </si>
  <si>
    <t>$101,400</t>
  </si>
  <si>
    <t>$9,871</t>
  </si>
  <si>
    <t>$4,827</t>
  </si>
  <si>
    <t>$101,200</t>
  </si>
  <si>
    <t>$11,246</t>
  </si>
  <si>
    <t>$9,044</t>
  </si>
  <si>
    <t>$107,400</t>
  </si>
  <si>
    <t>Saint Cloud State University</t>
  </si>
  <si>
    <t>$6,042</t>
  </si>
  <si>
    <t>$8,170</t>
  </si>
  <si>
    <t>University of Memphis</t>
  </si>
  <si>
    <t>$9,625</t>
  </si>
  <si>
    <t>$5,886</t>
  </si>
  <si>
    <t>$97,300</t>
  </si>
  <si>
    <t>$36,231</t>
  </si>
  <si>
    <t>$7,796</t>
  </si>
  <si>
    <t>$124,300</t>
  </si>
  <si>
    <t>$38,963</t>
  </si>
  <si>
    <t>$7,761</t>
  </si>
  <si>
    <t>$30,398</t>
  </si>
  <si>
    <t>$6,530</t>
  </si>
  <si>
    <t>$119,200</t>
  </si>
  <si>
    <t>$21,920</t>
  </si>
  <si>
    <t>$9,946</t>
  </si>
  <si>
    <t>$103,600</t>
  </si>
  <si>
    <t>$29,956</t>
  </si>
  <si>
    <t>$9,663</t>
  </si>
  <si>
    <t>North Carolina A&amp;T State University</t>
  </si>
  <si>
    <t>$10,082</t>
  </si>
  <si>
    <t>$6,617</t>
  </si>
  <si>
    <t>University of Florida, Online</t>
  </si>
  <si>
    <t>$6,997</t>
  </si>
  <si>
    <t>$5,756</t>
  </si>
  <si>
    <t>SUNY at Purchase College</t>
  </si>
  <si>
    <t>$10,312</t>
  </si>
  <si>
    <t>$6,613</t>
  </si>
  <si>
    <t>$38,787</t>
  </si>
  <si>
    <t>$8,160</t>
  </si>
  <si>
    <t>$115,500</t>
  </si>
  <si>
    <t>$11,804</t>
  </si>
  <si>
    <t>$10,859</t>
  </si>
  <si>
    <t>SUNY, College of Environmental Science and Forestry</t>
  </si>
  <si>
    <t>$8,713</t>
  </si>
  <si>
    <t>$7,196</t>
  </si>
  <si>
    <t>$27,700</t>
  </si>
  <si>
    <t>$7,750</t>
  </si>
  <si>
    <t>University of Missouri, Saint Louis</t>
  </si>
  <si>
    <t>$12,205</t>
  </si>
  <si>
    <t>$6,118</t>
  </si>
  <si>
    <t>$101,900</t>
  </si>
  <si>
    <t>University of St. Thomas (TX)</t>
  </si>
  <si>
    <t>$23,181</t>
  </si>
  <si>
    <t>$6,194</t>
  </si>
  <si>
    <t>$22,904</t>
  </si>
  <si>
    <t>$8,839</t>
  </si>
  <si>
    <t>University of Wisconsin, La Crosse</t>
  </si>
  <si>
    <t>$3,395</t>
  </si>
  <si>
    <t>$6,861</t>
  </si>
  <si>
    <t>$35,187</t>
  </si>
  <si>
    <t>$8,035</t>
  </si>
  <si>
    <t>$4,489</t>
  </si>
  <si>
    <t>$7,028</t>
  </si>
  <si>
    <t>$34,946</t>
  </si>
  <si>
    <t>$8,033</t>
  </si>
  <si>
    <t>Fairleigh Dickinson University-Florham Campus</t>
  </si>
  <si>
    <t>$28,436</t>
  </si>
  <si>
    <t>$8,747</t>
  </si>
  <si>
    <t>$118,500</t>
  </si>
  <si>
    <t>University of Maryland Global Campus</t>
  </si>
  <si>
    <t>$4,213</t>
  </si>
  <si>
    <t>$6,102</t>
  </si>
  <si>
    <t>$26,800</t>
  </si>
  <si>
    <t>$13,104</t>
  </si>
  <si>
    <t>$37,162</t>
  </si>
  <si>
    <t>$12,115</t>
  </si>
  <si>
    <t>$35,837</t>
  </si>
  <si>
    <t>$7,794</t>
  </si>
  <si>
    <t>$103,500</t>
  </si>
  <si>
    <t>$34,267</t>
  </si>
  <si>
    <t>$7,909</t>
  </si>
  <si>
    <t>$99,400</t>
  </si>
  <si>
    <t>$42,599</t>
  </si>
  <si>
    <t>$9,085</t>
  </si>
  <si>
    <t>$119,000</t>
  </si>
  <si>
    <t>$20,925</t>
  </si>
  <si>
    <t>$7,652</t>
  </si>
  <si>
    <t>$55,298</t>
  </si>
  <si>
    <t>$2,559</t>
  </si>
  <si>
    <t>$81,600</t>
  </si>
  <si>
    <t>$12,577</t>
  </si>
  <si>
    <t>$5,947</t>
  </si>
  <si>
    <t>$112,800</t>
  </si>
  <si>
    <t>$46,725</t>
  </si>
  <si>
    <t>$6,892</t>
  </si>
  <si>
    <t>$105,000</t>
  </si>
  <si>
    <t>$34,632</t>
  </si>
  <si>
    <t>$6,460</t>
  </si>
  <si>
    <t>$135,000</t>
  </si>
  <si>
    <t>$35,683</t>
  </si>
  <si>
    <t>$7,659</t>
  </si>
  <si>
    <t>$5,831</t>
  </si>
  <si>
    <t>$5,693</t>
  </si>
  <si>
    <t>$108,100</t>
  </si>
  <si>
    <t>$33,033</t>
  </si>
  <si>
    <t>$8,486</t>
  </si>
  <si>
    <t>$8,806</t>
  </si>
  <si>
    <t>$6,469</t>
  </si>
  <si>
    <t>$3,070</t>
  </si>
  <si>
    <t>$3,197</t>
  </si>
  <si>
    <t>$101,000</t>
  </si>
  <si>
    <t>$36,606</t>
  </si>
  <si>
    <t>$8,393</t>
  </si>
  <si>
    <t>$107,600</t>
  </si>
  <si>
    <t>$34,736</t>
  </si>
  <si>
    <t>$9,882</t>
  </si>
  <si>
    <t>Concordia University-Wisconsin</t>
  </si>
  <si>
    <t>$23,477</t>
  </si>
  <si>
    <t>$8,213</t>
  </si>
  <si>
    <t>$95,400</t>
  </si>
  <si>
    <t>$13,710</t>
  </si>
  <si>
    <t>$12,966</t>
  </si>
  <si>
    <t>$108,400</t>
  </si>
  <si>
    <t>College of Saint Benedict</t>
  </si>
  <si>
    <t>$37,252</t>
  </si>
  <si>
    <t>$10,148</t>
  </si>
  <si>
    <t>$6,308</t>
  </si>
  <si>
    <t>$7,340</t>
  </si>
  <si>
    <t>$105,200</t>
  </si>
  <si>
    <t>$8,020</t>
  </si>
  <si>
    <t>$14,541</t>
  </si>
  <si>
    <t>$34,706</t>
  </si>
  <si>
    <t>$8,025</t>
  </si>
  <si>
    <t>$112,400</t>
  </si>
  <si>
    <t>$40,089</t>
  </si>
  <si>
    <t>$7,322</t>
  </si>
  <si>
    <t>$126,900</t>
  </si>
  <si>
    <t>$23,816</t>
  </si>
  <si>
    <t>$6,252</t>
  </si>
  <si>
    <t>$112,200</t>
  </si>
  <si>
    <t>$15,181</t>
  </si>
  <si>
    <t>$5,652</t>
  </si>
  <si>
    <t>$113,200</t>
  </si>
  <si>
    <t>$25,538</t>
  </si>
  <si>
    <t>$8,092</t>
  </si>
  <si>
    <t>$114,900</t>
  </si>
  <si>
    <t>$11,773</t>
  </si>
  <si>
    <t>$6,041</t>
  </si>
  <si>
    <t>$34,485</t>
  </si>
  <si>
    <t>$9,443</t>
  </si>
  <si>
    <t>University of Management and Technology</t>
  </si>
  <si>
    <t>Private for-profit</t>
  </si>
  <si>
    <t>$4,050</t>
  </si>
  <si>
    <t>$10,999</t>
  </si>
  <si>
    <t>$8,126</t>
  </si>
  <si>
    <t>$107,200</t>
  </si>
  <si>
    <t>$8,811</t>
  </si>
  <si>
    <t>$6,572</t>
  </si>
  <si>
    <t>$98,500</t>
  </si>
  <si>
    <t>University of North Carolina, Wilmington</t>
  </si>
  <si>
    <t>$6,217</t>
  </si>
  <si>
    <t>$7,110</t>
  </si>
  <si>
    <t>$8,200</t>
  </si>
  <si>
    <t>$9,436</t>
  </si>
  <si>
    <t>$5,999</t>
  </si>
  <si>
    <t>Mount St. Mary's University (MD)</t>
  </si>
  <si>
    <t>$36,155</t>
  </si>
  <si>
    <t>$9,136</t>
  </si>
  <si>
    <t>$21,335</t>
  </si>
  <si>
    <t>$6,386</t>
  </si>
  <si>
    <t>Georgia College &amp; State University</t>
  </si>
  <si>
    <t>$8,610</t>
  </si>
  <si>
    <t>$6,446</t>
  </si>
  <si>
    <t>$93,700</t>
  </si>
  <si>
    <t>University of Puerto Rico-Humacao</t>
  </si>
  <si>
    <t>$7,826</t>
  </si>
  <si>
    <t>$3,333</t>
  </si>
  <si>
    <t>Montana Tech of the University of Montana</t>
  </si>
  <si>
    <t>$5,917</t>
  </si>
  <si>
    <t>$5,686</t>
  </si>
  <si>
    <t>$26,423</t>
  </si>
  <si>
    <t>$8,377</t>
  </si>
  <si>
    <t>$105,900</t>
  </si>
  <si>
    <t>$37,907</t>
  </si>
  <si>
    <t>$7,013</t>
  </si>
  <si>
    <t>$122,700</t>
  </si>
  <si>
    <t>$28,650</t>
  </si>
  <si>
    <t>$2,452</t>
  </si>
  <si>
    <t>$7,544</t>
  </si>
  <si>
    <t>$5,118</t>
  </si>
  <si>
    <t>$100,400</t>
  </si>
  <si>
    <t>$10,260</t>
  </si>
  <si>
    <t>$5,499</t>
  </si>
  <si>
    <t>University of Nebraska, Omaha</t>
  </si>
  <si>
    <t>$8,180</t>
  </si>
  <si>
    <t>$5,904</t>
  </si>
  <si>
    <t>$104,300</t>
  </si>
  <si>
    <t>Molloy College</t>
  </si>
  <si>
    <t>$20,822</t>
  </si>
  <si>
    <t>$7,387</t>
  </si>
  <si>
    <t>$106,100</t>
  </si>
  <si>
    <t>University of Colorado, Denver</t>
  </si>
  <si>
    <t>$9,384</t>
  </si>
  <si>
    <t>$6,942</t>
  </si>
  <si>
    <t>$115,000</t>
  </si>
  <si>
    <t>$30,091</t>
  </si>
  <si>
    <t>$9,101</t>
  </si>
  <si>
    <t>$32,486</t>
  </si>
  <si>
    <t>$7,588</t>
  </si>
  <si>
    <t>$107,500</t>
  </si>
  <si>
    <t>University of Houston, Clear Lake</t>
  </si>
  <si>
    <t>$16,973</t>
  </si>
  <si>
    <t>$5,035</t>
  </si>
  <si>
    <t>$113,800</t>
  </si>
  <si>
    <t>Rank_Forbes</t>
  </si>
  <si>
    <t>State_ab</t>
  </si>
  <si>
    <t>Crime Index ▲</t>
  </si>
  <si>
    <t xml:space="preserve">State </t>
  </si>
  <si>
    <t xml:space="preserve"> Population</t>
  </si>
  <si>
    <t>Republican/lean Rep.</t>
  </si>
  <si>
    <t>No lean</t>
  </si>
  <si>
    <t>Democrat/lean Dem.</t>
  </si>
  <si>
    <t>Sample size</t>
  </si>
  <si>
    <t>state</t>
  </si>
  <si>
    <t>https://worldpopulationreview.com/state-rankings/safest-states</t>
  </si>
  <si>
    <t>https://www.forbes.com/top-colleges/</t>
  </si>
  <si>
    <t>Forbes</t>
  </si>
  <si>
    <t>https://www.4icu.org/us/</t>
  </si>
  <si>
    <t>Top US Universities</t>
  </si>
  <si>
    <t>http://www.usa.com/rank/us--crime-index--state-rank.htm?hl=&amp;hlst=&amp;wist=&amp;yr=&amp;dis=&amp;sb=ASC&amp;plow=&amp;phigh=&amp;ps=</t>
  </si>
  <si>
    <t>Safety Score by States</t>
  </si>
  <si>
    <t>Crime Rate Index by States</t>
  </si>
  <si>
    <t>https://www.pewresearch.org/religious-landscape-study/database/compare/party-affiliation/by/state/</t>
  </si>
  <si>
    <t>Party Affliation by States</t>
  </si>
  <si>
    <t>California Polytechnic State University</t>
  </si>
  <si>
    <t>Stony Brook University, State University of New York</t>
  </si>
  <si>
    <t>Total Score</t>
  </si>
  <si>
    <t>Financial Safety</t>
  </si>
  <si>
    <t>Residential Safety</t>
  </si>
  <si>
    <t>Workplace Safety</t>
  </si>
  <si>
    <t>Road Safety</t>
  </si>
  <si>
    <t>Emergency Preparedness</t>
  </si>
  <si>
    <t>Normailzed Safety Score</t>
  </si>
  <si>
    <t>Normalized Crime Index</t>
  </si>
  <si>
    <t>City</t>
  </si>
  <si>
    <t>Cost of Living Index</t>
  </si>
  <si>
    <t>Normalized Cost of Living</t>
  </si>
  <si>
    <t>Albertville</t>
  </si>
  <si>
    <t>Cullman</t>
  </si>
  <si>
    <t>Dothan</t>
  </si>
  <si>
    <t>Gadsden</t>
  </si>
  <si>
    <t>Anniston</t>
  </si>
  <si>
    <t>Hot Springs</t>
  </si>
  <si>
    <t>Searcy</t>
  </si>
  <si>
    <t>Show Low</t>
  </si>
  <si>
    <t>Lake Havasu City</t>
  </si>
  <si>
    <t>Yuma</t>
  </si>
  <si>
    <t>Sierra Vista</t>
  </si>
  <si>
    <t>Napa</t>
  </si>
  <si>
    <t>Santa Maria</t>
  </si>
  <si>
    <t>Santa Rosa</t>
  </si>
  <si>
    <t>Salinas</t>
  </si>
  <si>
    <t>Truckee</t>
  </si>
  <si>
    <t>Ventura</t>
  </si>
  <si>
    <t>Eureka</t>
  </si>
  <si>
    <t>Modesto</t>
  </si>
  <si>
    <t>Madera</t>
  </si>
  <si>
    <t>Clearlake</t>
  </si>
  <si>
    <t>Yuba City</t>
  </si>
  <si>
    <t>Hanford</t>
  </si>
  <si>
    <t>Visalia</t>
  </si>
  <si>
    <t>El Centro</t>
  </si>
  <si>
    <t>Glenwood Springs</t>
  </si>
  <si>
    <t>Pueblo</t>
  </si>
  <si>
    <t>Stamford</t>
  </si>
  <si>
    <t>Torrington</t>
  </si>
  <si>
    <t>Key West</t>
  </si>
  <si>
    <t>Naples</t>
  </si>
  <si>
    <t>Crestview</t>
  </si>
  <si>
    <t>Port St. Lucie</t>
  </si>
  <si>
    <t>The Villages</t>
  </si>
  <si>
    <t>Punta Gorda</t>
  </si>
  <si>
    <t>Vero Beach</t>
  </si>
  <si>
    <t>Homosassa Springs</t>
  </si>
  <si>
    <t>Sebring</t>
  </si>
  <si>
    <t>Jefferson</t>
  </si>
  <si>
    <t>Hinesville</t>
  </si>
  <si>
    <t>Warner Robins</t>
  </si>
  <si>
    <t>Kapaa</t>
  </si>
  <si>
    <t>Kahului</t>
  </si>
  <si>
    <t>Coeur d'Alene</t>
  </si>
  <si>
    <t>Boise City</t>
  </si>
  <si>
    <t>Idaho Falls</t>
  </si>
  <si>
    <t>Twin Falls</t>
  </si>
  <si>
    <t>Kankakee</t>
  </si>
  <si>
    <t>Ottawa</t>
  </si>
  <si>
    <t>Warsaw</t>
  </si>
  <si>
    <t>Elkhart</t>
  </si>
  <si>
    <t>Michigan City</t>
  </si>
  <si>
    <t>South Bend</t>
  </si>
  <si>
    <t>Hutchinson</t>
  </si>
  <si>
    <t>Paducah</t>
  </si>
  <si>
    <t>London</t>
  </si>
  <si>
    <t>Houma</t>
  </si>
  <si>
    <t>Opelousas</t>
  </si>
  <si>
    <t>Barnstable Town</t>
  </si>
  <si>
    <t>Pittsfield</t>
  </si>
  <si>
    <t>Greenfield Town</t>
  </si>
  <si>
    <t>Hagerstown</t>
  </si>
  <si>
    <t>Cumberland</t>
  </si>
  <si>
    <t>Traverse City</t>
  </si>
  <si>
    <t>Niles</t>
  </si>
  <si>
    <t>Muskegon</t>
  </si>
  <si>
    <t>Battle Creek</t>
  </si>
  <si>
    <t>Duluth</t>
  </si>
  <si>
    <t>Branson</t>
  </si>
  <si>
    <t>Tupelo</t>
  </si>
  <si>
    <t>Gulfport</t>
  </si>
  <si>
    <t>Meridian</t>
  </si>
  <si>
    <t>Kalispell</t>
  </si>
  <si>
    <t>Morehead City</t>
  </si>
  <si>
    <t>Dunn</t>
  </si>
  <si>
    <t>North Wilkesboro</t>
  </si>
  <si>
    <t>New Bern</t>
  </si>
  <si>
    <t>Mount Airy</t>
  </si>
  <si>
    <t>Goldsboro</t>
  </si>
  <si>
    <t>Rocky Mount</t>
  </si>
  <si>
    <t>Shelby</t>
  </si>
  <si>
    <t>Lumberton</t>
  </si>
  <si>
    <t>Roanoke Rapids</t>
  </si>
  <si>
    <t>Grand Island</t>
  </si>
  <si>
    <t>Ocean City</t>
  </si>
  <si>
    <t>Atlantic City</t>
  </si>
  <si>
    <t>Vineland</t>
  </si>
  <si>
    <t>Gallup</t>
  </si>
  <si>
    <t>Roswell</t>
  </si>
  <si>
    <t>Alamogordo</t>
  </si>
  <si>
    <t>Glens Falls</t>
  </si>
  <si>
    <t>Plattsburgh</t>
  </si>
  <si>
    <t>Binghamton</t>
  </si>
  <si>
    <t>Corning</t>
  </si>
  <si>
    <t>Olean</t>
  </si>
  <si>
    <t>Ogdensburg</t>
  </si>
  <si>
    <t>Sandusky</t>
  </si>
  <si>
    <t>New Philadelphia</t>
  </si>
  <si>
    <t>Zanesville</t>
  </si>
  <si>
    <t>Ashtabula</t>
  </si>
  <si>
    <t>Enid</t>
  </si>
  <si>
    <t>Lawton</t>
  </si>
  <si>
    <t>Bend</t>
  </si>
  <si>
    <t>Grants Pass</t>
  </si>
  <si>
    <t>Coos Bay</t>
  </si>
  <si>
    <t>Roseburg</t>
  </si>
  <si>
    <t>Hermiston</t>
  </si>
  <si>
    <t>State College</t>
  </si>
  <si>
    <t>Altoona</t>
  </si>
  <si>
    <t>Somerset</t>
  </si>
  <si>
    <t>Sunbury</t>
  </si>
  <si>
    <t>DuBois</t>
  </si>
  <si>
    <t>New Castle</t>
  </si>
  <si>
    <t>Johnstown</t>
  </si>
  <si>
    <t>Pottsville</t>
  </si>
  <si>
    <t>Hilton Head Island</t>
  </si>
  <si>
    <t>Myrtle Beach</t>
  </si>
  <si>
    <t>Seneca</t>
  </si>
  <si>
    <t>Sevierville</t>
  </si>
  <si>
    <t>Tullahoma</t>
  </si>
  <si>
    <t>Kingsport</t>
  </si>
  <si>
    <t>Killeen</t>
  </si>
  <si>
    <t>Amarillo</t>
  </si>
  <si>
    <t>Lufkin</t>
  </si>
  <si>
    <t>Brownsville</t>
  </si>
  <si>
    <t>Martinsville</t>
  </si>
  <si>
    <t>Oak Harbor</t>
  </si>
  <si>
    <t>Bremerton</t>
  </si>
  <si>
    <t>Shelton</t>
  </si>
  <si>
    <t>Port Angeles</t>
  </si>
  <si>
    <t>Wenatchee</t>
  </si>
  <si>
    <t>Kennewick</t>
  </si>
  <si>
    <t>Yakima</t>
  </si>
  <si>
    <t>Moses Lake</t>
  </si>
  <si>
    <t>Beaver Dam</t>
  </si>
  <si>
    <t>Racine</t>
  </si>
  <si>
    <t>Janesville</t>
  </si>
  <si>
    <t>Sheboygan</t>
  </si>
  <si>
    <t>Wausau</t>
  </si>
  <si>
    <t>Manitowoc</t>
  </si>
  <si>
    <t>Wisconsin Rapids</t>
  </si>
  <si>
    <t>Marinette</t>
  </si>
  <si>
    <t>Clarksburg</t>
  </si>
  <si>
    <t>Weirton</t>
  </si>
  <si>
    <t>Beckley</t>
  </si>
  <si>
    <t>Cheyenne</t>
  </si>
  <si>
    <t>Casper</t>
  </si>
  <si>
    <t>Cost of Living</t>
  </si>
  <si>
    <t>https://www.bestplaces.net/cost-of-living/</t>
  </si>
  <si>
    <t>Average 10 year Median Salary</t>
  </si>
  <si>
    <t>$143,000</t>
  </si>
  <si>
    <t>Average Grant Aid (ALL)</t>
  </si>
  <si>
    <t>Average Debt (All)</t>
  </si>
  <si>
    <t>Row Labels</t>
  </si>
  <si>
    <t>Crime Rate</t>
  </si>
  <si>
    <t>Safety Score</t>
  </si>
  <si>
    <t>Democrat Lean</t>
  </si>
  <si>
    <t>No Lean</t>
  </si>
  <si>
    <t>Republican Lean</t>
  </si>
  <si>
    <t>Safety Scores</t>
  </si>
  <si>
    <t>Crime Rate Index</t>
  </si>
  <si>
    <t>Republican</t>
  </si>
  <si>
    <t>Not Taking Sides</t>
  </si>
  <si>
    <t>Democrats</t>
  </si>
  <si>
    <t>Normalized Cost of Living Index</t>
  </si>
  <si>
    <t>Normalized Crime Rate Index</t>
  </si>
  <si>
    <t>Normalized Safety Score</t>
  </si>
  <si>
    <t>Overall Score</t>
  </si>
  <si>
    <t>Weightage</t>
  </si>
  <si>
    <t xml:space="preserve">Stanford </t>
  </si>
  <si>
    <t>1st Choice:</t>
  </si>
  <si>
    <t>2nd Choice:</t>
  </si>
  <si>
    <t>3rd Choice:</t>
  </si>
  <si>
    <t>4th Choice:</t>
  </si>
  <si>
    <t>5th Choice:</t>
  </si>
  <si>
    <t>Vivek Vikram Singh</t>
  </si>
  <si>
    <t>Prathna Bhanushali</t>
  </si>
  <si>
    <t>Ayush Kanungo</t>
  </si>
  <si>
    <t>Group 8</t>
  </si>
  <si>
    <t>Datasets From</t>
  </si>
  <si>
    <t>Topic -Top Student-Friendly Cities in the USA for Those Attending Top 100 Universities</t>
  </si>
  <si>
    <t>How to Navigate and Use Our Dashboard Effectively</t>
  </si>
  <si>
    <t>Paste video link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</si>
</sst>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quot;₹&quot;#,##0.00"/>
    <numFmt numFmtId="165" formatCode="&quot;$&quot;#,##0"/>
    <numFmt numFmtId="166" formatCode="0.000_);[Red]\(0.000\)"/>
    <numFmt numFmtId="167" formatCode="0.00_);[Red]\(0.00\)"/>
    <numFmt numFmtId="168" formatCode="0.000_);\(0.000\)"/>
    <numFmt numFmtId="169" formatCode="0.0"/>
    <numFmt numFmtId="170" formatCode="[$$-409]#,##0_);[Red]\([$$-409]#,##0\)"/>
    <numFmt numFmtId="171" formatCode="[$$-409]#,##0"/>
    <numFmt numFmtId="172" formatCode="0.000"/>
  </numFmts>
  <fonts count="27">
    <font>
      <sz val="11"/>
      <color theme="1"/>
      <name val="Calibri"/>
      <family val="2"/>
      <scheme val="minor"/>
    </font>
    <font>
      <b/>
      <sz val="11"/>
      <color rgb="FF000000"/>
      <name val="Calibri"/>
      <family val="2"/>
      <scheme val="minor"/>
    </font>
    <font>
      <sz val="11"/>
      <color rgb="FF000000"/>
      <name val="Calibri"/>
      <family val="2"/>
      <scheme val="minor"/>
    </font>
    <font>
      <sz val="12"/>
      <color rgb="FF000000"/>
      <name val="Graphik"/>
    </font>
    <font>
      <sz val="12"/>
      <color rgb="FF000000"/>
      <name val="Graphik"/>
    </font>
    <font>
      <u/>
      <sz val="11"/>
      <color theme="10"/>
      <name val="Calibri"/>
      <family val="2"/>
      <scheme val="minor"/>
    </font>
    <font>
      <sz val="8"/>
      <name val="Calibri"/>
      <family val="2"/>
      <scheme val="minor"/>
    </font>
    <font>
      <sz val="12"/>
      <color theme="1"/>
      <name val="Arial"/>
      <family val="2"/>
    </font>
    <font>
      <b/>
      <sz val="12"/>
      <color theme="1"/>
      <name val="Arial"/>
      <family val="2"/>
    </font>
    <font>
      <b/>
      <sz val="11"/>
      <color rgb="FF2A2A2A"/>
      <name val="Var(--wp--preset--font-family--"/>
    </font>
    <font>
      <sz val="11"/>
      <color rgb="FF2A2A2A"/>
      <name val="Var(--wp--preset--font-family--"/>
    </font>
    <font>
      <sz val="10"/>
      <color theme="1"/>
      <name val="Arial"/>
      <family val="2"/>
    </font>
    <font>
      <sz val="14"/>
      <color theme="1"/>
      <name val="Albanny AMT"/>
    </font>
    <font>
      <sz val="14"/>
      <color rgb="FF404040"/>
      <name val="Albanny AMT"/>
    </font>
    <font>
      <sz val="11"/>
      <color theme="1"/>
      <name val="Calibri"/>
      <family val="2"/>
      <scheme val="minor"/>
    </font>
    <font>
      <b/>
      <sz val="10"/>
      <color theme="0"/>
      <name val="Arial"/>
      <family val="2"/>
    </font>
    <font>
      <i/>
      <sz val="11"/>
      <color theme="1"/>
      <name val="Calibri"/>
      <family val="2"/>
      <scheme val="minor"/>
    </font>
    <font>
      <b/>
      <sz val="20"/>
      <color theme="1"/>
      <name val="Calibri"/>
      <family val="2"/>
      <scheme val="minor"/>
    </font>
    <font>
      <b/>
      <sz val="20"/>
      <color theme="0"/>
      <name val="Calibri"/>
      <family val="2"/>
      <scheme val="minor"/>
    </font>
    <font>
      <sz val="11"/>
      <color theme="0"/>
      <name val="Calibri"/>
      <family val="2"/>
      <scheme val="minor"/>
    </font>
    <font>
      <sz val="11"/>
      <name val="Georgia Pro Black"/>
      <family val="1"/>
    </font>
    <font>
      <b/>
      <sz val="11"/>
      <color theme="4"/>
      <name val="Calibri"/>
      <family val="2"/>
      <scheme val="minor"/>
    </font>
    <font>
      <b/>
      <sz val="14"/>
      <color theme="0"/>
      <name val="Calibri"/>
      <family val="2"/>
      <scheme val="minor"/>
    </font>
    <font>
      <b/>
      <sz val="14"/>
      <color theme="3"/>
      <name val="Calibri"/>
      <family val="2"/>
      <scheme val="minor"/>
    </font>
    <font>
      <sz val="14"/>
      <color theme="3"/>
      <name val="Calibri"/>
      <family val="2"/>
      <scheme val="minor"/>
    </font>
    <font>
      <b/>
      <sz val="11"/>
      <color theme="1"/>
      <name val="Calibri"/>
      <family val="2"/>
      <scheme val="minor"/>
    </font>
    <font>
      <b/>
      <sz val="15"/>
      <color theme="1"/>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4" tint="0.79998168889431442"/>
        <bgColor indexed="65"/>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4" tint="-0.499984740745262"/>
        <bgColor indexed="64"/>
      </patternFill>
    </fill>
    <fill>
      <patternFill patternType="solid">
        <fgColor theme="7" tint="-0.249977111117893"/>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3"/>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slantDashDot">
        <color indexed="64"/>
      </left>
      <right style="slantDashDot">
        <color theme="1" tint="0.499984740745262"/>
      </right>
      <top style="slantDashDot">
        <color indexed="64"/>
      </top>
      <bottom style="slantDashDot">
        <color theme="1" tint="0.499984740745262"/>
      </bottom>
      <diagonal/>
    </border>
    <border>
      <left style="slantDashDot">
        <color theme="1" tint="0.499984740745262"/>
      </left>
      <right style="slantDashDot">
        <color theme="1" tint="0.499984740745262"/>
      </right>
      <top style="slantDashDot">
        <color indexed="64"/>
      </top>
      <bottom style="slantDashDot">
        <color theme="1" tint="0.499984740745262"/>
      </bottom>
      <diagonal/>
    </border>
    <border>
      <left style="slantDashDot">
        <color theme="1" tint="0.499984740745262"/>
      </left>
      <right style="slantDashDot">
        <color indexed="64"/>
      </right>
      <top style="slantDashDot">
        <color indexed="64"/>
      </top>
      <bottom style="slantDashDot">
        <color theme="1" tint="0.499984740745262"/>
      </bottom>
      <diagonal/>
    </border>
    <border>
      <left style="slantDashDot">
        <color indexed="64"/>
      </left>
      <right style="slantDashDot">
        <color theme="1" tint="0.499984740745262"/>
      </right>
      <top style="slantDashDot">
        <color theme="1" tint="0.499984740745262"/>
      </top>
      <bottom style="slantDashDot">
        <color theme="1" tint="0.499984740745262"/>
      </bottom>
      <diagonal/>
    </border>
    <border>
      <left style="slantDashDot">
        <color theme="1" tint="0.499984740745262"/>
      </left>
      <right style="slantDashDot">
        <color theme="1" tint="0.499984740745262"/>
      </right>
      <top style="slantDashDot">
        <color theme="1" tint="0.499984740745262"/>
      </top>
      <bottom style="slantDashDot">
        <color theme="1" tint="0.499984740745262"/>
      </bottom>
      <diagonal/>
    </border>
    <border>
      <left style="slantDashDot">
        <color theme="1" tint="0.499984740745262"/>
      </left>
      <right style="slantDashDot">
        <color indexed="64"/>
      </right>
      <top style="slantDashDot">
        <color theme="1" tint="0.499984740745262"/>
      </top>
      <bottom style="slantDashDot">
        <color theme="1" tint="0.499984740745262"/>
      </bottom>
      <diagonal/>
    </border>
    <border>
      <left style="slantDashDot">
        <color theme="1" tint="0.499984740745262"/>
      </left>
      <right style="slantDashDot">
        <color theme="1" tint="0.499984740745262"/>
      </right>
      <top style="slantDashDot">
        <color theme="1" tint="0.499984740745262"/>
      </top>
      <bottom style="slantDashDot">
        <color indexed="64"/>
      </bottom>
      <diagonal/>
    </border>
    <border>
      <left style="slantDashDot">
        <color theme="1" tint="0.499984740745262"/>
      </left>
      <right style="slantDashDot">
        <color indexed="64"/>
      </right>
      <top style="slantDashDot">
        <color theme="1" tint="0.499984740745262"/>
      </top>
      <bottom style="slantDashDot">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dashDotDot">
        <color indexed="64"/>
      </left>
      <right/>
      <top style="dashDotDot">
        <color indexed="64"/>
      </top>
      <bottom/>
      <diagonal/>
    </border>
    <border>
      <left/>
      <right/>
      <top style="dashDotDot">
        <color indexed="64"/>
      </top>
      <bottom/>
      <diagonal/>
    </border>
    <border>
      <left/>
      <right style="dashDotDot">
        <color indexed="64"/>
      </right>
      <top style="dashDotDot">
        <color indexed="64"/>
      </top>
      <bottom/>
      <diagonal/>
    </border>
    <border>
      <left style="dashDotDot">
        <color indexed="64"/>
      </left>
      <right/>
      <top/>
      <bottom/>
      <diagonal/>
    </border>
    <border>
      <left/>
      <right style="dashDotDot">
        <color indexed="64"/>
      </right>
      <top/>
      <bottom/>
      <diagonal/>
    </border>
    <border>
      <left style="dashDotDot">
        <color indexed="64"/>
      </left>
      <right/>
      <top/>
      <bottom style="dashDotDot">
        <color indexed="64"/>
      </bottom>
      <diagonal/>
    </border>
    <border>
      <left/>
      <right/>
      <top/>
      <bottom style="dashDotDot">
        <color indexed="64"/>
      </bottom>
      <diagonal/>
    </border>
    <border>
      <left/>
      <right style="dashDotDot">
        <color indexed="64"/>
      </right>
      <top/>
      <bottom style="dashDotDot">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5" fillId="0" borderId="0" applyNumberFormat="0" applyFill="0" applyBorder="0" applyAlignment="0" applyProtection="0"/>
    <xf numFmtId="9" fontId="14" fillId="0" borderId="0" applyFont="0" applyFill="0" applyBorder="0" applyAlignment="0" applyProtection="0"/>
    <xf numFmtId="0" fontId="14" fillId="3" borderId="0" applyNumberFormat="0" applyBorder="0" applyAlignment="0" applyProtection="0"/>
    <xf numFmtId="0" fontId="19"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cellStyleXfs>
  <cellXfs count="125">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1"/>
    <xf numFmtId="164" fontId="0" fillId="0" borderId="0" xfId="0" applyNumberFormat="1"/>
    <xf numFmtId="3" fontId="0" fillId="0" borderId="0" xfId="0" applyNumberFormat="1"/>
    <xf numFmtId="1" fontId="4" fillId="0" borderId="0" xfId="0" applyNumberFormat="1" applyFont="1"/>
    <xf numFmtId="1" fontId="0" fillId="0" borderId="0" xfId="0" applyNumberFormat="1"/>
    <xf numFmtId="49" fontId="2" fillId="0" borderId="0" xfId="0" applyNumberFormat="1" applyFont="1"/>
    <xf numFmtId="49" fontId="3" fillId="0" borderId="0" xfId="0" applyNumberFormat="1" applyFont="1"/>
    <xf numFmtId="49" fontId="4" fillId="0" borderId="0" xfId="0" applyNumberFormat="1" applyFont="1"/>
    <xf numFmtId="49" fontId="0" fillId="0" borderId="0" xfId="0" applyNumberFormat="1"/>
    <xf numFmtId="38" fontId="3" fillId="0" borderId="0" xfId="0" applyNumberFormat="1" applyFont="1"/>
    <xf numFmtId="38" fontId="4" fillId="0" borderId="0" xfId="0" applyNumberFormat="1" applyFont="1"/>
    <xf numFmtId="38" fontId="0" fillId="0" borderId="0" xfId="0" applyNumberFormat="1"/>
    <xf numFmtId="49" fontId="4" fillId="0" borderId="0" xfId="0" applyNumberFormat="1" applyFont="1">
      <extLst>
        <ext xmlns:xfpb="http://schemas.microsoft.com/office/spreadsheetml/2022/featurepropertybag" uri="{C7286773-470A-42A8-94C5-96B5CB345126}">
          <xfpb:xfComplement i="0"/>
        </ext>
      </extLst>
    </xf>
    <xf numFmtId="0" fontId="8" fillId="0" borderId="0" xfId="0" applyFont="1"/>
    <xf numFmtId="0" fontId="7" fillId="0" borderId="0" xfId="0" applyFont="1"/>
    <xf numFmtId="3" fontId="7" fillId="0" borderId="0" xfId="0" applyNumberFormat="1" applyFont="1"/>
    <xf numFmtId="0" fontId="9" fillId="0" borderId="0" xfId="0" applyFont="1"/>
    <xf numFmtId="0" fontId="10" fillId="0" borderId="0" xfId="0" applyFont="1"/>
    <xf numFmtId="9" fontId="10" fillId="0" borderId="0" xfId="0" applyNumberFormat="1" applyFont="1"/>
    <xf numFmtId="3" fontId="10" fillId="0" borderId="0" xfId="0" applyNumberFormat="1" applyFont="1"/>
    <xf numFmtId="0" fontId="11" fillId="0" borderId="0" xfId="0" applyFont="1"/>
    <xf numFmtId="1" fontId="3" fillId="0" borderId="0" xfId="0" applyNumberFormat="1" applyFont="1"/>
    <xf numFmtId="165" fontId="3" fillId="0" borderId="0" xfId="0" applyNumberFormat="1" applyFont="1"/>
    <xf numFmtId="165" fontId="4" fillId="0" borderId="0" xfId="0" applyNumberFormat="1" applyFont="1"/>
    <xf numFmtId="165" fontId="0" fillId="0" borderId="0" xfId="0" applyNumberFormat="1"/>
    <xf numFmtId="165" fontId="1" fillId="0" borderId="0" xfId="0" applyNumberFormat="1" applyFont="1"/>
    <xf numFmtId="165" fontId="2" fillId="0" borderId="0" xfId="0" applyNumberFormat="1" applyFont="1"/>
    <xf numFmtId="166" fontId="11" fillId="0" borderId="0" xfId="0" applyNumberFormat="1" applyFont="1"/>
    <xf numFmtId="166" fontId="0" fillId="0" borderId="0" xfId="0" applyNumberFormat="1"/>
    <xf numFmtId="0" fontId="12" fillId="0" borderId="0" xfId="0" applyFont="1"/>
    <xf numFmtId="167" fontId="12" fillId="0" borderId="0" xfId="0" applyNumberFormat="1" applyFont="1"/>
    <xf numFmtId="0" fontId="13" fillId="0" borderId="0" xfId="0" applyFont="1"/>
    <xf numFmtId="167" fontId="13" fillId="0" borderId="0" xfId="0" applyNumberFormat="1" applyFont="1"/>
    <xf numFmtId="168" fontId="12" fillId="0" borderId="0" xfId="0" applyNumberFormat="1" applyFont="1"/>
    <xf numFmtId="168" fontId="13" fillId="0" borderId="0" xfId="0" applyNumberFormat="1" applyFont="1"/>
    <xf numFmtId="169" fontId="1" fillId="0" borderId="0" xfId="0" applyNumberFormat="1" applyFont="1"/>
    <xf numFmtId="169" fontId="2" fillId="0" borderId="0" xfId="0" applyNumberFormat="1" applyFont="1"/>
    <xf numFmtId="169" fontId="0" fillId="0" borderId="0" xfId="0" applyNumberFormat="1"/>
    <xf numFmtId="0" fontId="1" fillId="2" borderId="11" xfId="0" applyFont="1" applyFill="1" applyBorder="1" applyAlignment="1">
      <alignment horizontal="center" vertical="center"/>
    </xf>
    <xf numFmtId="0" fontId="0" fillId="0" borderId="0" xfId="0" applyAlignment="1">
      <alignment wrapText="1"/>
    </xf>
    <xf numFmtId="165" fontId="2" fillId="0" borderId="0" xfId="0" applyNumberFormat="1" applyFont="1" applyAlignment="1">
      <alignment horizontal="right"/>
    </xf>
    <xf numFmtId="171" fontId="0" fillId="0" borderId="0" xfId="0" applyNumberFormat="1"/>
    <xf numFmtId="0" fontId="1" fillId="2" borderId="0" xfId="0" applyFont="1" applyFill="1" applyAlignment="1">
      <alignment horizontal="center" vertical="center"/>
    </xf>
    <xf numFmtId="0" fontId="0" fillId="0" borderId="0" xfId="0" pivotButton="1"/>
    <xf numFmtId="0" fontId="0" fillId="0" borderId="0" xfId="0" applyAlignment="1">
      <alignment horizontal="left"/>
    </xf>
    <xf numFmtId="0" fontId="15" fillId="5" borderId="16" xfId="0" applyFont="1" applyFill="1" applyBorder="1"/>
    <xf numFmtId="0" fontId="15" fillId="5" borderId="17" xfId="0" applyFont="1" applyFill="1" applyBorder="1"/>
    <xf numFmtId="0" fontId="11" fillId="6" borderId="18" xfId="0" applyFont="1" applyFill="1" applyBorder="1"/>
    <xf numFmtId="0" fontId="11" fillId="6" borderId="19" xfId="0" applyFont="1" applyFill="1" applyBorder="1"/>
    <xf numFmtId="0" fontId="11" fillId="4" borderId="18" xfId="0" applyFont="1" applyFill="1" applyBorder="1"/>
    <xf numFmtId="0" fontId="11" fillId="4" borderId="19" xfId="0" applyFont="1" applyFill="1" applyBorder="1"/>
    <xf numFmtId="0" fontId="11" fillId="4" borderId="20" xfId="0" applyFont="1" applyFill="1" applyBorder="1"/>
    <xf numFmtId="0" fontId="11" fillId="4" borderId="21" xfId="0" applyFont="1" applyFill="1" applyBorder="1"/>
    <xf numFmtId="9" fontId="11" fillId="6" borderId="19" xfId="2" applyFont="1" applyFill="1" applyBorder="1"/>
    <xf numFmtId="9" fontId="11" fillId="4" borderId="19" xfId="2" applyFont="1" applyFill="1" applyBorder="1"/>
    <xf numFmtId="9" fontId="11" fillId="4" borderId="21" xfId="2" applyFont="1" applyFill="1" applyBorder="1"/>
    <xf numFmtId="9" fontId="0" fillId="0" borderId="0" xfId="0" applyNumberFormat="1"/>
    <xf numFmtId="172" fontId="1" fillId="0" borderId="0" xfId="0" applyNumberFormat="1" applyFont="1"/>
    <xf numFmtId="172" fontId="2" fillId="0" borderId="0" xfId="0" applyNumberFormat="1" applyFont="1"/>
    <xf numFmtId="172" fontId="0" fillId="0" borderId="0" xfId="0" applyNumberFormat="1"/>
    <xf numFmtId="0" fontId="16" fillId="0" borderId="22" xfId="0" applyFont="1" applyBorder="1"/>
    <xf numFmtId="9" fontId="16" fillId="0" borderId="22" xfId="0" applyNumberFormat="1" applyFont="1" applyBorder="1"/>
    <xf numFmtId="0" fontId="21" fillId="0" borderId="22" xfId="0" applyFont="1" applyBorder="1" applyAlignment="1">
      <alignment horizontal="center" vertical="center"/>
    </xf>
    <xf numFmtId="0" fontId="22" fillId="12" borderId="8" xfId="0" applyFont="1" applyFill="1" applyBorder="1" applyAlignment="1">
      <alignment horizontal="center" vertical="center"/>
    </xf>
    <xf numFmtId="0" fontId="22" fillId="12" borderId="11" xfId="0" applyFont="1" applyFill="1" applyBorder="1" applyAlignment="1">
      <alignment horizontal="center" vertical="center"/>
    </xf>
    <xf numFmtId="0" fontId="23" fillId="0" borderId="9" xfId="0" applyFont="1" applyBorder="1" applyAlignment="1">
      <alignment horizontal="center" vertical="center"/>
    </xf>
    <xf numFmtId="0" fontId="23" fillId="0" borderId="10" xfId="0" applyFont="1" applyBorder="1" applyAlignment="1">
      <alignment horizontal="center" vertical="center"/>
    </xf>
    <xf numFmtId="0" fontId="23" fillId="0" borderId="12" xfId="0" applyFont="1" applyBorder="1" applyAlignment="1">
      <alignment horizontal="center" vertical="center" wrapText="1"/>
    </xf>
    <xf numFmtId="0" fontId="23" fillId="0" borderId="13" xfId="0" applyFont="1" applyBorder="1" applyAlignment="1">
      <alignment horizontal="center" vertical="center" wrapText="1"/>
    </xf>
    <xf numFmtId="0" fontId="24" fillId="0" borderId="12" xfId="0" applyFont="1" applyBorder="1" applyAlignment="1">
      <alignment horizontal="center" vertical="center"/>
    </xf>
    <xf numFmtId="0" fontId="24" fillId="0" borderId="13" xfId="0" applyFont="1" applyBorder="1" applyAlignment="1">
      <alignment horizontal="center" vertical="center"/>
    </xf>
    <xf numFmtId="170" fontId="24" fillId="0" borderId="12" xfId="0" applyNumberFormat="1" applyFont="1" applyBorder="1" applyAlignment="1">
      <alignment horizontal="center" vertical="center"/>
    </xf>
    <xf numFmtId="170" fontId="24" fillId="0" borderId="13" xfId="0" applyNumberFormat="1" applyFont="1" applyBorder="1" applyAlignment="1">
      <alignment horizontal="center" vertical="center"/>
    </xf>
    <xf numFmtId="0" fontId="24" fillId="0" borderId="14" xfId="0" applyFont="1" applyBorder="1" applyAlignment="1">
      <alignment horizontal="center" vertical="center"/>
    </xf>
    <xf numFmtId="0" fontId="24" fillId="0" borderId="15" xfId="0" applyFont="1" applyBorder="1" applyAlignment="1">
      <alignment horizontal="center" vertical="center"/>
    </xf>
    <xf numFmtId="0" fontId="26" fillId="0" borderId="22" xfId="0" applyFont="1" applyBorder="1" applyAlignment="1">
      <alignment vertical="center" wrapText="1"/>
    </xf>
    <xf numFmtId="0" fontId="25" fillId="0" borderId="22" xfId="0" applyFont="1" applyBorder="1"/>
    <xf numFmtId="0" fontId="0" fillId="0" borderId="0" xfId="0" applyAlignment="1">
      <alignment vertical="center" wrapText="1"/>
    </xf>
    <xf numFmtId="0" fontId="25" fillId="0" borderId="0" xfId="0" applyFont="1"/>
    <xf numFmtId="0" fontId="5" fillId="0" borderId="22" xfId="1" applyBorder="1"/>
    <xf numFmtId="0" fontId="26" fillId="0" borderId="0" xfId="0" applyFont="1"/>
    <xf numFmtId="0" fontId="26" fillId="0" borderId="22" xfId="0" applyFont="1" applyBorder="1"/>
    <xf numFmtId="0" fontId="26" fillId="0" borderId="39" xfId="0" applyFont="1" applyBorder="1"/>
    <xf numFmtId="0" fontId="0" fillId="10" borderId="1" xfId="0" applyFill="1" applyBorder="1" applyAlignment="1">
      <alignment horizontal="center"/>
    </xf>
    <xf numFmtId="0" fontId="0" fillId="10" borderId="4" xfId="0" applyFill="1" applyBorder="1" applyAlignment="1">
      <alignment horizontal="center"/>
    </xf>
    <xf numFmtId="0" fontId="0" fillId="10" borderId="38" xfId="0" applyFill="1" applyBorder="1" applyAlignment="1">
      <alignment horizontal="center"/>
    </xf>
    <xf numFmtId="0" fontId="0" fillId="10" borderId="2" xfId="0" applyFill="1" applyBorder="1" applyAlignment="1">
      <alignment horizontal="center"/>
    </xf>
    <xf numFmtId="0" fontId="0" fillId="10" borderId="0" xfId="0" applyFill="1" applyAlignment="1">
      <alignment horizontal="center"/>
    </xf>
    <xf numFmtId="0" fontId="0" fillId="10" borderId="6" xfId="0" applyFill="1" applyBorder="1" applyAlignment="1">
      <alignment horizontal="center"/>
    </xf>
    <xf numFmtId="0" fontId="0" fillId="10" borderId="3" xfId="0" applyFill="1" applyBorder="1" applyAlignment="1">
      <alignment horizontal="center"/>
    </xf>
    <xf numFmtId="0" fontId="0" fillId="10" borderId="5" xfId="0" applyFill="1" applyBorder="1" applyAlignment="1">
      <alignment horizontal="center"/>
    </xf>
    <xf numFmtId="0" fontId="21" fillId="0" borderId="22" xfId="4" applyFont="1" applyFill="1" applyBorder="1" applyAlignment="1">
      <alignment horizontal="center"/>
    </xf>
    <xf numFmtId="0" fontId="21" fillId="0" borderId="22" xfId="6" applyFont="1" applyFill="1" applyBorder="1" applyAlignment="1">
      <alignment horizontal="center"/>
    </xf>
    <xf numFmtId="0" fontId="21" fillId="0" borderId="22" xfId="5" applyFont="1" applyFill="1" applyBorder="1" applyAlignment="1">
      <alignment horizontal="center"/>
    </xf>
    <xf numFmtId="0" fontId="21" fillId="0" borderId="22" xfId="3" applyFont="1" applyFill="1" applyBorder="1" applyAlignment="1">
      <alignment horizontal="center"/>
    </xf>
    <xf numFmtId="0" fontId="0" fillId="11" borderId="22" xfId="0" applyFill="1" applyBorder="1" applyAlignment="1">
      <alignment horizontal="center"/>
    </xf>
    <xf numFmtId="0" fontId="21" fillId="0" borderId="34" xfId="0" applyFont="1" applyBorder="1" applyAlignment="1">
      <alignment horizontal="center"/>
    </xf>
    <xf numFmtId="0" fontId="21" fillId="0" borderId="0" xfId="0" applyFont="1" applyAlignment="1">
      <alignment horizontal="center"/>
    </xf>
    <xf numFmtId="0" fontId="21" fillId="0" borderId="35" xfId="0" applyFont="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0" fillId="10" borderId="7" xfId="0" applyFill="1" applyBorder="1" applyAlignment="1">
      <alignment horizontal="center"/>
    </xf>
    <xf numFmtId="0" fontId="16" fillId="0" borderId="22" xfId="0" applyFont="1" applyBorder="1" applyAlignment="1">
      <alignment horizontal="center"/>
    </xf>
    <xf numFmtId="172" fontId="17" fillId="0" borderId="23" xfId="0" applyNumberFormat="1" applyFont="1" applyBorder="1" applyAlignment="1">
      <alignment horizontal="center"/>
    </xf>
    <xf numFmtId="0" fontId="20" fillId="13" borderId="27" xfId="3" applyFont="1" applyFill="1" applyBorder="1" applyAlignment="1">
      <alignment horizontal="center" vertical="center"/>
    </xf>
    <xf numFmtId="0" fontId="20" fillId="13" borderId="28" xfId="3" applyFont="1" applyFill="1" applyBorder="1" applyAlignment="1">
      <alignment horizontal="center" vertical="center"/>
    </xf>
    <xf numFmtId="0" fontId="20" fillId="13" borderId="29" xfId="3" applyFont="1" applyFill="1" applyBorder="1" applyAlignment="1">
      <alignment horizontal="center" vertical="center"/>
    </xf>
    <xf numFmtId="0" fontId="20" fillId="13" borderId="31" xfId="3" applyFont="1" applyFill="1" applyBorder="1" applyAlignment="1">
      <alignment horizontal="center" vertical="center"/>
    </xf>
    <xf numFmtId="9" fontId="20" fillId="13" borderId="0" xfId="3" applyNumberFormat="1" applyFont="1" applyFill="1" applyBorder="1" applyAlignment="1">
      <alignment horizontal="center" vertical="center"/>
    </xf>
    <xf numFmtId="0" fontId="20" fillId="13" borderId="30" xfId="3" applyFont="1" applyFill="1" applyBorder="1" applyAlignment="1">
      <alignment horizontal="center" vertical="center"/>
    </xf>
    <xf numFmtId="0" fontId="18" fillId="14" borderId="23" xfId="0" applyFont="1" applyFill="1" applyBorder="1" applyAlignment="1">
      <alignment horizontal="center"/>
    </xf>
    <xf numFmtId="0" fontId="20" fillId="13" borderId="24" xfId="3" applyFont="1" applyFill="1" applyBorder="1" applyAlignment="1">
      <alignment horizontal="center" vertical="center"/>
    </xf>
    <xf numFmtId="0" fontId="20" fillId="13" borderId="26" xfId="3" applyFont="1" applyFill="1" applyBorder="1" applyAlignment="1">
      <alignment horizontal="center" vertical="center"/>
    </xf>
    <xf numFmtId="0" fontId="20" fillId="13" borderId="25" xfId="3" applyFont="1" applyFill="1" applyBorder="1" applyAlignment="1">
      <alignment horizontal="center" vertical="center"/>
    </xf>
    <xf numFmtId="0" fontId="17" fillId="0" borderId="23" xfId="0" applyFont="1" applyBorder="1" applyAlignment="1">
      <alignment horizontal="center"/>
    </xf>
    <xf numFmtId="0" fontId="0" fillId="0" borderId="0" xfId="0" applyNumberFormat="1"/>
  </cellXfs>
  <cellStyles count="7">
    <cellStyle name="20% - Accent1" xfId="3" builtinId="30"/>
    <cellStyle name="40% - Accent1" xfId="5" builtinId="31"/>
    <cellStyle name="60% - Accent1" xfId="6" builtinId="32"/>
    <cellStyle name="Accent1" xfId="4" builtinId="29"/>
    <cellStyle name="Hyperlink" xfId="1" builtinId="8"/>
    <cellStyle name="Normal" xfId="0" builtinId="0"/>
    <cellStyle name="Percent" xfId="2" builtinId="5"/>
  </cellStyles>
  <dxfs count="100">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ill>
        <patternFill>
          <bgColor rgb="FF92D050"/>
        </patternFill>
      </fill>
    </dxf>
    <dxf>
      <numFmt numFmtId="172" formatCode="0.000"/>
    </dxf>
    <dxf>
      <font>
        <b val="0"/>
        <i val="0"/>
        <strike val="0"/>
        <condense val="0"/>
        <extend val="0"/>
        <outline val="0"/>
        <shadow val="0"/>
        <u val="none"/>
        <vertAlign val="baseline"/>
        <sz val="10"/>
        <color theme="1"/>
        <name val="Arial"/>
        <family val="2"/>
        <scheme val="none"/>
      </font>
      <numFmt numFmtId="13" formatCode="0%"/>
      <fill>
        <patternFill patternType="solid">
          <fgColor theme="4" tint="0.79998168889431442"/>
          <bgColor theme="4" tint="0.7999816888943144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Arial"/>
        <family val="2"/>
        <scheme val="none"/>
      </font>
      <numFmt numFmtId="13" formatCode="0%"/>
      <fill>
        <patternFill patternType="solid">
          <fgColor theme="4" tint="0.79998168889431442"/>
          <bgColor theme="4" tint="0.7999816888943144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Arial"/>
        <family val="2"/>
        <scheme val="none"/>
      </font>
      <numFmt numFmtId="13" formatCode="0%"/>
      <fill>
        <patternFill patternType="solid">
          <fgColor theme="4" tint="0.79998168889431442"/>
          <bgColor theme="4" tint="0.7999816888943144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style="thin">
          <color theme="0"/>
        </right>
        <top style="thin">
          <color theme="0"/>
        </top>
        <bottom style="thin">
          <color theme="0"/>
        </bottom>
        <vertical/>
        <horizontal/>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3" formatCode="0%"/>
    </dxf>
    <dxf>
      <font>
        <b val="0"/>
        <i val="0"/>
        <strike val="0"/>
        <condense val="0"/>
        <extend val="0"/>
        <outline val="0"/>
        <shadow val="0"/>
        <u val="none"/>
        <vertAlign val="baseline"/>
        <sz val="14"/>
        <color rgb="FF404040"/>
        <name val="Albanny AMT"/>
        <scheme val="none"/>
      </font>
      <numFmt numFmtId="168" formatCode="0.000_);\(0.000\)"/>
    </dxf>
    <dxf>
      <font>
        <b val="0"/>
        <i val="0"/>
        <strike val="0"/>
        <condense val="0"/>
        <extend val="0"/>
        <outline val="0"/>
        <shadow val="0"/>
        <u val="none"/>
        <vertAlign val="baseline"/>
        <sz val="14"/>
        <color rgb="FF404040"/>
        <name val="Albanny AMT"/>
        <scheme val="none"/>
      </font>
      <numFmt numFmtId="167" formatCode="0.00_);[Red]\(0.00\)"/>
    </dxf>
    <dxf>
      <font>
        <b val="0"/>
        <i val="0"/>
        <strike val="0"/>
        <condense val="0"/>
        <extend val="0"/>
        <outline val="0"/>
        <shadow val="0"/>
        <u val="none"/>
        <vertAlign val="baseline"/>
        <sz val="14"/>
        <color rgb="FF404040"/>
        <name val="Albanny AMT"/>
        <scheme val="none"/>
      </font>
    </dxf>
    <dxf>
      <font>
        <b val="0"/>
        <i val="0"/>
        <strike val="0"/>
        <condense val="0"/>
        <extend val="0"/>
        <outline val="0"/>
        <shadow val="0"/>
        <u val="none"/>
        <vertAlign val="baseline"/>
        <sz val="14"/>
        <color rgb="FF404040"/>
        <name val="Albanny AMT"/>
        <scheme val="none"/>
      </font>
    </dxf>
    <dxf>
      <font>
        <b val="0"/>
        <i val="0"/>
        <strike val="0"/>
        <condense val="0"/>
        <extend val="0"/>
        <outline val="0"/>
        <shadow val="0"/>
        <u val="none"/>
        <vertAlign val="baseline"/>
        <sz val="14"/>
        <color rgb="FF404040"/>
        <name val="Albanny AMT"/>
        <scheme val="none"/>
      </font>
    </dxf>
    <dxf>
      <font>
        <b val="0"/>
        <i val="0"/>
        <strike val="0"/>
        <condense val="0"/>
        <extend val="0"/>
        <outline val="0"/>
        <shadow val="0"/>
        <u val="none"/>
        <vertAlign val="baseline"/>
        <sz val="14"/>
        <color theme="1"/>
        <name val="Albanny AMT"/>
        <scheme val="none"/>
      </font>
    </dxf>
    <dxf>
      <font>
        <b val="0"/>
        <i val="0"/>
        <strike val="0"/>
        <condense val="0"/>
        <extend val="0"/>
        <outline val="0"/>
        <shadow val="0"/>
        <u val="none"/>
        <vertAlign val="baseline"/>
        <sz val="11"/>
        <color rgb="FF2A2A2A"/>
        <name val="Var(--wp--preset--font-family--"/>
        <scheme val="none"/>
      </font>
    </dxf>
    <dxf>
      <font>
        <b val="0"/>
        <i val="0"/>
        <strike val="0"/>
        <condense val="0"/>
        <extend val="0"/>
        <outline val="0"/>
        <shadow val="0"/>
        <u val="none"/>
        <vertAlign val="baseline"/>
        <sz val="11"/>
        <color rgb="FF2A2A2A"/>
        <name val="Var(--wp--preset--font-family--"/>
        <scheme val="none"/>
      </font>
      <numFmt numFmtId="13" formatCode="0%"/>
    </dxf>
    <dxf>
      <font>
        <b val="0"/>
        <i val="0"/>
        <strike val="0"/>
        <condense val="0"/>
        <extend val="0"/>
        <outline val="0"/>
        <shadow val="0"/>
        <u val="none"/>
        <vertAlign val="baseline"/>
        <sz val="11"/>
        <color rgb="FF2A2A2A"/>
        <name val="Var(--wp--preset--font-family--"/>
        <scheme val="none"/>
      </font>
      <numFmt numFmtId="13" formatCode="0%"/>
    </dxf>
    <dxf>
      <font>
        <b val="0"/>
        <i val="0"/>
        <strike val="0"/>
        <condense val="0"/>
        <extend val="0"/>
        <outline val="0"/>
        <shadow val="0"/>
        <u val="none"/>
        <vertAlign val="baseline"/>
        <sz val="11"/>
        <color rgb="FF2A2A2A"/>
        <name val="Var(--wp--preset--font-family--"/>
        <scheme val="none"/>
      </font>
      <numFmt numFmtId="13" formatCode="0%"/>
    </dxf>
    <dxf>
      <font>
        <b val="0"/>
        <i val="0"/>
        <strike val="0"/>
        <condense val="0"/>
        <extend val="0"/>
        <outline val="0"/>
        <shadow val="0"/>
        <u val="none"/>
        <vertAlign val="baseline"/>
        <sz val="11"/>
        <color rgb="FF2A2A2A"/>
        <name val="Var(--wp--preset--font-family--"/>
        <scheme val="none"/>
      </font>
    </dxf>
    <dxf>
      <font>
        <b val="0"/>
        <i val="0"/>
        <strike val="0"/>
        <condense val="0"/>
        <extend val="0"/>
        <outline val="0"/>
        <shadow val="0"/>
        <u val="none"/>
        <vertAlign val="baseline"/>
        <sz val="11"/>
        <color rgb="FF2A2A2A"/>
        <name val="Var(--wp--preset--font-family--"/>
        <scheme val="none"/>
      </font>
    </dxf>
    <dxf>
      <font>
        <b/>
        <i val="0"/>
        <strike val="0"/>
        <condense val="0"/>
        <extend val="0"/>
        <outline val="0"/>
        <shadow val="0"/>
        <u val="none"/>
        <vertAlign val="baseline"/>
        <sz val="11"/>
        <color rgb="FF2A2A2A"/>
        <name val="Var(--wp--preset--font-family--"/>
        <scheme val="none"/>
      </font>
    </dxf>
    <dxf>
      <numFmt numFmtId="0" formatCode="General"/>
    </dxf>
    <dxf>
      <numFmt numFmtId="3" formatCode="#,##0"/>
    </dxf>
    <dxf>
      <font>
        <b val="0"/>
        <i val="0"/>
        <strike val="0"/>
        <condense val="0"/>
        <extend val="0"/>
        <outline val="0"/>
        <shadow val="0"/>
        <u val="none"/>
        <vertAlign val="baseline"/>
        <sz val="12"/>
        <color theme="1"/>
        <name val="Arial"/>
        <family val="2"/>
        <scheme val="none"/>
      </font>
      <numFmt numFmtId="3" formatCode="#,##0"/>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6" formatCode="0.000_);[Red]\(0.00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rgb="FF000000"/>
        <name val="Graphik"/>
        <scheme val="none"/>
      </font>
      <numFmt numFmtId="6" formatCode="#,##0_);[Red]\(#,##0\)"/>
    </dxf>
    <dxf>
      <font>
        <b val="0"/>
        <i val="0"/>
        <strike val="0"/>
        <condense val="0"/>
        <extend val="0"/>
        <outline val="0"/>
        <shadow val="0"/>
        <u val="none"/>
        <vertAlign val="baseline"/>
        <sz val="12"/>
        <color rgb="FF000000"/>
        <name val="Graphik"/>
        <scheme val="none"/>
      </font>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165" formatCode="&quot;$&quot;#,##0"/>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30" formatCode="@"/>
    </dxf>
    <dxf>
      <font>
        <b val="0"/>
        <i val="0"/>
        <strike val="0"/>
        <condense val="0"/>
        <extend val="0"/>
        <outline val="0"/>
        <shadow val="0"/>
        <u val="none"/>
        <vertAlign val="baseline"/>
        <sz val="12"/>
        <color rgb="FF000000"/>
        <name val="Graphik"/>
        <scheme val="none"/>
      </font>
      <numFmt numFmtId="1" formatCode="0"/>
    </dxf>
    <dxf>
      <font>
        <b val="0"/>
        <i val="0"/>
        <strike val="0"/>
        <condense val="0"/>
        <extend val="0"/>
        <outline val="0"/>
        <shadow val="0"/>
        <u val="none"/>
        <vertAlign val="baseline"/>
        <sz val="12"/>
        <color rgb="FF000000"/>
        <name val="Graphik"/>
        <scheme val="none"/>
      </font>
      <numFmt numFmtId="1" formatCode="0"/>
    </dxf>
    <dxf>
      <font>
        <b val="0"/>
        <i val="0"/>
        <strike val="0"/>
        <condense val="0"/>
        <extend val="0"/>
        <outline val="0"/>
        <shadow val="0"/>
        <u val="none"/>
        <vertAlign val="baseline"/>
        <sz val="12"/>
        <color rgb="FF000000"/>
        <name val="Graphik"/>
        <scheme val="none"/>
      </font>
    </dxf>
    <dxf>
      <font>
        <b val="0"/>
        <i val="0"/>
        <strike val="0"/>
        <condense val="0"/>
        <extend val="0"/>
        <outline val="0"/>
        <shadow val="0"/>
        <u val="none"/>
        <vertAlign val="baseline"/>
        <sz val="12"/>
        <color rgb="FF000000"/>
        <name val="Graphik"/>
        <scheme val="none"/>
      </font>
      <numFmt numFmtId="6" formatCode="#,##0_);[Red]\(#,##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Calibri"/>
        <family val="2"/>
        <scheme val="minor"/>
      </font>
      <numFmt numFmtId="172" formatCode="0.000"/>
    </dxf>
    <dxf>
      <font>
        <b val="0"/>
        <i val="0"/>
        <strike val="0"/>
        <condense val="0"/>
        <extend val="0"/>
        <outline val="0"/>
        <shadow val="0"/>
        <u val="none"/>
        <vertAlign val="baseline"/>
        <sz val="11"/>
        <color rgb="FF000000"/>
        <name val="Calibri"/>
        <family val="2"/>
        <scheme val="minor"/>
      </font>
      <numFmt numFmtId="172" formatCode="0.000"/>
    </dxf>
    <dxf>
      <font>
        <b val="0"/>
        <i val="0"/>
        <strike val="0"/>
        <condense val="0"/>
        <extend val="0"/>
        <outline val="0"/>
        <shadow val="0"/>
        <u val="none"/>
        <vertAlign val="baseline"/>
        <sz val="11"/>
        <color rgb="FF000000"/>
        <name val="Calibri"/>
        <family val="2"/>
        <scheme val="minor"/>
      </font>
      <numFmt numFmtId="172" formatCode="0.000"/>
    </dxf>
    <dxf>
      <font>
        <b val="0"/>
        <i val="0"/>
        <strike val="0"/>
        <condense val="0"/>
        <extend val="0"/>
        <outline val="0"/>
        <shadow val="0"/>
        <u val="none"/>
        <vertAlign val="baseline"/>
        <sz val="11"/>
        <color rgb="FF000000"/>
        <name val="Calibri"/>
        <family val="2"/>
        <scheme val="minor"/>
      </font>
      <numFmt numFmtId="172" formatCode="0.000"/>
    </dxf>
    <dxf>
      <font>
        <b val="0"/>
        <i val="0"/>
        <strike val="0"/>
        <condense val="0"/>
        <extend val="0"/>
        <outline val="0"/>
        <shadow val="0"/>
        <u val="none"/>
        <vertAlign val="baseline"/>
        <sz val="11"/>
        <color rgb="FF000000"/>
        <name val="Calibri"/>
        <family val="2"/>
        <scheme val="minor"/>
      </font>
      <numFmt numFmtId="169" formatCode="0.0"/>
    </dxf>
    <dxf>
      <font>
        <b val="0"/>
        <i val="0"/>
        <strike val="0"/>
        <condense val="0"/>
        <extend val="0"/>
        <outline val="0"/>
        <shadow val="0"/>
        <u val="none"/>
        <vertAlign val="baseline"/>
        <sz val="11"/>
        <color rgb="FF000000"/>
        <name val="Calibri"/>
        <family val="2"/>
        <scheme val="minor"/>
      </font>
      <numFmt numFmtId="165" formatCode="&quot;$&quot;#,##0"/>
    </dxf>
    <dxf>
      <font>
        <b val="0"/>
        <i val="0"/>
        <strike val="0"/>
        <condense val="0"/>
        <extend val="0"/>
        <outline val="0"/>
        <shadow val="0"/>
        <u val="none"/>
        <vertAlign val="baseline"/>
        <sz val="11"/>
        <color rgb="FF000000"/>
        <name val="Calibri"/>
        <family val="2"/>
        <scheme val="minor"/>
      </font>
      <numFmt numFmtId="165" formatCode="&quot;$&quot;#,##0"/>
    </dxf>
    <dxf>
      <font>
        <b val="0"/>
        <i val="0"/>
        <strike val="0"/>
        <condense val="0"/>
        <extend val="0"/>
        <outline val="0"/>
        <shadow val="0"/>
        <u val="none"/>
        <vertAlign val="baseline"/>
        <sz val="11"/>
        <color rgb="FF000000"/>
        <name val="Calibri"/>
        <family val="2"/>
        <scheme val="minor"/>
      </font>
      <numFmt numFmtId="165" formatCode="&quot;$&quot;#,##0"/>
    </dxf>
    <dxf>
      <font>
        <b val="0"/>
        <i val="0"/>
        <strike val="0"/>
        <condense val="0"/>
        <extend val="0"/>
        <outline val="0"/>
        <shadow val="0"/>
        <u val="none"/>
        <vertAlign val="baseline"/>
        <sz val="11"/>
        <color rgb="FF000000"/>
        <name val="Calibri"/>
        <family val="2"/>
        <scheme val="minor"/>
      </font>
      <numFmt numFmtId="0" formatCode="General"/>
    </dxf>
    <dxf>
      <font>
        <b val="0"/>
        <i val="0"/>
        <strike val="0"/>
        <condense val="0"/>
        <extend val="0"/>
        <outline val="0"/>
        <shadow val="0"/>
        <u val="none"/>
        <vertAlign val="baseline"/>
        <sz val="11"/>
        <color rgb="FF000000"/>
        <name val="Calibri"/>
        <family val="2"/>
        <scheme val="minor"/>
      </font>
      <numFmt numFmtId="30" formatCode="@"/>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i val="0"/>
        <strike val="0"/>
        <condense val="0"/>
        <extend val="0"/>
        <outline val="0"/>
        <shadow val="0"/>
        <u val="none"/>
        <vertAlign val="baseline"/>
        <sz val="11"/>
        <color rgb="FF000000"/>
        <name val="Calibri"/>
        <family val="2"/>
        <scheme val="minor"/>
      </font>
    </dxf>
    <dxf>
      <font>
        <color rgb="FF9C0006"/>
      </font>
      <fill>
        <patternFill>
          <bgColor rgb="FFFFC7CE"/>
        </patternFill>
      </fill>
    </dxf>
  </dxfs>
  <tableStyles count="1" defaultTableStyle="TableStyleMedium9" defaultPivotStyle="PivotStyleLight16">
    <tableStyle name="Invisible" pivot="0" table="0" count="0" xr9:uid="{6F363DBD-549B-4D5C-8D98-F7D1401D938E}"/>
  </tableStyles>
  <colors>
    <mruColors>
      <color rgb="FF51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34" Type="http://schemas.openxmlformats.org/officeDocument/2006/relationships/customXml" Target="../customXml/item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22/11/relationships/FeaturePropertyBag" Target="featurePropertyBag/featurePropertyBag.xml"/><Relationship Id="rId33" Type="http://schemas.openxmlformats.org/officeDocument/2006/relationships/customXml" Target="../customXml/item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32"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bubbleChart>
        <c:varyColors val="0"/>
        <c:ser>
          <c:idx val="0"/>
          <c:order val="0"/>
          <c:tx>
            <c:strRef>
              <c:f>'Reference Sheet for Uni spec'!$H$1</c:f>
              <c:strCache>
                <c:ptCount val="1"/>
                <c:pt idx="0">
                  <c:v>Median 10-year Salary</c:v>
                </c:pt>
              </c:strCache>
            </c:strRef>
          </c:tx>
          <c:spPr>
            <a:pattFill prst="ltUpDiag">
              <a:fgClr>
                <a:schemeClr val="accent1"/>
              </a:fgClr>
              <a:bgClr>
                <a:schemeClr val="accent1">
                  <a:lumMod val="60000"/>
                  <a:lumOff val="40000"/>
                </a:schemeClr>
              </a:bgClr>
            </a:pattFill>
            <a:ln w="19050">
              <a:solidFill>
                <a:schemeClr val="lt1">
                  <a:alpha val="70000"/>
                </a:schemeClr>
              </a:solidFill>
            </a:ln>
            <a:effectLst/>
          </c:spPr>
          <c:invertIfNegative val="0"/>
          <c:dPt>
            <c:idx val="0"/>
            <c:invertIfNegative val="0"/>
            <c:bubble3D val="0"/>
            <c:extLst>
              <c:ext xmlns:c16="http://schemas.microsoft.com/office/drawing/2014/chart" uri="{C3380CC4-5D6E-409C-BE32-E72D297353CC}">
                <c16:uniqueId val="{00000001-DC00-7849-8A47-31E263518045}"/>
              </c:ext>
            </c:extLst>
          </c:dPt>
          <c:dPt>
            <c:idx val="1"/>
            <c:invertIfNegative val="0"/>
            <c:bubble3D val="0"/>
            <c:extLst>
              <c:ext xmlns:c16="http://schemas.microsoft.com/office/drawing/2014/chart" uri="{C3380CC4-5D6E-409C-BE32-E72D297353CC}">
                <c16:uniqueId val="{00000003-DC00-7849-8A47-31E263518045}"/>
              </c:ext>
            </c:extLst>
          </c:dPt>
          <c:dPt>
            <c:idx val="2"/>
            <c:invertIfNegative val="0"/>
            <c:bubble3D val="0"/>
            <c:extLst>
              <c:ext xmlns:c16="http://schemas.microsoft.com/office/drawing/2014/chart" uri="{C3380CC4-5D6E-409C-BE32-E72D297353CC}">
                <c16:uniqueId val="{00000005-DC00-7849-8A47-31E263518045}"/>
              </c:ext>
            </c:extLst>
          </c:dPt>
          <c:dPt>
            <c:idx val="3"/>
            <c:invertIfNegative val="0"/>
            <c:bubble3D val="0"/>
            <c:extLst>
              <c:ext xmlns:c16="http://schemas.microsoft.com/office/drawing/2014/chart" uri="{C3380CC4-5D6E-409C-BE32-E72D297353CC}">
                <c16:uniqueId val="{00000007-DC00-7849-8A47-31E263518045}"/>
              </c:ext>
            </c:extLst>
          </c:dPt>
          <c:dPt>
            <c:idx val="4"/>
            <c:invertIfNegative val="0"/>
            <c:bubble3D val="0"/>
            <c:extLst>
              <c:ext xmlns:c16="http://schemas.microsoft.com/office/drawing/2014/chart" uri="{C3380CC4-5D6E-409C-BE32-E72D297353CC}">
                <c16:uniqueId val="{00000009-DC00-7849-8A47-31E263518045}"/>
              </c:ext>
            </c:extLst>
          </c:dPt>
          <c:dPt>
            <c:idx val="5"/>
            <c:invertIfNegative val="0"/>
            <c:bubble3D val="0"/>
            <c:extLst>
              <c:ext xmlns:c16="http://schemas.microsoft.com/office/drawing/2014/chart" uri="{C3380CC4-5D6E-409C-BE32-E72D297353CC}">
                <c16:uniqueId val="{0000000B-DC00-7849-8A47-31E263518045}"/>
              </c:ext>
            </c:extLst>
          </c:dPt>
          <c:dLbls>
            <c:dLbl>
              <c:idx val="0"/>
              <c:layout>
                <c:manualLayout>
                  <c:x val="-7.291412495873463E-2"/>
                  <c:y val="6.5800365834961655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1-DC00-7849-8A47-31E263518045}"/>
                </c:ext>
              </c:extLst>
            </c:dLbl>
            <c:dLbl>
              <c:idx val="1"/>
              <c:layout>
                <c:manualLayout>
                  <c:x val="-0.17731389478601378"/>
                  <c:y val="-8.9727771593129529E-3"/>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3-DC00-7849-8A47-31E263518045}"/>
                </c:ext>
              </c:extLst>
            </c:dLbl>
            <c:dLbl>
              <c:idx val="2"/>
              <c:layout>
                <c:manualLayout>
                  <c:x val="-6.959984655151942E-2"/>
                  <c:y val="7.1782217274503582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5-DC00-7849-8A47-31E263518045}"/>
                </c:ext>
              </c:extLst>
            </c:dLbl>
            <c:dLbl>
              <c:idx val="3"/>
              <c:layout>
                <c:manualLayout>
                  <c:x val="-2.4857088054114077E-2"/>
                  <c:y val="-7.4773142994274636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7-DC00-7849-8A47-31E263518045}"/>
                </c:ext>
              </c:extLst>
            </c:dLbl>
            <c:dLbl>
              <c:idx val="4"/>
              <c:layout>
                <c:manualLayout>
                  <c:x val="-0.13422827549221603"/>
                  <c:y val="8.075499443381659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9-DC00-7849-8A47-31E263518045}"/>
                </c:ext>
              </c:extLst>
            </c:dLbl>
            <c:dLbl>
              <c:idx val="5"/>
              <c:layout>
                <c:manualLayout>
                  <c:x val="-3.1485644868544493E-2"/>
                  <c:y val="7.4773142994274608E-2"/>
                </c:manualLayout>
              </c:layout>
              <c:showLegendKey val="0"/>
              <c:showVal val="1"/>
              <c:showCatName val="1"/>
              <c:showSerName val="0"/>
              <c:showPercent val="0"/>
              <c:showBubbleSize val="1"/>
              <c:extLst>
                <c:ext xmlns:c15="http://schemas.microsoft.com/office/drawing/2012/chart" uri="{CE6537A1-D6FC-4f65-9D91-7224C49458BB}"/>
                <c:ext xmlns:c16="http://schemas.microsoft.com/office/drawing/2014/chart" uri="{C3380CC4-5D6E-409C-BE32-E72D297353CC}">
                  <c16:uniqueId val="{0000000B-DC00-7849-8A47-31E263518045}"/>
                </c:ext>
              </c:extLst>
            </c:dLbl>
            <c:spPr>
              <a:solidFill>
                <a:srgbClr val="156082">
                  <a:lumMod val="50000"/>
                </a:srgbClr>
              </a:solidFill>
              <a:ln>
                <a:solidFill>
                  <a:srgbClr val="156082"/>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strRef>
              <c:f>'Reference Sheet for Uni spec'!$G$2:$G$7</c:f>
              <c:strCache>
                <c:ptCount val="6"/>
                <c:pt idx="0">
                  <c:v>University of California, Berkeley</c:v>
                </c:pt>
                <c:pt idx="1">
                  <c:v>Columbia University in the City of New York</c:v>
                </c:pt>
                <c:pt idx="2">
                  <c:v>University of Pennsylvania</c:v>
                </c:pt>
                <c:pt idx="3">
                  <c:v>University of Pennsylvania</c:v>
                </c:pt>
                <c:pt idx="4">
                  <c:v>Stanford University</c:v>
                </c:pt>
                <c:pt idx="5">
                  <c:v>Average 10 year Median Salary</c:v>
                </c:pt>
              </c:strCache>
            </c:strRef>
          </c:xVal>
          <c:yVal>
            <c:numRef>
              <c:f>'Reference Sheet for Uni spec'!$H$2:$H$7</c:f>
              <c:numCache>
                <c:formatCode>[$$-409]#,##0</c:formatCode>
                <c:ptCount val="6"/>
                <c:pt idx="0">
                  <c:v>167000</c:v>
                </c:pt>
                <c:pt idx="1">
                  <c:v>156000</c:v>
                </c:pt>
                <c:pt idx="2">
                  <c:v>171800</c:v>
                </c:pt>
                <c:pt idx="3">
                  <c:v>171800</c:v>
                </c:pt>
                <c:pt idx="4">
                  <c:v>171800</c:v>
                </c:pt>
                <c:pt idx="5">
                  <c:v>135194.94949494948</c:v>
                </c:pt>
              </c:numCache>
            </c:numRef>
          </c:yVal>
          <c:bubbleSize>
            <c:numLit>
              <c:formatCode>General</c:formatCode>
              <c:ptCount val="6"/>
              <c:pt idx="0">
                <c:v>1</c:v>
              </c:pt>
              <c:pt idx="1">
                <c:v>1</c:v>
              </c:pt>
              <c:pt idx="2">
                <c:v>1</c:v>
              </c:pt>
              <c:pt idx="3">
                <c:v>1</c:v>
              </c:pt>
              <c:pt idx="4">
                <c:v>1</c:v>
              </c:pt>
              <c:pt idx="5">
                <c:v>1</c:v>
              </c:pt>
            </c:numLit>
          </c:bubbleSize>
          <c:bubble3D val="0"/>
          <c:extLst>
            <c:ext xmlns:c16="http://schemas.microsoft.com/office/drawing/2014/chart" uri="{C3380CC4-5D6E-409C-BE32-E72D297353CC}">
              <c16:uniqueId val="{0000000C-DC00-7849-8A47-31E263518045}"/>
            </c:ext>
          </c:extLst>
        </c:ser>
        <c:dLbls>
          <c:showLegendKey val="0"/>
          <c:showVal val="0"/>
          <c:showCatName val="0"/>
          <c:showSerName val="0"/>
          <c:showPercent val="0"/>
          <c:showBubbleSize val="0"/>
        </c:dLbls>
        <c:bubbleScale val="15"/>
        <c:showNegBubbles val="0"/>
        <c:sizeRepresents val="w"/>
        <c:axId val="1159067440"/>
        <c:axId val="1159077520"/>
      </c:bubbleChart>
      <c:valAx>
        <c:axId val="1159067440"/>
        <c:scaling>
          <c:orientation val="minMax"/>
        </c:scaling>
        <c:delete val="0"/>
        <c:axPos val="b"/>
        <c:majorGridlines>
          <c:spPr>
            <a:ln w="9525" cap="flat" cmpd="sng" algn="ctr">
              <a:solidFill>
                <a:schemeClr val="lt1">
                  <a:alpha val="24000"/>
                </a:schemeClr>
              </a:solidFill>
              <a:round/>
            </a:ln>
            <a:effectLst/>
          </c:spPr>
        </c:majorGridlines>
        <c:majorTickMark val="none"/>
        <c:minorTickMark val="none"/>
        <c:tickLblPos val="nextTo"/>
        <c:spPr>
          <a:noFill/>
          <a:ln>
            <a:solidFill>
              <a:schemeClr val="lt1">
                <a:alpha val="50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59077520"/>
        <c:crosses val="autoZero"/>
        <c:crossBetween val="midCat"/>
      </c:valAx>
      <c:valAx>
        <c:axId val="1159077520"/>
        <c:scaling>
          <c:orientation val="minMax"/>
        </c:scaling>
        <c:delete val="0"/>
        <c:axPos val="l"/>
        <c:majorGridlines>
          <c:spPr>
            <a:ln w="9525" cap="flat" cmpd="sng" algn="ctr">
              <a:solidFill>
                <a:schemeClr val="lt1">
                  <a:alpha val="24000"/>
                </a:schemeClr>
              </a:solidFill>
              <a:round/>
            </a:ln>
            <a:effectLst/>
          </c:spPr>
        </c:majorGridlines>
        <c:numFmt formatCode="[$$-409]#,##0" sourceLinked="1"/>
        <c:majorTickMark val="none"/>
        <c:minorTickMark val="none"/>
        <c:tickLblPos val="nextTo"/>
        <c:spPr>
          <a:noFill/>
          <a:ln>
            <a:solidFill>
              <a:schemeClr val="lt1">
                <a:alpha val="50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59067440"/>
        <c:crosses val="autoZero"/>
        <c:crossBetween val="midCat"/>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Average Debt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8.6296629994213295E-2"/>
          <c:y val="0.18309979945112942"/>
          <c:w val="0.82569758957340555"/>
          <c:h val="0.64819250316550547"/>
        </c:manualLayout>
      </c:layout>
      <c:barChart>
        <c:barDir val="col"/>
        <c:grouping val="clustered"/>
        <c:varyColors val="0"/>
        <c:ser>
          <c:idx val="0"/>
          <c:order val="0"/>
          <c:tx>
            <c:strRef>
              <c:f>'Reference Sheet for Uni spec'!$E$1</c:f>
              <c:strCache>
                <c:ptCount val="1"/>
                <c:pt idx="0">
                  <c:v>Av. Debt</c:v>
                </c:pt>
              </c:strCache>
            </c:strRef>
          </c:tx>
          <c:spPr>
            <a:solidFill>
              <a:schemeClr val="accent1">
                <a:alpha val="85000"/>
              </a:schemeClr>
            </a:solidFill>
            <a:ln w="9525" cap="flat" cmpd="sng" algn="ctr">
              <a:solidFill>
                <a:schemeClr val="lt1">
                  <a:alpha val="50000"/>
                </a:schemeClr>
              </a:solidFill>
              <a:round/>
            </a:ln>
            <a:effectLst/>
          </c:spPr>
          <c:invertIfNegative val="0"/>
          <c:dPt>
            <c:idx val="5"/>
            <c:invertIfNegative val="0"/>
            <c:bubble3D val="0"/>
            <c:spPr>
              <a:solidFill>
                <a:schemeClr val="accent3">
                  <a:lumMod val="5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0-1C17-429E-B70C-A15B6BC7C601}"/>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'Reference Sheet for Uni spec'!$D$2:$D$7</c:f>
              <c:strCache>
                <c:ptCount val="6"/>
                <c:pt idx="0">
                  <c:v>University of California, Berkeley</c:v>
                </c:pt>
                <c:pt idx="1">
                  <c:v>Columbia University in the City of New York</c:v>
                </c:pt>
                <c:pt idx="2">
                  <c:v>University of Pennsylvania</c:v>
                </c:pt>
                <c:pt idx="3">
                  <c:v>University of Pennsylvania</c:v>
                </c:pt>
                <c:pt idx="4">
                  <c:v>Stanford University</c:v>
                </c:pt>
                <c:pt idx="5">
                  <c:v>Average Debt (All)</c:v>
                </c:pt>
              </c:strCache>
            </c:strRef>
          </c:cat>
          <c:val>
            <c:numRef>
              <c:f>'Reference Sheet for Uni spec'!$E$2:$E$7</c:f>
              <c:numCache>
                <c:formatCode>[$$-409]#,##0</c:formatCode>
                <c:ptCount val="6"/>
                <c:pt idx="0">
                  <c:v>7238</c:v>
                </c:pt>
                <c:pt idx="1">
                  <c:v>16849</c:v>
                </c:pt>
                <c:pt idx="2">
                  <c:v>12499</c:v>
                </c:pt>
                <c:pt idx="3">
                  <c:v>12499</c:v>
                </c:pt>
                <c:pt idx="4">
                  <c:v>12999</c:v>
                </c:pt>
                <c:pt idx="5">
                  <c:v>8372.4699999999993</c:v>
                </c:pt>
              </c:numCache>
            </c:numRef>
          </c:val>
          <c:extLst>
            <c:ext xmlns:c16="http://schemas.microsoft.com/office/drawing/2014/chart" uri="{C3380CC4-5D6E-409C-BE32-E72D297353CC}">
              <c16:uniqueId val="{00000000-5CB3-E343-902A-F16B4C9C3B0E}"/>
            </c:ext>
          </c:extLst>
        </c:ser>
        <c:dLbls>
          <c:dLblPos val="inEnd"/>
          <c:showLegendKey val="0"/>
          <c:showVal val="1"/>
          <c:showCatName val="0"/>
          <c:showSerName val="0"/>
          <c:showPercent val="0"/>
          <c:showBubbleSize val="0"/>
        </c:dLbls>
        <c:gapWidth val="65"/>
        <c:axId val="1842088112"/>
        <c:axId val="1791377520"/>
      </c:barChart>
      <c:catAx>
        <c:axId val="18420881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91377520"/>
        <c:crosses val="autoZero"/>
        <c:auto val="1"/>
        <c:lblAlgn val="ctr"/>
        <c:lblOffset val="100"/>
        <c:noMultiLvlLbl val="0"/>
      </c:catAx>
      <c:valAx>
        <c:axId val="179137752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409]#,##0" sourceLinked="1"/>
        <c:majorTickMark val="none"/>
        <c:minorTickMark val="none"/>
        <c:tickLblPos val="nextTo"/>
        <c:crossAx val="184208811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cked"/>
        <c:varyColors val="0"/>
        <c:ser>
          <c:idx val="0"/>
          <c:order val="0"/>
          <c:tx>
            <c:strRef>
              <c:f>'Reference Sheet for Uni spec'!$N$1</c:f>
              <c:strCache>
                <c:ptCount val="1"/>
                <c:pt idx="0">
                  <c:v>Cost of Living Index</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'Reference Sheet for Uni spec'!$M$2:$M$6</c:f>
              <c:strCache>
                <c:ptCount val="5"/>
                <c:pt idx="0">
                  <c:v>Berkeley</c:v>
                </c:pt>
                <c:pt idx="1">
                  <c:v>New York City</c:v>
                </c:pt>
                <c:pt idx="2">
                  <c:v>Philadelphia</c:v>
                </c:pt>
                <c:pt idx="3">
                  <c:v>Philadelphia</c:v>
                </c:pt>
                <c:pt idx="4">
                  <c:v>Stanford</c:v>
                </c:pt>
              </c:strCache>
            </c:strRef>
          </c:cat>
          <c:val>
            <c:numRef>
              <c:f>'Reference Sheet for Uni spec'!$N$2:$N$6</c:f>
              <c:numCache>
                <c:formatCode>General</c:formatCode>
                <c:ptCount val="5"/>
                <c:pt idx="0">
                  <c:v>95.5</c:v>
                </c:pt>
                <c:pt idx="1">
                  <c:v>148.19999999999999</c:v>
                </c:pt>
                <c:pt idx="2">
                  <c:v>103.4</c:v>
                </c:pt>
                <c:pt idx="3">
                  <c:v>103.4</c:v>
                </c:pt>
                <c:pt idx="4">
                  <c:v>85.1</c:v>
                </c:pt>
              </c:numCache>
            </c:numRef>
          </c:val>
          <c:smooth val="0"/>
          <c:extLst>
            <c:ext xmlns:c16="http://schemas.microsoft.com/office/drawing/2014/chart" uri="{C3380CC4-5D6E-409C-BE32-E72D297353CC}">
              <c16:uniqueId val="{00000000-FC3B-4F85-BF12-32E87135351F}"/>
            </c:ext>
          </c:extLst>
        </c:ser>
        <c:dLbls>
          <c:dLblPos val="t"/>
          <c:showLegendKey val="0"/>
          <c:showVal val="1"/>
          <c:showCatName val="0"/>
          <c:showSerName val="0"/>
          <c:showPercent val="0"/>
          <c:showBubbleSize val="0"/>
        </c:dLbls>
        <c:marker val="1"/>
        <c:smooth val="0"/>
        <c:axId val="863929424"/>
        <c:axId val="863930864"/>
      </c:lineChart>
      <c:catAx>
        <c:axId val="86392942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63930864"/>
        <c:crosses val="autoZero"/>
        <c:auto val="1"/>
        <c:lblAlgn val="ctr"/>
        <c:lblOffset val="100"/>
        <c:noMultiLvlLbl val="0"/>
      </c:catAx>
      <c:valAx>
        <c:axId val="863930864"/>
        <c:scaling>
          <c:orientation val="minMax"/>
          <c:min val="60"/>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6392942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[Best Cities Dashboard.xlsm]Safety, Crime, Party Comb.sheet!PivotTable1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latin typeface="+mn-lt"/>
              </a:rPr>
              <a:t>Safety Score and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'Safety, Crime, Party Comb.sheet'!$I$1</c:f>
              <c:strCache>
                <c:ptCount val="1"/>
                <c:pt idx="0">
                  <c:v>Total</c:v>
                </c:pt>
              </c:strCache>
            </c:strRef>
          </c:tx>
          <c:spPr>
            <a:solidFill>
              <a:schemeClr val="accent1"/>
            </a:solidFill>
            <a:ln>
              <a:noFill/>
            </a:ln>
            <a:effectLst/>
            <a:scene3d>
              <a:camera prst="orthographicFront"/>
              <a:lightRig rig="threePt" dir="t"/>
            </a:scene3d>
            <a:sp3d prstMaterial="matte">
              <a:bevelT w="63500" h="63500" prst="artDeco"/>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Comb.sheet'!$H$2:$H$6</c:f>
              <c:strCache>
                <c:ptCount val="5"/>
                <c:pt idx="0">
                  <c:v>Georgia</c:v>
                </c:pt>
                <c:pt idx="1">
                  <c:v>Louisiana</c:v>
                </c:pt>
                <c:pt idx="2">
                  <c:v>Minnesota</c:v>
                </c:pt>
                <c:pt idx="3">
                  <c:v>Nevada</c:v>
                </c:pt>
                <c:pt idx="4">
                  <c:v>Oklahoma</c:v>
                </c:pt>
              </c:strCache>
            </c:strRef>
          </c:cat>
          <c:val>
            <c:numRef>
              <c:f>'Safety, Crime, Party Comb.sheet'!$I$2:$I$6</c:f>
              <c:numCache>
                <c:formatCode>General</c:formatCode>
                <c:ptCount val="5"/>
                <c:pt idx="0">
                  <c:v>45.27</c:v>
                </c:pt>
                <c:pt idx="1">
                  <c:v>31.64</c:v>
                </c:pt>
                <c:pt idx="2">
                  <c:v>59.81</c:v>
                </c:pt>
                <c:pt idx="3">
                  <c:v>47.72</c:v>
                </c:pt>
                <c:pt idx="4">
                  <c:v>39.340000000000003</c:v>
                </c:pt>
              </c:numCache>
            </c:numRef>
          </c:val>
          <c:extLst>
            <c:ext xmlns:c16="http://schemas.microsoft.com/office/drawing/2014/chart" uri="{C3380CC4-5D6E-409C-BE32-E72D297353CC}">
              <c16:uniqueId val="{00000000-33DB-49D7-A413-7479F0D71547}"/>
            </c:ext>
          </c:extLst>
        </c:ser>
        <c:dLbls>
          <c:dLblPos val="outEnd"/>
          <c:showLegendKey val="0"/>
          <c:showVal val="1"/>
          <c:showCatName val="0"/>
          <c:showSerName val="0"/>
          <c:showPercent val="0"/>
          <c:showBubbleSize val="0"/>
        </c:dLbls>
        <c:gapWidth val="219"/>
        <c:overlap val="-27"/>
        <c:axId val="1159082800"/>
        <c:axId val="1159070320"/>
      </c:barChart>
      <c:catAx>
        <c:axId val="115908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159070320"/>
        <c:crosses val="autoZero"/>
        <c:auto val="1"/>
        <c:lblAlgn val="ctr"/>
        <c:lblOffset val="100"/>
        <c:noMultiLvlLbl val="0"/>
      </c:catAx>
      <c:valAx>
        <c:axId val="1159070320"/>
        <c:scaling>
          <c:orientation val="minMax"/>
          <c:max val="7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9082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[Best Cities Dashboard.xlsm]Safety, Crime, Party Comb.sheet!PivotTable2</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latin typeface="+mn-lt"/>
              </a:rPr>
              <a:t>States and Their Crime Rates</a:t>
            </a:r>
          </a:p>
        </c:rich>
      </c:tx>
      <c:overlay val="0"/>
      <c:spPr>
        <a:noFill/>
        <a:ln>
          <a:noFill/>
        </a:ln>
        <a:effectLst/>
      </c:spPr>
      <c:txPr>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'Safety, Crime, Party Comb.sheet'!$L$1</c:f>
              <c:strCache>
                <c:ptCount val="1"/>
                <c:pt idx="0">
                  <c:v>Total</c:v>
                </c:pt>
              </c:strCache>
            </c:strRef>
          </c:tx>
          <c:spPr>
            <a:solidFill>
              <a:schemeClr val="accent1"/>
            </a:solidFill>
            <a:ln>
              <a:noFill/>
            </a:ln>
            <a:effectLst/>
            <a:scene3d>
              <a:camera prst="orthographicFront"/>
              <a:lightRig rig="threePt" dir="t"/>
            </a:scene3d>
            <a:sp3d prstMaterial="matte">
              <a:bevelT w="63500" h="63500" prst="artDeco"/>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Comb.sheet'!$K$2:$K$6</c:f>
              <c:strCache>
                <c:ptCount val="5"/>
                <c:pt idx="0">
                  <c:v>Georgia</c:v>
                </c:pt>
                <c:pt idx="1">
                  <c:v>Louisiana</c:v>
                </c:pt>
                <c:pt idx="2">
                  <c:v>Minnesota</c:v>
                </c:pt>
                <c:pt idx="3">
                  <c:v>Nevada</c:v>
                </c:pt>
                <c:pt idx="4">
                  <c:v>Oklahoma</c:v>
                </c:pt>
              </c:strCache>
            </c:strRef>
          </c:cat>
          <c:val>
            <c:numRef>
              <c:f>'Safety, Crime, Party Comb.sheet'!$L$2:$L$6</c:f>
              <c:numCache>
                <c:formatCode>General</c:formatCode>
                <c:ptCount val="5"/>
                <c:pt idx="0">
                  <c:v>1911</c:v>
                </c:pt>
                <c:pt idx="1">
                  <c:v>2167</c:v>
                </c:pt>
                <c:pt idx="2">
                  <c:v>1298</c:v>
                </c:pt>
                <c:pt idx="3">
                  <c:v>2180</c:v>
                </c:pt>
                <c:pt idx="4">
                  <c:v>1938</c:v>
                </c:pt>
              </c:numCache>
            </c:numRef>
          </c:val>
          <c:extLst>
            <c:ext xmlns:c16="http://schemas.microsoft.com/office/drawing/2014/chart" uri="{C3380CC4-5D6E-409C-BE32-E72D297353CC}">
              <c16:uniqueId val="{00000000-EADB-49BD-B19B-467AAB7E618C}"/>
            </c:ext>
          </c:extLst>
        </c:ser>
        <c:dLbls>
          <c:showLegendKey val="0"/>
          <c:showVal val="0"/>
          <c:showCatName val="0"/>
          <c:showSerName val="0"/>
          <c:showPercent val="0"/>
          <c:showBubbleSize val="0"/>
        </c:dLbls>
        <c:gapWidth val="182"/>
        <c:axId val="1159064560"/>
        <c:axId val="1159065040"/>
      </c:barChart>
      <c:catAx>
        <c:axId val="115906456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159065040"/>
        <c:crosses val="autoZero"/>
        <c:auto val="1"/>
        <c:lblAlgn val="ctr"/>
        <c:lblOffset val="100"/>
        <c:noMultiLvlLbl val="0"/>
      </c:catAx>
      <c:valAx>
        <c:axId val="1159065040"/>
        <c:scaling>
          <c:orientation val="minMax"/>
          <c:max val="2300"/>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Georgia Pro Black" panose="02040A02050405020203" pitchFamily="18" charset="0"/>
                <a:ea typeface="+mn-ea"/>
                <a:cs typeface="+mn-cs"/>
              </a:defRPr>
            </a:pPr>
            <a:endParaRPr lang="en-US"/>
          </a:p>
        </c:txPr>
        <c:crossAx val="1159064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 Cities Dashboard.xlsm]Safety, Crime, Party Comb.sheet!PivotTable3</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'Safety, Crime, Party Comb.sheet'!$O$1</c:f>
              <c:strCache>
                <c:ptCount val="1"/>
                <c:pt idx="0">
                  <c:v>Republican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Comb.sheet'!$N$2:$N$6</c:f>
              <c:strCache>
                <c:ptCount val="5"/>
                <c:pt idx="0">
                  <c:v>Georgia</c:v>
                </c:pt>
                <c:pt idx="1">
                  <c:v>Louisiana</c:v>
                </c:pt>
                <c:pt idx="2">
                  <c:v>Minnesota</c:v>
                </c:pt>
                <c:pt idx="3">
                  <c:v>Nevada</c:v>
                </c:pt>
                <c:pt idx="4">
                  <c:v>Oklahoma</c:v>
                </c:pt>
              </c:strCache>
            </c:strRef>
          </c:cat>
          <c:val>
            <c:numRef>
              <c:f>'Safety, Crime, Party Comb.sheet'!$O$2:$O$6</c:f>
              <c:numCache>
                <c:formatCode>0%</c:formatCode>
                <c:ptCount val="5"/>
                <c:pt idx="0">
                  <c:v>0.41</c:v>
                </c:pt>
                <c:pt idx="1">
                  <c:v>0.41</c:v>
                </c:pt>
                <c:pt idx="2">
                  <c:v>0.39</c:v>
                </c:pt>
                <c:pt idx="3">
                  <c:v>0.37</c:v>
                </c:pt>
                <c:pt idx="4">
                  <c:v>0.45</c:v>
                </c:pt>
              </c:numCache>
            </c:numRef>
          </c:val>
          <c:smooth val="0"/>
          <c:extLst>
            <c:ext xmlns:c16="http://schemas.microsoft.com/office/drawing/2014/chart" uri="{C3380CC4-5D6E-409C-BE32-E72D297353CC}">
              <c16:uniqueId val="{00000000-0779-4BE0-9C3E-B60C09A00F7E}"/>
            </c:ext>
          </c:extLst>
        </c:ser>
        <c:ser>
          <c:idx val="1"/>
          <c:order val="1"/>
          <c:tx>
            <c:strRef>
              <c:f>'Safety, Crime, Party Comb.sheet'!$P$1</c:f>
              <c:strCache>
                <c:ptCount val="1"/>
                <c:pt idx="0">
                  <c:v>Not Taking Sides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Comb.sheet'!$N$2:$N$6</c:f>
              <c:strCache>
                <c:ptCount val="5"/>
                <c:pt idx="0">
                  <c:v>Georgia</c:v>
                </c:pt>
                <c:pt idx="1">
                  <c:v>Louisiana</c:v>
                </c:pt>
                <c:pt idx="2">
                  <c:v>Minnesota</c:v>
                </c:pt>
                <c:pt idx="3">
                  <c:v>Nevada</c:v>
                </c:pt>
                <c:pt idx="4">
                  <c:v>Oklahoma</c:v>
                </c:pt>
              </c:strCache>
            </c:strRef>
          </c:cat>
          <c:val>
            <c:numRef>
              <c:f>'Safety, Crime, Party Comb.sheet'!$P$2:$P$6</c:f>
              <c:numCache>
                <c:formatCode>0%</c:formatCode>
                <c:ptCount val="5"/>
                <c:pt idx="0">
                  <c:v>0.18</c:v>
                </c:pt>
                <c:pt idx="1">
                  <c:v>0.16</c:v>
                </c:pt>
                <c:pt idx="2">
                  <c:v>0.15</c:v>
                </c:pt>
                <c:pt idx="3">
                  <c:v>0.18</c:v>
                </c:pt>
                <c:pt idx="4">
                  <c:v>0.15</c:v>
                </c:pt>
              </c:numCache>
            </c:numRef>
          </c:val>
          <c:smooth val="0"/>
          <c:extLst>
            <c:ext xmlns:c16="http://schemas.microsoft.com/office/drawing/2014/chart" uri="{C3380CC4-5D6E-409C-BE32-E72D297353CC}">
              <c16:uniqueId val="{00000001-0779-4BE0-9C3E-B60C09A00F7E}"/>
            </c:ext>
          </c:extLst>
        </c:ser>
        <c:ser>
          <c:idx val="2"/>
          <c:order val="2"/>
          <c:tx>
            <c:strRef>
              <c:f>'Safety, Crime, Party Comb.sheet'!$Q$1</c:f>
              <c:strCache>
                <c:ptCount val="1"/>
                <c:pt idx="0">
                  <c:v>Democrats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'Safety, Crime, Party Comb.sheet'!$N$2:$N$6</c:f>
              <c:strCache>
                <c:ptCount val="5"/>
                <c:pt idx="0">
                  <c:v>Georgia</c:v>
                </c:pt>
                <c:pt idx="1">
                  <c:v>Louisiana</c:v>
                </c:pt>
                <c:pt idx="2">
                  <c:v>Minnesota</c:v>
                </c:pt>
                <c:pt idx="3">
                  <c:v>Nevada</c:v>
                </c:pt>
                <c:pt idx="4">
                  <c:v>Oklahoma</c:v>
                </c:pt>
              </c:strCache>
            </c:strRef>
          </c:cat>
          <c:val>
            <c:numRef>
              <c:f>'Safety, Crime, Party Comb.sheet'!$Q$2:$Q$6</c:f>
              <c:numCache>
                <c:formatCode>0%</c:formatCode>
                <c:ptCount val="5"/>
                <c:pt idx="0">
                  <c:v>0.41</c:v>
                </c:pt>
                <c:pt idx="1">
                  <c:v>0.43</c:v>
                </c:pt>
                <c:pt idx="2">
                  <c:v>0.46</c:v>
                </c:pt>
                <c:pt idx="3">
                  <c:v>0.46</c:v>
                </c:pt>
                <c:pt idx="4">
                  <c:v>0.4</c:v>
                </c:pt>
              </c:numCache>
            </c:numRef>
          </c:val>
          <c:smooth val="0"/>
          <c:extLst>
            <c:ext xmlns:c16="http://schemas.microsoft.com/office/drawing/2014/chart" uri="{C3380CC4-5D6E-409C-BE32-E72D297353CC}">
              <c16:uniqueId val="{00000002-0779-4BE0-9C3E-B60C09A00F7E}"/>
            </c:ext>
          </c:extLst>
        </c:ser>
        <c:dLbls>
          <c:dLblPos val="ctr"/>
          <c:showLegendKey val="0"/>
          <c:showVal val="1"/>
          <c:showCatName val="0"/>
          <c:showSerName val="0"/>
          <c:showPercent val="0"/>
          <c:showBubbleSize val="0"/>
        </c:dLbls>
        <c:marker val="1"/>
        <c:smooth val="0"/>
        <c:axId val="1241391840"/>
        <c:axId val="115589248"/>
      </c:lineChart>
      <c:catAx>
        <c:axId val="124139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15589248"/>
        <c:crosses val="autoZero"/>
        <c:auto val="1"/>
        <c:lblAlgn val="ctr"/>
        <c:lblOffset val="100"/>
        <c:noMultiLvlLbl val="0"/>
      </c:catAx>
      <c:valAx>
        <c:axId val="1155892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3918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_xlchart.v2.6</cx:f>
      </cx:numDim>
    </cx:data>
  </cx:chartData>
  <cx:chart>
    <cx:title pos="t" align="ctr" overlay="0">
      <cx:tx>
        <cx:txData>
          <cx:v>Average Grant Aid</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a:rPr>
            <a:t>Average Grant Aid</a:t>
          </a:r>
        </a:p>
      </cx:txPr>
    </cx:title>
    <cx:plotArea>
      <cx:plotAreaRegion>
        <cx:series layoutId="funnel" uniqueId="{83A603B3-1894-4C4D-BF98-F7202DB8782E}">
          <cx:tx>
            <cx:txData>
              <cx:f>_xlchart.v2.5</cx:f>
              <cx:v>Av. Grant Aid</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_xlchart.v2.9</cx:f>
      </cx:numDim>
    </cx:data>
  </cx:chartData>
  <cx:chart>
    <cx:title pos="t" align="ctr" overlay="0">
      <cx:tx>
        <cx:txData>
          <cx:v>Average Grant Aid</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a:rPr>
            <a:t>Average Grant Aid</a:t>
          </a:r>
        </a:p>
      </cx:txPr>
    </cx:title>
    <cx:plotArea>
      <cx:plotAreaRegion>
        <cx:plotSurface>
          <cx:spPr>
            <a:effectLst>
              <a:outerShdw blurRad="50800" dist="38100" dir="12000000" algn="t" rotWithShape="0">
                <a:schemeClr val="accent3">
                  <a:lumMod val="40000"/>
                  <a:lumOff val="60000"/>
                  <a:alpha val="40000"/>
                </a:schemeClr>
              </a:outerShdw>
            </a:effectLst>
          </cx:spPr>
        </cx:plotSurface>
        <cx:series layoutId="funnel" uniqueId="{83A603B3-1894-4C4D-BF98-F7202DB8782E}">
          <cx:tx>
            <cx:txData>
              <cx:f>_xlchart.v2.8</cx:f>
              <cx:v>Av. Grant Aid</cx:v>
            </cx:txData>
          </cx:tx>
          <cx:dataPt idx="5">
            <cx:spPr>
              <a:solidFill>
                <a:srgbClr val="196B24">
                  <a:lumMod val="75000"/>
                </a:srgbClr>
              </a:solidFill>
            </cx:spPr>
          </cx:dataPt>
          <cx:dataLabels>
            <cx:txPr>
              <a:bodyPr spcFirstLastPara="1" vertOverflow="ellipsis" horzOverflow="overflow" wrap="square" lIns="0" tIns="0" rIns="0" bIns="0" anchor="ctr" anchorCtr="1"/>
              <a:lstStyle/>
              <a:p>
                <a:pPr algn="ctr" rtl="0">
                  <a:defRPr sz="1100" b="1">
                    <a:solidFill>
                      <a:schemeClr val="bg1"/>
                    </a:solidFill>
                  </a:defRPr>
                </a:pPr>
                <a:endParaRPr lang="en-US" sz="1100" b="1" i="0" u="none" strike="noStrike" baseline="0">
                  <a:solidFill>
                    <a:schemeClr val="bg1"/>
                  </a:solidFill>
                  <a:latin typeface="Calibri"/>
                </a:endParaRPr>
              </a:p>
            </cx:txPr>
            <cx:visibility seriesName="0" categoryName="0" value="1"/>
          </cx:dataLabels>
          <cx:dataId val="0"/>
        </cx:series>
      </cx:plotAreaRegion>
      <cx:axis id="0">
        <cx:catScaling gapWidth="0.150000006"/>
        <cx:tickLabels/>
      </cx:axis>
    </cx:plotArea>
  </cx:chart>
  <cx:spPr>
    <a:ln>
      <a:solidFill>
        <a:schemeClr val="accent1"/>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_xlchart.v5.2</cx:nf>
      </cx:strDim>
      <cx:strDim type="cat">
        <cx:f>_xlchart.v5.1</cx:f>
        <cx:nf>_xlchart.v5.0</cx:nf>
      </cx:strDim>
    </cx:data>
  </cx:chartData>
  <cx:chart>
    <cx:title pos="t" align="ctr" overlay="0"/>
    <cx:plotArea>
      <cx:plotAreaRegion>
        <cx:series layoutId="regionMap" uniqueId="{06DCAB78-83F6-4A52-A01C-03E08CC29566}">
          <cx:tx>
            <cx:txData>
              <cx:f>_xlchart.v5.2</cx:f>
              <cx:v>City</cx:v>
            </cx:txData>
          </cx:tx>
          <cx:dataId val="0"/>
          <cx:layoutPr>
            <cx:geography cultureLanguage="en-US" cultureRegion="US" attribution="Powered by Bing">
              <cx:geoCache provider="{E9337A44-BEBE-4D9F-B70C-5C5E7DAFC167}">
                <cx:binary>1HvZktw4suWvyPQ8VGEH0dZ1zYaMiFyVWlLSlPRCS0lZBFeQILh+/T1UqvpWZnVLt23GbOzmg8Ii
uABwuB8/fhz6+5flb1/q+zv/bGnqdvjbl+XX5zaE7m+//DJ8sffN3fCiKb54N7jfw4svrvnF/f57
8eX+l6/+bi7a/BdGqPjli73z4X55/h9/x9vye3ftvtyFwrVvxnu/vr0fxjoMP7j2Ty89u/vaFO2h
GIIvvgT66/P0ri5+d74t7p4/u29DEdZ3a3f/6/NH9z1/9svTt/1l5Gc1JhfGr3iW6xdMCqUMNeTb
H33+rHZt/v1yRKl5oahmmgpqvv39MfbNXYPn/3tz+jaju69f/f0wYFnfPh8/+2gNuPS/nz/74sY2
7NbLYchfn79vi3D/9dltuAv3w/NnxeDShxtSty/k/e23lf/y2P7/8fcnP8AWT3750xY9NdzPLv1l
h27u52cfna/+sNH//f4I9sJwwwTn7GF/+OP90fKFwhWpqHjYHvXH2A/789+Z0T/fnf968sne3Hz8
H7E3P3afP8fPozv/3fgxLyThUguu/+n+GPOC0Jgrbr7vj3i8P0+8+l9P659v0pPHH63kf0bIvL5v
22Gtp7v/p7AmyIvYANXih00h5Amsaf0i5nFstCYPYRM/3pb/7qz++a48fvpJ+Lz+/wRt/xr2/pEf
Dnfh7vgtsfwJ+X589Q/IfPLos3/tyN8vXXz99TkTiIZ/pKv9Fd8vPmDXE+d+eOU/nru/G8KvzyOl
XhjNuZIaUWaoIADA+X6/hKz1QlJmSGy4RI6Lscet88H++lzTF1wKjbBkMWXy+bPBjfvvNAbaMolM
R5HxDNLePzL6a1evuWv/YY3v35+1Y/PaFW0YkEuBzd3Dbfss9xEpI0ZRzrQyPGaYQPfl7i1YA+6m
/6umpW/pXMn7mGZhNEfWiS6qU9JNxfZByrGr7kTk5XBq+3VYxSGwRdoljVxGPuetF22UOrZU+tJY
uY6HykRtfz6bph5e1rLpojVx1SK7z7IK5eIOsFVd8jTXWtB7vbh1fFvbRdd3cSy77AtveK9uclX0
HU8aWgyYiuikb15ZSsLcHvJa+qpL3Cyb5prqtceU86ah6xVreFv+Hg2TwzN/2tJ/YiT9xEaGILsZ
qcQerjAXPOLPNtK0KUarbHyfza4t+/PQiFqc12IavD7fhjwUc7oVHZhRTbKCZacfD0/Z0/G15poj
wcYcO4XJPB5/K3k8KKKKryWteFWkwXHJbWIMi/ry5Jc59+HgbciFTSIRbV37ehZ8HVhKxaZmfhmU
bYcqca7nnt4YGfe49uNJwoX/7EeacM5FDBfas/zulo/nuNgiYtbz6KuK/ETYId90rvtTHYvASdL6
oNSnSpIsXPx43Cd7s48rjNCMScJMzJ+O242r0y7i8dd8hc+pZCJdPfxmRcbaPJnLYixetRm4dEis
dYyp5MfDm78sW4uYipgZIWOGGHq87FxORUQWy79GutY9T+VMlLxDIEXhwm2Frm+KiDr6klf9Ot5W
AyGbTQZb1DDKvzuTWMdKKBkTQ5DKyeOZWG2zulyJ/yrUjJA7rVRttDpJP4+DOBZxJtQnP8IEfTIo
rdUnR9bJm+NUONLNP9kVwNNjb5BMiVjKWEmFreFPvCGogpRr1WZfMrO10p+5vmuy9RhlzWDWszX2
C1zkx+unT5BME2mIQJQgUDngNH5igNxspTRdiD7bwusmOl+C3QOiWZwFTx/nUmwiLZphZV2yGMZh
CFkQO942nSrXtI2ob29NYxvfHnrpPHvbTEU7fP7xNHc8/RPeako5EYIISTUwnKsnWDLOWexJvy2f
Fx88nICMFcH+kGXmMkoWz6fotmNVvwdNmN3+UXT5+JP9+YuxKFVaKE5APwQXgLbH3hL3bAjroNzn
tpYRMLwEem1zMq0krPKKZxK4P+Sjr+6aUrZAVN81nsrzOCqjqUp6C7TdkX+1eKottnq6EkvVueYn
sEKfBhiKO640Uzpm2GGlnuSnhc9tZ9qNfx4ypqLmWIahq8fX/RaKrk3nfu0xuUg3E665tW/ceoir
bY1u567LLgbj6zJPm20j61Vj+zZkSWuIykI6ShLVb1Vj8q1JGTcLIJFF5UrbS7KZGm+timzu+5+E
KQWre+QATFHQPqMI5VJJOOtjy8Mz235qp+6Tlk6WMu1ILOGKWTYa41O66QjQnq0P6FmPAtfGb3DS
0SzGpWUOXPWnceY/jyHxFMUZ2IZBIFHK+B67T9yiWqqhyazrPnUeUdQf+VDF4iWjlq9XfBhXmMNk
U719aOyyrjoZrZ97mwLwZ/U277csOveNKLcPPhoHdRMXaicIi5ia2pxVo9y3xw3cwIXWScvpbefL
avuw1aqaq4TU9Z60ClgfG+RaY/EjXz2YSNwsC/aOy3LFx7CRPMSHTg58OCk97ntXLXkBgtF/G97E
ebTOSeyWEq9wIA+YeRG1OzcInWyqu2VQbd+dzOTpdCu428K191Xmk7puPGvSKM+a5TwXSK4f27jN
xIeJTBROpuMcPGPqWweK8mNseIqasL4mWqMWE1pJTp+4Bs/WNqemqz9ttBl8niyM6G5IZle6+oKP
/Qyg+PGIT9GIaWARo8jbVCB3Px1x8GSwc8Pnj3wbd2ecR7HDHxt0heStpl6qT1nJNzjhzMYw5C81
gAV++uNp7HT2UVBwrRTTyBWSESbAkh8HxcansY+Maj40om0CT4IbZXTvetsDjWw1tPToM+2K19MQ
50CczkqXH/M4sMklsdZzPSWB5f1VncXqduG+jtdkmKma3oY4IkXay21xV3AiYpOSiKzoEpEpuge7
JfBDN1mwi4usrMIe+ZOQ/BVDvu/WhFeeL9PZj1f8FNdijgQFuoFV75U3aoLHK65UZtu5H/T7aWwJ
SKz0noHETtvutwIkS5xbOi9w26UyHB95+MZsI9XtLs3HcmbZbbao3aVZX2yNPy86xneI7LeB0FNf
T91QnG1yrRB12dzsnJqucYPo1LRHGP14SewJssVgQDHSJlANO0gpeQLVPW+bzZUtex8HyxFbocv3
CYSIj3vofotj6EQr5pbZZQ9xYOUOKb7rkWgiS0Hj6SL3n1xfDdVdbUotzou53u3Qr7NTN1m/4K7C
8n2Ja96o4VRF2vNTF/uJD+mKfIHl/mRpT1gmlmYoF4wiVIgU4HuPdyssFdX16Nb3PJ92pAq+h2tt
9Va4L4HEFWuTNbh++6BZu+fHJnIUG7Kops7X49YoGvKT4dE4vwdL9TDHrEsO7+PTBjRpi8jAxcRc
dzu6jYDN84J1M2AtgJFgwCJkBN9QY1GYoskFTBGCtlFIZT2WCAlrWIlvD/bZobC6+7ERnsRoDLoA
dqWZjFF2kr9QXTpvQq2qj95NjXZAhwd6y2y8TFWKytLm7c9g4Uk62ocUHMSeIC0RBdb02OykdGCt
3aLfDSOFh4Q1BDgUcj/sI8pOOHnM5sgtQ6JqvsLg9ZS1oCwAPVhp9ksdXms1xFl5yoKIAQYIyOmt
h7qMDNBECPywtEhU37ct7+cWplzquEWsIIr27cirZd+IqCwoPsxamuktcY3DTGRVITdVKux16o+t
LQzH4v7EFLH4PQkAJCh07b9WVKCDQ5STZX1n7arqLAljxbs0m0lW3ii2Cb8ee+tVFyeGMVPaxPu+
6C9JPfJFJh3YTnTl8yYSL7PGap72s1vyL6SoyfmcjUIdKt26+qso682/bZxq0EzYaD2/EhMly3aI
y9bILu3BH4fxNM8ynm58b7PFJaohDb3mxFNzaFtvaFouYfRZ4pa438rEtpMXS5ov1YRgmDY/r3Wy
RLIU5ckwOopbVYdV5ClZ6DiPZ52ZLc3A37I8XASrwcxSvdXztqGshSt2F0u1ZmPSD12pTpPROT/I
Jlq2d7NyrPgwijrPDlwERtMV9albE5WHwRxMweYqzWWdn2vGw6F3ZN6uMtMSckZnatkpj4bYkmNX
uUa8X+WUV9F748iyvFvCwsPLaAht9BYZQ49fpVfKv9/0lLcu6Zyjdnhjlq2uzrIC6sZpcyJuXGIq
x5lNtd+GPv5MmzJuv1rWuWk5wFXW/t6MYZ5JWtXzQMvzkLW9jA+oA2StzrImqtSNoTqqqrNJdWyo
7b2NWx5g5YXy2IuXG3cTXHqjfujsG65IUOTYtqLr9MVossLW161cqj4/llMe5ul6llleFKdMNPMo
32Yt4/2FKoXN4xN8RfEq6aaNIK3XQ1zMJskjofpwsJnfyvVizofIFmdz0SDbpJWZBQB26opR/uai
UcnhAs4xR1k6c9AWejN2YF0mCSuPF/WqZlrjIzz8GBVFjWvEoKr36eYG0X/ext6w6bJUvsvZOV2i
SOt0LWU16rOlLWlTJ1JMe14kMiqwnJxLJJW7JVsVMWkprZH5q3Xu5k6/LrOonOuTrnjEuotqXE08
vVIll4VJemN2TUL7IG31QedZFm1XQtQDLBWtPSD7JVC7t/Iq4pnX9TUt+oLWr8tyLuPsOJcAgvzo
Csoxd0DWPqV1imrCjiS3a9EfSFeVPj60gUSy/Y3lrMV4TVkb837M475PPUpvWJbFY4EMklJl95dg
/qAsSd+bndMLO2D1aWdpy9WptPNuMV6HCh9usCG6bRu9Q76YQh7r1MzBwQG2FnzjLBjf4L7uYak2
yA3m60uNP+SSIcNotaUoMlta7NtDO2GZ/D+0XnY7t8KU0JKiMfLYiqitYivu+x4FTX/yRQGmlc4x
XXWfFrGVY4QdFGM/fghlOxYt7BXZzZ3ZcRN0eRmXep9ygZ3utlsFz8IIHJf6z1m07A6mfLTvvFwj
/FabZjfNNFHcihQb9zPmMLUDhk2/r8d7zvvPENwsfpNL59RtJUVmeCpmAwEo6bSlsMV378m2weCV
uoz2xWVh/WaMEV7j0+8c18hN7t/4IKuXnBQ+uv1u6ujh9j+M/HAflAJWvdSsazAB2kZ2+lwVqiv8
WdHyFYvu2YYebpIznhfkFgV47kwiHzbKbVOAq6HyHn1+0VKzZjKhlZ1W9co0o4OVJtbUuIV10Nh8
Cpkjm0xSkXUnvXkjGX6sdU76z+bBgq5DBAHXHtZkWYEaLe1cq2Z6vo7xXp2Th619cA+VVTXso0SB
J45S1/viF7Va+GlO/T6MFVbhx9X1RNv3W1SIMVxipXw374MjbeM6YpZY5P4WWvgBz6EDxeFdQ7D7
1B8MGm3zhi+u5k7oY0RkW5UXG5N66c5yAhGJHOdidIhpU+a78jHM2N9i0qz/TFXewn0GCcaKxfsJ
ZPfVAC17fyGb9g8x5TE+6pbs4dBscp9/O6rczu/HOq/z4tTmMd5re05zfl4Nq6bhij/4SlEOJuiz
7yY35eQxnaXgFV6CDOAweNkVFfL8RPtNkfdgbmU8Hbo+Cm2RkiHPMLgsLfrhh1B30DZrCAaQbLBN
drzQLt/DeUR+xW/VOqoyPlUgi8t6yc1QL+48CEeaJq2NqJspyYYcsiE1dMT9NvQDPkAaZX3T9CP+
XZsZup0kM4VU1EPLr2+mKmQQBWZfYnRqczd9UG22oArI1m33/dkAysvTwnsGhIm9rcf4WDdIsc1x
idrMDBfSIFUtH4laSuBNXjtXVeff5eQy1NaXp9HWqHe/rGJAF/i8Ky3Mcca/xUzv4hoGG7K5yrYP
3MZuDu97PttZnYeHpS8mH2Ai3i1bhRVV+TzIo9oIBcoFL3bz0aXbvQZ61e7iD/ppPFQzLEBHtq83
FAXDh4eD4/6+gPoYJUW9QVc2glWtSSBZrKp5yTvqcYda6V7DTnIc4FcPIstGZe2z09j2PmMXedZv
eMf2IL1lKMuhGvZSVJAoM1qh9G0a1E5tGmoIE/KqqdQeT0HMBUT4vIoDoJKrbEXOG1YgTXlCrbcb
byz4LhWwMa6gxZd1m+Nxv9ZY5ccZ9CyLLuds8L64MbzcRUo3It291FXGVXgjIGOt2XHJymi1JzV3
sh4OkC6oEomGCKQ+iZxTlORIhgabv0Viw6pU2+xpo5HZ7m6eeQrne7BkGRyUaF6Qgk+X8yabTL+p
tnGObj3INFSFreuN+gS8hX9Fc7fBAqUg+xqyro0A/igvd5WqLsBXwaxN4+bukzKr7elnsdSqvlGq
79bsJJgbQvT7XNByyY7IaLyWyVBD/47SuKbaf4AiOVfhHcn7Ms/TTK7cLm9nDW7TfzVTMfXs45DF
kCbOfDVOjUkjtg3Vh02MTLhkRHZYUOxT6sAptZZmpCO8vCkNSyf8GOkp0TM6U8vh+0oe9rLvSgjE
qZR83Zf1DW7qetrxz6z5jiZg/3vwFkOz39F+U++zku2/SUoi3LHm635jxqFONEdU7ntvo6izDqGc
gy1mN1tYaXcsEah7VJpmv/LdZcEpgURGotmDFsA3CX6H0yhP/bJ6rhPKPIlfj1bns0tm0kKwF+uW
GXYx9+0e5Xm07XLggD4RPgRoWbjoNwL/FgT9hxvolvvMqwKdxk/fB5LeIKX1cJXo9qFia4ty01VS
tt0o3lQPgFU9CI19THcxOqr7XYQcvPJCHJq86V2W2F6N0e1YyA5rDjO6eNNlwfKdxlmxYAw91fu0
xm8BF7kKeSTJ5LgHecf2NuOhnZfdJ3W2sapIpB3apjnaskY0nh4MAh14B70qxmEFwPtAo/LKMl7r
+CfC15OCHloO8AEezABuiv5FVrYBPQTo1ezWOqcwa53nC6JhdoDZPhJ7BNUThBebTEW/z/0n1d3j
2m4fXu29GmKkpBj/SWHrx8VF86AhVT1AYwkNGLNAHYBI+vFQTwR0RBPBsQ+MBckK/6q9rP9Tg3eO
qz7OQCX/8BFSLc6lfZcJ8Uob9KyAyMrumzoWJXbYCS+wZd/B8cdzeSwhSELgPzGVWDza4fBz9ngu
2cQZ5NsyvzXoqqlPhaQ7Hx+GWPPj5kCdf2bnvw7IjIFwoGLDIC6aJ7piZT2hdUOyt/3SIlHkFTL+
hV4rwNz3yP7xAuku2/1X0b6vENotkZqymFG0o54MuNSlyNtQq7ffEWO22y7ar4qvUp4WMcTTqeyy
zb8ZZ76Wh2ZsdzznHtAQDZtAPvrJjB57OmaEUio2SF7aSAGJ7onQuBoSzXrl/dv6Iahm8DrE+DJW
GXC9iKcCW2DFuCIyDUdyALWI7D6RsuP9uKVTj8r+JBvuJEkWQMuaAup73I74yOhNsXLUk+n80M/q
HmD2x4t4uo3YOEE4keiYUErjp11W5N0+sCWabuxQ7ci0fSNC3SDb8c0axaO4/vfHkwQbuf8ppZ7Y
TC9gIywm4833tLfkti8T4oCsLvFDkf9b0pokkPxpDGURwI1Q/Qsc8DmDEj0V5c1DWgJJ3ndDVzXi
oh36PWH8eIE7vvzJTeEQaD8JRCDOowgomk/0zHndlsJvsjrXbeQrmeqm0fyT8giYn4XgX4fC1sXo
4MUClb5+CnVNxpp1zFV+/kBFJgl1BH7E+gYfP17V96MYf1oYtEIMZXBAhnBASPy0XUgI+jK6sMOZ
3xixw5HJZT+NMBLBRvf7sLXooaduyKGtmqTJNlSLSZB5oM0VsjWO4OSpqzooP9dMQHsgr5tM5rk7
X8ENpLvJlqKiy5pmDC2nj0PfNyiDfMlE2x+betxYSIkjamgOsZeQ2q75Qh1Xr81DP69SKEb4q6xt
aL+8rHI7GRyZGSdVUGgiJY5qnKPQ0EVzqKOyw1Z8Jyg6wmM2qR5oBRh6jGShvsHYQ6lRzQTQPduG
AbpRGu40YJ5YBELrWIw6oWUjbgDFUqO+4UO9k7nogdt0aI4i2kkX061IqiE0dEvawZu2OKhO1+WY
/CF59EibNvlOZL4xKHTWZth36+M9iet+grKE2qJS7NjFDkM2FaqK6ZKgW1Hkab00A+op6Pl1Wb/n
oL2G36g1GNFdlIpEuxgwTB466/pQh5l5HXh/sNXYQHaFAqPRZUhKG2KXpdHo8pk0SY9jdJK9Nr3p
9HzMeyVk/06uZtrcO/Qb9o4WOCBh6saFAU2Ed0UHtTk/4BASjhOcrO8pLdOGgnT+vqL0HOJLqZaZ
faJyWUN8A9ks6960xpQVO5btEBFUwgCOJaQ4yoVe+rF1K/b2MC9s82tCIigTUwpqRmWcrmLN5uvK
DGHYErSj5wLVtIk9+qKFJcOZIHWYPyvSVKs9ZAKEu00a3Tb+txbKSzQm8UPL7TsW9eiH5+o6boDb
5am1tWIjWPQ3ngXhe+eJaxv2pPPgGvU3NtjqukLJ5g1OxHTJ5IlqKJAsdxrTYFXFkrmKJvMOIO7i
2641UX1qCpnLxOb5fCvXQpaHtZizs0JM/LwgfLto/DKdQ8lwb7VXLF2MtDe6CDWBZjz5dxmc+lzk
0g0Jos9+Ln1X/5aTwh0WQzPUojUPZyh2ISmxVl7FHfnkKoRjO3fqWs1Fd9DCWuwuifyp1Is4lq4Y
X21lHcgRrDwc45XwGh6rmi+2G28ZFd2VF1F+1UxDOMoBEjTOvuTnkxvNwZo5fqM726Ov3xVfi6HP
DrXt8mQVbXuQmekv4401pzVr0QVuOynw6nhtU1G2+jTjlRcx6rHPfnHjGc49ZF97U9Vn1ULrLVlN
KU+2JO62E9DmkxoSzZBE3OXv52WL7+qolSjlx+bdHLPiSFggl4IYWyQuivi1gEx38mFo74dSZ28g
HhY4rxS4+UrR6kE9Qzv6dmKlLU7d2kZHOjTh7TAJCA6AgsOwLuMlH/xaJbKZ4zTTJrPxb8XEzHqB
Ewjjl4GJkh7d2AWUOUVj12TiMr6Pg9TNIcoif9kYHEc4CBrKN8vEK9RJjbuSQ6B9msXW3ZFy6K4X
LcjVoOjuoZnce6j5NF8uoLMvia6mC6jf0WVRccsOMdDvK51n3ibbFlOLsrmLPs5dP9/3UbSkrKDb
3TCUjuFEQYfjg9s2wHNt3dUJTkz58dBtc7VcqjHv84TQrrhZqQYQo6RKp5nX/FLEpO4u/dL7E+tG
diXrZkmg9H6Q8/qFjFl2IyjCZxrGcIC0SIokX5pJH+Tq+FHo0N50VviPa7eAkxG0t/MhGSucgahS
XeSyS6KRizt0pl3CWd2eOQgFCSNNeLPQtnoz2DVUaRVC/r63a/+bX7qGJf0yLmlGfVcmJeaHjmsM
zQ2Bt9gtFUs8vzZssHXablN5VzbdlqDJ03xoXdEnXTfRNwZNhIuO+TgdPckuRdGKuyFWy3UJvX9C
20GMGDQLSTZGPSrSMb9WceSKpKaVufMRSM0hBj8rE1kO/Ws1q+oEoFcqNcWmzwN19jXO6eBsx2z9
e+ba7mwaF3pWdpO68zx7P6NOfr/1zRaf9Z1Yk7Jv8vsVBjmzQY/jETRwvQ3eyCzxokfHtspDQuw0
XShTdWc9eChNcj2Y96YN5jNfOv6u9Jn7PG3Tdj/CwQ+TduylwMGCM4JMceiXPtyCX0aJnNvpOvJD
9Wkjrj3jNc1wMgty8o1diUAuW4BIpCxi6EGyUucajZm0G9ryrJKjf4+zXRzzn9glJS0/lYoPH6HL
9a9Na/05XWtz2zR+u8qHsj8uGpCLMrgpblpBwqUfxfy6HTL/zsex+MKrCeDA+nW6EWuD4IGm9Yry
MF4tXs8XxbxwB90mbs8y1YgDymOcsITsYS62yGfXWWb9m43F9n0M6eRjv8XhHRJ+fo5g0y83GgWc
YVLFqTaZvEaHm/I0NKY+xNvacvi7b09bHrnXFST41/niuj7FyRBy8nPZf+zCKHIU19t27Y0Yr3BQ
qYI60Lh3Od9MA8xuliPXVXxO0fNLp24Tr+Ip51DmffQ1yhjOoF2vUmyFSddmAdc96BGSdnxdST7p
cCT4DyR1SGrTZddz1OWvobLUN5FY2w918Hd4JofQW9APQwMGU466vFlMieOXsqPFpXEd+zRG2Tin
tZ3JSxz1Gd8XbJr6M8tqLlJjqb4SmfPxyZCmNZeNjbsD+rhiSyb0uw+x2RqdlFswU9LwrL1xEfr9
V2vUa9hakTn4695MaPTQxdP5ohV984ovInqjW1N0qVq8dUdrOv+2zIupOaLlu9qrpqhccYh8K3EI
MctodKanYdjernHrR3u2Uw9yMP3ialfBam7Oq8sKNbmvU6rBXFLZjNn0EmpJOaR8pPm7WW9uTR2p
1TWO62X0MFNQxKuAQjx8kAWqPw8c8V2QCsQpb3Gs6HwKSl9KtpC2fLfxNWNTsi49MeMlA9iRi1ig
I3DW12vrD3Ya5HhrorwqcQInr41PfJTldZVGwiy3BcepmYRZUb9xK422sxmFZpkS3TNyPZtyaVPm
oeO/1DXg9IADctvBQdm6LFkoUvynquoyROsylK/qNVJm4zB/S5bmAJ2mqfZTWh2TzasQRBmHw6pK
VTMI7INDPMRob6YjXVlzFHSs7XVl0Z1NmhYyb7qFpW8T3qxo/OixrP6TnTPrjVzHsvUvUkPzAFw0
cCXF7AjPTtsvRNrOpDhIokSREvXre8XJU91nuFWFfr9AvmSmwxEKUeTea31r7zsWJ/2Gwig8CwaZ
tOYLW/YRjYO8TnO/ySCJ8TE4CDoq2JEmyVwZznC/0ymcLl5SLFnVchLrMotFBCkOmt1LoLzxyxYo
TaJRuXDX9ySINtQ2oQkrlHCN11fw5oGizWXWpA/Oi/sMhZnJHZMVdtIJP9D7HlvYJzahIU83jZKq
TOgQLMVGtFmQNRsVLn2SnAPPpuYZZm5L9nzI4+/U2vd1begzbdQ7LVTCS7QJ7eMMtmNDcjLufBwe
PjaJdIT9la0n6UJ5GSNmtrYZi0oNalVlBkxTlW2btI9jJ9N6HFNXmpzF2F/t1H5OlKzbrJew8ehC
znAYc78KFj0P9YrDJr4rdBM9ZgCIxppZaD1YD1gwJXi4+SvolbhXQ6fzjc4yeqP7rn80g57oxizU
kgNUY5qVXrsUh7bnQx12g9yKgSSPnfCDTTE1/UmQxDuHYolPoYJp2VMN87pAW1SHIUFqxmRmty5h
KEs/wyFc+4Ud9EYFaX8BPzhPBzXOpCz07C/VICiv4lRbVRZBS8CQAog0B53i4jYOIvfjSkb2ReB7
DzsOf60e8VDO5erEeMEpj8OfpULWjKO+wEcgDzh12NZkRVqZTjUvnNHgHcrbsgW0U+x6v2i3mcr4
ncf9sbJt2rz6XfssOUgwisZtm4WEv/VzOPVlEvX9W+ST8WjCiCwlGReeVwzi6JGoEBdNfSjcbLEV
mt3olqMtOdo5YJ+iibJ3QWjwKoJovrFwbutEDf0hgmT8AvE9FNc9bVFlxP3hnBISoW7F5nhdhPFn
LK7NsOva66m9hPqjt7nHNjJlMEIhJvfpoUs61ld6ZMsEr2ntIRZmMw+qSGIfKVOP8eQslQ4/mqaZ
RBlKfIaSy6zJK4HfW0H+wpponEoObWrCrJ4agJwjai1Bj63qp28KXVtTCRVF/jsO3nksCy+f7d6b
RFpPint7NiTh85Ub2AarFaZkzlO3SbLwD2NzheMBnee2NwQ0VE+S6AbW3XhSDlBJOVKUNDeLNupD
hNPCKg2Z0ZbMyuVzmhyeFTyU6NOMgor5ZeFa2RKOnN103EZHiNQUyBRbVhTzwEZ/xEBIybbNmukU
O/RvpYdyZKolGbxk4w0tmF9/tcnLpKV8y5RdKqEjXUvfG/yLmbPgEe5aXoAKQg1XptPcyN2MouqI
3a+bN8vQNBylXIHSExSH11+iZg68ypAriedaP1GbUVkkDECkYBFVcdM2PBZ2S20KK6UVFRco0sbN
tY21FXEDC1FTRx1ZXzttOnEb9sGsa3QVRGBLK9J+VdUYGCrdzvND3sW3qYlIXopgYNF3CWzU6yrr
5QsnWxhmYvHPounTvqjQbS+xKs3atNpUGQ7cxNUN/KtclgY0d+zqzjrSipPLSRj5lTZowNSdtFCH
onIB5l2Y7WjUwF4pFXFP6xmPCmwUpHGibiztMvTptKWo1bqDaYzX/tSDXmyyacA/td0mGeC1PRI/
hPeyUwClpq4eXez5/I4bJXAfYg+4lOEgmeEBWGDuuPwfrVdkPr5HzTtXF6pZktcELlPz+Eus9dTV
cJhkcZVGw4As6oSc3NW6By9w9UHwHK7ZF42Jv6Q7cNUrnrch0AV7M2puvKbscghdHjpbwucURwS2
4+nFNBAU8psJBeVy8Xnhu7gyVJtB7Fa4W7hbOPJ4zz+i3HS2rRM5GdedIoPLW0vEgMNQV4BeopY8
RlOiWLpJAaqy6OgbM7geHBKbUOOgd6DDVqmcYz/2pr4WoJDOIWAulO6qwI7pCoYiKo93bMpa5xRU
WAsllVVAqoyc4w3tlpjJjZpB3BTQDro+v1lR+uUb4smUwAWzpFCmDOKhiDeZW6N4B9+vfVG5kc8e
6JqpDHuEz8rY4NnZgDZpv/xOoMoC/d6MYtOnumhqO4JTWco1HGA+rqlxv1H2x4JRe5eAjt1DB2Y3
vU+iSoSpOfPAuXajohawli1gBCtPPvJimbPDgBIuK6NOubhcull0u3HyQTEuuZo7hHOs+FKrTwS2
1rglZYpz1NRTtLoHzbx5QYHgyQ0qUHSIhKsk2Y1pPLU1afPlw1vJ4lQZ0HkIHnLBRFIj/d59jj4M
7FJzi9agWz2LbmTkQbNBOTHqvWkSYb+ot1wVF1TUYVetoqFb5LQs8batCXLAOeFQdBXx477fxM7X
+0D32Zu0Mg50lZGQ9hUERZagQ82cvrR56ps69BMzvQJ9ADZRjgqUXQWmY7AokIIQXBHErQtF592W
8YA6/LzAcFvKORLZJhOpPHpU90DZTYJwBdg61QLdCJ3Rdd4lBSwpb2p2yC3gxmQL9coIbN1+UHLg
lYFg9rECWMDaIMW98fwe17mqbRqo5c7hZtdxQfJiw8FW/PAAL0E85IreeNiG9Tuay7m5z3g7Xquu
KGR7VDDpcYyzhH1gi4zcLrIxf+jniJyBSdIvOgb45vN5XYCrEQNlZF3ZUirmz8/5kpi7eZQNLgEx
NrjDWdtjN81ahBVEUjwEkA+zuuD9fAggWrB6BhvzbY5i5AgToeN9F3MOPHFMHgdC++0Udv5rOuqg
LDJwiM0oVxD6enUlIkfugkxlyOrQaItQl+wAyBfMFvZA0xF0mu5W4KCUzAs+biGvaAS64Up1mQu3
cIjgs/oRgoU1tZHF1ush78DKSWXACyOqBxQFndPnyChzQ8PA5rWfUJVtAUKop3nJJlDHU4erBA2Q
vcdjk9OyRQF+O3jXilfncd6VqKkdK1NBCuAoYmBNjQOdg7yCXHK3tlAAyjVVKt0IC8CujvyWbdZh
wWtoApwO2Eirahupn7Nuuk1I9FLNU+LeMuwW9rRM3ahqOdj8QSfjZPB2STKgIWBQgdqwP0eShKe8
kSIDJkRcW44BKU6e14QfTjJxXDyl78Dq8QoMWPgdqRjTwWfIClexRPOxyuaYudrMjutSjvlENqZh
ucT+O0byxIPQJdspnZMXjzRquUC5EhHEgL51pVRt8MYKEA9lCxDj0oMw8TfZnDg0BUWIVMNA/KTd
tAFvnkSyjHOFcxNVHerzuonGIb9+b+ntHM2QoaOwJ5dcttHrAMqCltbIt0i3/es49X3ZsA7aI4hK
gFLUYsnL8Y16s09RWy1e5aHyOI8G8R4N3eW9o8Y7jBwPdT0ykd1OZuqPUzIg6zFm4ga6QLb3iJ+/
QDFmGZYBTT9UuEabJfb1gx1deBC6n8KK23y+Vmt+C3Smg8STaZ3vddR0ab0WHgqnlhXLrktCKx+Q
lmX1CHGrHrHU42qIErNB+RKcOtc3YAPn4LUhbnktyBSUShsf0clEbNpckp/Aiv06TuLpOUe5vwti
Enz0INBffbwkKb0FXxyQ/1dkbvLzApN/p+yEpy433wEoT3fK+I6U+dT7AZ6D9a6gnkBFE8TtDufB
2KHN0FGdZ4BT8OqbeQjHbxxiR50vaFQGZIrXcmmC/sXLZfzImyhuqxiq/kGpLoAVBtJSRNGnM1D/
x41Q0IPGDxxQorU1PHCkmF7R0fatehhj3cfJ7cSbAbu8RuwdbNI4IP8MSGBxvB3gNcBw7G9jB5TG
7eYQWY2wjnp/mZqDb5qWrweA3G56JmyZk8+ki3ux533eTnFF4tGfvDq3STyP2LwEaBZ4WuAjeBGw
1K8B3gUrysbcd6waRTr6y8G4BSpmmYZLso3jbs7f066bsKkMSshFYh9LGj+pUeeBU6g9l1IKoCUG
YwUcGWU8qCqHLDQeGmDscQIUtFH9D3/wXKZrGJoA9TZazU40cCwZFaCFFCVXiBxrcIANQjld/eHe
RvmEFoZFSzqOL30+E8trGLE5+j5EhtjCL5z32vS1ntM8DTa+iowePoxYbeBK/BbFXDX3MUqyclUN
doY9QUySFxUU6+uVxCn1C7lr6GKz4Zvx6BomJSO5wP+Bhc/S5eRNGg3ziTtNZFotfpFndvtv7Lk/
B0Rg/iFAXSArC5MTmB7Ahz/b/52PnoMvqvj0OVIkv7veYSoS2E9j1FLQnnNuu7by23gMszIbJYJI
pYSPoqsp6pbsmf9mdP3rz/VndxkfC5MxUsRVC/ivoMCvGfw/EhIscYgmUZZ9iV5ds03tL/CjFYXE
QvR62GX/xqj8syd/fUfEuPFtXLPDsHyvIwb++I4QDfPJR17iR/vrHe0vqiZKuhHWvM6a2ACCs/7i
IfLBOMzKX7fi9/kJd78c0V9zAD57hWQNbX4f7vPff/3Pp77Fn99GzfzPP/6f66Shf7ziP8//GCr0
L39q96O/DkPQf/2h66f579+FD/P7p7vOUPjTX/42zuGfDGz4NaPon/znn6Y5/GmcxT+mZlznHQTQ
nv+wOP42zuH/IkXS6e/676/5fZRDjlFDiMuCQwQ3GcJGxxr+NcrBK2JMIUKwM0VIBsnnpMBd/X2W
Q5RiAgvQRdxyP0SkJcMShJd8HecQRRi+EuCnwfJmBQJU+f9mnAMy53929hG7wh+gEggaA3D6W4IT
CZAwVqGJD4nMYSEkgCbGbrK7FZGro6RDsl+9HnHnfp7dF7y57CYRMdrcPAjmh743wIC08r7LTKLB
TOLisgI9e0o5ZJUyVSkmMOg4uzTS6gfHLXtqdQITzFh2aGkavPeKAC/lGT/mYbpBxHj4sJrz/eLl
IysZnxdU6katnyDlvYoRCuOQLCJ8BFUhjjhNuxPJIrkzkUbBO3XnPglZVUiCDZi3zTGwGmovawHN
tl4a1aFHsyPoWLhGRC63vcrlTsm8uHGaWg5tbQnvF88UMCaFfw4cgxoNANCWto+GbZgFchf0IX0N
ClZcAk/cBQsaHBIGT6i8+zpIURZ2A4SN0kd87mfkHCrK1qVVHtgurMZ2nGDuB3EZcLAaSFqj+Bwl
M7tE+uoL9tewjUbkKwY2yl1nevE8xDxFqE/GfKfahe/hC4PSjWfIZpkLqikIzbc+ZwT1STPfTz1b
Pws3u1f0hNE9hSO5h8I7XtKIL/dJii8HRCbbQrAzJ/TBw0cbmaWGNJFtlZV2lwUCl0GXpYxFJ4HT
z/CoRGy+vCIq2Zi4KirUCcMSDjGg/I1BPAi8ed/VOiHnVqj24OXeAaWkqHGSr9/g7A67YbDJT4qK
Hl3XxKB2x/MOUD05hIjP3yHDvIbbwuPi2OA48TbRys0JVhJ/oY4Vb9mQIqQIah6iWjo/KjsPTwWJ
2Xn1U/88ax8KgYFK+g2ZLX3DjS8f4z5WOxQ5YVHOyPDsk0VmvBQyiu5Xl7EzpfG6dVkGkdRTefaA
zHyAPmwa8prpyF7tZP+uGLFWejqlpOJrLD8NMJ8LwUCSPfzT6JROSu5alUI+yDP2OiB/cemoSu5R
iq37pXGQCzwbncI5uTKdPb0Fva2f+BoVFbAGeWg9c1AduUqdXZJfwkGFb10RpOeBxuKAIInacy7R
DraQ/rZz3CS3Us2nsJljLMdh3Hv+hEKbTt8bgzoFpoAINqEi2XdYTz+SYWkP1CkYIq5NDv1A4m2W
q7x2WRe+RLH4dHOkaOXROHzL8u6pt9H6orVyaCI7/75v0rRDNQf2GMkyiJ/XEQqXxgZJUM1AfL/D
+eJ3GRUD6oUoKj5RHzS7zuJFdGXyOWd+W9nIGze+Fe2JU9zEOYrYITUQrXMA7I9ZpCfIJshUl5MI
nqa+O9BwTo89atcOnFsFtqXtAMxycY8AqXxIiNynbp6OKVm7A8pGlDjKCJSlRfQ29QU7ZGCVtxDR
hjrTEwTZbuEPSvvxjxWiVBUJ3lRrA98bWoF4BXiyPGed8u5V2PYVbmgGELoRcBjRGN9547KdZTqc
hhHdWFUU22Ti7Y5Alz6jIJWwXO4tIfbVw5wXRLWi4J77SA10CIXqSs6+vXS+HT+jCT05if0aena2
g463bKwMjLdByi5/nTCURgEPWSVDBel6gMSO3q66FztvmUDYOJdk1WiX9FqegfSlGIxhulWjJ+yN
yeuisM90dTEvpSjQ540UqrynGUo1066nHn3m2XUEuYvAe+WhGPOSUrQpTBZZiR3Ar4qxSyvpsW8Q
3/2D9NGA9T4fypCL/kMCYj+RvinuE8gYB62TpS1hNU73bPIEmJiuStBUf0+BXOy4n+R3PgCLqVKQ
qC827/0qJ+0qS6QP0g1M2+KlwKlxWcFqfBvzmN20q30vENHc40RcK7SQ9qJpzLCUZn6jeQqe3nnF
TWvi8W7iZDhzfx7QSTIJt6BVmz7QdBsUkCHXsFGbRA/RNzG34T6dcJUjyftts/DwBwbMmPOMkR/f
42i4Hi6wiV+bVrJnxACtLFMmim3EC7qDNAqpy9G58gLS3AUBu7LZqNgtHZZH3+Cr75pkrZ2b1EYv
YX7Kr+Vzvci+uY0yPmOhBTO4qjiBSe+bdedoZHYdtPiDKFb1LA24mEDxDVKK652wUbxRFpNoEAr2
V8g1XhfDU1q26dDbS2BpeCwCKt7Rb4l6BjlX2gDHLcMjfsKYC7UHL4iUpRjG4k2kKavbbvZfJRnJ
HjtTcyBTWLswTe5Ww71PBY7xqBBz38LJ0bcB6+QhiT0EAkCI30s35890zsk28Af/sbEMcqDNYLw4
OH7bqMnGy+iGjw76yqe/Gmz/ZpxW9P1LTHcYvxHUK7DFMtTeKen8EOpaBxMCnPd1BpNXBp0BWNEK
5t+j0h1x9nNOn0yCQqTkBiZm1UXFdD/QQe77Bo90uahMiHLVIwTBjOTDT8TDxMHKJiwxbcG7YTAU
Yci2d9Z2Yj8l5g2qMC2x10KcyREX/RBT+gZv9btPzM9Mrm8Y8/DQBejzETdSeL+hPYzQezbIwz6F
A1VH1WTZk1UifBF87j4xZWn5NhK80Haph6XO3DSKo6K4CnNUgx7stJPpAoP+jFILQgC0UcQzNyzs
pxhyL2tuFoSYoJAsJr8bpsGlrzolPw1Y2Bwh5Bk3DqxQqLYeoIeK9P4OiSm17lp0iGemBq9/U9hA
UXsVFtkXIraDQJj9mHtiRJfHQxiwkTgF1HVHM7LsLXHJ8O5nhPI7sjTylDVJMD5B82vITq5Crl0F
RxCKL+YEJPwrbxbtPScDWZJN0CAUDc4I3vdhyFhUd57vAKT03dam+ptG3KAcFyprJPOhhNH4G9qO
eZ8yhRRmO5kLfnLZFmDwK7i8RzbGN6YIIXv5Xp+UAsTBC3R/b49a5LlbG7lpMPTgiBMEsSuPUUBD
MqhoF7iLbehwGXE3j+uEHE3D5u/XsM1xLFKv1LFndkG3OMin13ILQycMgpHReGLsIMgWzDZSpz2Z
9gDH4gpUO9tp+HyVI/F9uza65oNHD2uMCDHYH3Ic25AdJx94TCAx0AwM1U1DUrjYYM7fTZTKCsql
27HBMqh7utgAxCGbkcl+M5NYLRgbInCQEQXbH7d5b3wVlpMM2x3GWPk/YwMxolJCwTwuIXYEX2ne
pfk37Zsu058mzgaRPJMBfspUsUEyxOd+a03+fxP3/xxJ+ofRen6co6P+50P5zt+Rpfreff2xi8PU
tuuLfm/jMJIUeHcGttuPfUzL+kMblxX/gS4tiZDM8LP8t8l7/+jiiv+AtJyjFIgRzL8ixv/TxWFW
I0IKARL7GbZbTCX733RxVx3kDxAz3h6BBd+/DvLCDLf0r/IA5oHwsW3Eus9okKwlsXF3QxfqntsA
1jOFRvzvhg38/Q2zKMv9BDOWIgwe+IsCAo8NqeI1dftl4SPwQ2urFCXz7g834XfN4Y+zBv+cREGv
iEvCYLirFpbGQRj+haqfEu1joEyz7N00IE4eLsO96EdbsSxWG6QUZBngUKjjgXsPes6W53/99hjZ
8bfLRPb3OiUOjQI+zV/n6BnjcmZdNu17BNbAByCcsYVD7u8tchPY0ZvxuPBl1GCDMuCxikQE3Zxi
HuxqDFh97HMEVmBt5+6s5wb4Iw0AiebgFLdIBeNnARmhMY2kt8LjBAzTlQnRDiHH3Lmfw+TEQ8Rz
AWwjX/eIWOBkyNLh2KbJ8ErYgNShbT1WKhpAswdvBq8ZW+m69zHz5Ak+jbqMM+rqELLv3RQZcpxT
rb7nbctg6vbW/Ww0rsh20r5I07mdBv9zA8oJ07sIy1Hmw/zCHuj370hKqrcAMK5fzQsrbvSwhLAH
U/JQ2KxFCFsrvz/gq4IYR6+ZHkCgcRztQiAjwHkzHW6ylYVPrndAxzBh7TYZ1u6mRxoMZSoFCaIy
Nt738Jgh2mfzVPEpy2E2NSumFyxsT/x2riPCxqOA93av24kcV4OKMx0CeRimFR8nmuwL91v7MvA1
fcTdCTerRta+CxNZGRzPn66f8TxkAdbQ3LnnZiL9m/ExihESbufv07nAMzSP5BhNXYFzwGP7Aazm
z9ko9+yPeAkG5ulvaQ/yjSw0PgxIAjwhsKu/cUybvEFSCoVqC4kZ9hUa9xIkuNeWqVnRJEuJYlER
Wc2dDYEHhuJBpU2BhCJNKx7242dM8FcqMBKuojwEuwATEqUmEvOfcN3dc46I+S5lRh5A8aqLy9Rc
L4bLptbw3bsNggTyoCCWlxMsAeDQ3rJDBSse6IzJfmneDJcYxA3iw9T+QEj8OjJuEttW+j42jaB/
R51mX0jRr2fYkvhVUeMgOoAqCBZccQGy70LE9WH3huQWx5+t4gLXksYc4xuKBv2eEFiKtunsj0Aw
QHMsjG8pxNkNcumwleHz1q0HW6CWmMT4cxZUfc9kkVTLTDivp8XD9PC+IaB0fDJ8YoLfeu7mxj2H
c4uOoMfDIMdBbD3RTV8IQARPLGZz3VC5bgMP362muI/cXL/q6xKV3WJ/wAkS21W4EF7SijsRp73b
xQHW/whm803SjBylFm+zp82xYWN7S/Ofvil88CYe+B9kldvw0Ojk3Q/B7YYwNF9oiLVZhp5gu9Dv
8xpTId4x88P+mOJMXRRPsCiX0FYLirpLCmt2i5Nd3aIpim+LaU5ujSPBU8e0ejNJ2r97U4zVmglg
3SHp36M2cSeOKPfjkrscRCDP0f11c/8dAxx0VzFoUmUxFqL+7eLyBg+B7rX3AMO7m+oFkc3znDv9
TWlPPLh+ClDEU3w/wRSQI1JnbZXOPttPPSStakFMZZcg4fOpEPbHbWoxSqNyTT68BmiKbrjvIFal
YA0uUxrSPPyWiyIQ6Zvtu3n6ZCBh31jQtQK0TbR2mEU0rV63gaw/mzMQN5IcZzRA8UMknCuHeHHP
Qe4wsS01TVcGMPXqAbXzFusQkbEJ02lQf6L33SIxezF9gTIKK+wYQ26bkF69Bz754CUGOQvVbvMm
S+7XMcHemS0RykX6SBJyaWFLQyHDQ0TDtTm0oXjWSRxsjCRmY2L3wfIWxpo1X6IJIVp1FLZU3ByQ
VKdlFxh107d23sgElpnGmJkveMDDhjINO3UgWzmPwRHx9KIO3JhhxkJCa6oou2BopDt7hbIOBAA5
IsJ/9IQaaiYHmGOqIMMhDn2JDn2BuecDTwZkiqFkrZQ/qVqnHHMRumyHHIKrirh7cF3GNiHQlxNv
qDoDepy3aYMHduBtcGKOQIPD9LoDZK2gQh/rH3xMlNpj5BKKzSnKN/0MU0BFOR7LLuC7BiPiKgR9
/NOMESd7Q4NHkCkFmr9M3wQd4tebEN/9J4yoOa2SoQDE0q64hyWVk92HimWgBuCO9mS8MToEmR76
5kDnIgBnVqSIFCAnWDuiP6Meo3poQnHm4QDPwTDimGvCZUImJh0eruG9MpiEBgRlmqVshMdRGC/v
eQIlFtjDcuqAHCL3IcQbfOk+A6abuh3ce8zPzTDIqMZkWszNsXGECjEa7lGd5dvYJFF2UNhf/dph
E2kgXwJiKBWeq3MstTrNK1k3feiHh3BRuo6aBk+V3oBlGsruGlp0U5AcVTouz+sc8WrkLQA+3e1n
WUfW64/BmK7fAVcnh9C16xN8yJ5WgS72C2aDHID8ujuEGtbaEjMcIVHEVRrKFstd2FKCEd5gKkJ8
n+kYowaJCwyGVcztNVC1HTywx16BhMiM3Dkc6oi/ZillJfS9eRsTB6UTfNN2aCSi7bS9l4GHsxxY
xYHBD4ww4sXW1KPFi8xpsJMMKz6N+uaQW6TrC/Qp5x6BAcS2Zu+hBWVzwaQKd8SAVQggGGrWxJsh
HdsfQJEuDVmzm2KZwrSKZzArJUJgSd3GjTgrvQYH1SAkUbEmHU9yJdEbSH1APFkCmhUkrtSnxkF+
rnjA/R8KArys46xLl9rnvj2sSPpDIvLGHUDx5G2WhrF6FYwj20L1Zxsh3XUOdGxXCskgoMlbYX0M
osJsP1ZCbtYcbnYntuhr7UfPA3C7mKWBukAN98syyTrF0Mx+k9uWnbxFSgBELuMZll/bHDA0dbwp
BjjMiNJruHWIcbP90uVEV5z1ya1D+Gy/Np36CFXuafA2Dh23Z33o1yiROI9wDslg3fNEdzdFSBJs
zmr6ggwPQYHOYS+2vtA4cBR24Z+dlBg+6TzyoER2fQYEyoSM+IrUNIGClzWsrYZGJbcrY96D1yuF
y2VRszWglvKaYhoF4maubeo4XdQHwKBVbRpQx5dgxemMSSHD8VfxBW4weAJvpb8wK4DndYjUPOrk
lmAgGCZwhhuUoUiRA9jViMENA2gRG4uag7M/YOhidyPBHuwBMMw1RjZgMx455SAzQqSfmkTjcMco
B++ho4V5YZhZc4shM6LuklRd6PrbpyiG18gDX1qSYbhuymvrfk4cNQkrMpQnxTAEd9gGu69Ipb2t
PQpCGN4LtkqKjahsR3wcd1WhG4RxXhrm494Fg5d3cHlHt8MEP3fyLcf1GzvXIHrdrkex9aY0Bbjh
ruUv6Mi3bFrkIYRUC0onDp4wD9T9zJ1iu2Ul0Fg5xjsFbNZQzROAiCWGc8qDCIvh/t80EX+Z33rt
YpBbz9E0Xme2p9lfpxxi6FGkIKphuN+AvQTmA2S/oS3ctncLVgXr5roADfzThs7uQbrTrReE33Ou
vs0dhUqLCMHGS2YK1LXtz0Dv4jcLnOLMVgg+vt9G72EsmuWM4YmdPY1Nkx8wqFLUfszWLVvwRYJu
5XtasOTWDyCQjiC0HhbZFjc4uNdtt2BWawxtBXiFAfJ/vbNhbLwHS8f/Yu+8tts4tq77Kt8LtEfn
cNvIIAmSIEWKuulBmVLnHKq6n/6fBcnnULKPNfxf+9JBAtChqvbea83lPmjo6r+WPuyd0KxsG1UZ
jWk2C5fzhoAyOo48OAkNKwoYn9aVjSAURAoTzwoNb8kbcDkjyWpp76uiVfcyUMelnINUUDp9aOup
i1orbzamjJpTbhk+I5yWvR/30gpp/vQUL1rM+MExi0+dNebuET2zN123kYi5SCmDRk3S7N84cZ7o
q7GxokLbW1Y2Ivt3zEHr7TU/iKEHdEAjpD1M+9BzlyI+5Gwl62hR/0JRWaK13mOeXEUpTN6JDqxv
XsGQ7t+8AlcSqyBnqU5PMuyhUcIvjqug3kge/oTuJ0comCR6qCFOYe4R63uqHh5t3+6fdaYfKxMJ
zKp3tBrFQNAsN1hOyhW8rObznI05uKwh3Y0Tu5qei2UfLQMHOSRC49OQFp+8jnP7Io3mxReFhUJo
TvEZqWsX5MJPj8vCxedl1864i62DwQt7n1tTuovyhA697wzFYXD8+hWrb/1qz0isB7MwMWcAftxa
g9/dUQH413OLV3UUFFsuwULPIGL6Zwlq5YCspv40qDN1lQTFKimHCSXWUjB7mwsxovCO6aL2GafF
yrPA6aXefWl145MOj2djVmb96qBG3+k2J9vGoGpZd9XCmzfQv382Mwr5ti2a0+ClHhIfW9avgO78
NVoXTqSRbQ/eqnYW3hHVMDNCLHX+mm55+zvdRq6KGjH0nMphdNvLvkpYizC10Q0xBa+6DNTSpTRB
W2f2KLxLs/0oZs+/NgTlLVi84Do2mu6YMh27dmMuXMfCtaOB7axqv5qe6PBTVok53fmq8kbu0pzK
nLqcBjuVGRzIrz5v6QI5fWnowtOOll6DuGmgzEESeGtUeFFKkbgrw+YvrTR1YFHfWtoBzQM/rXkw
6kLdA0sUB0O9qpJKlo0kF5gb0+YT/f5xK7syc2HSCnPDFJ2KVBUNqdQpnBJpt/d61XFnGNnz2Ko1
sKniKlI19nyVWz6PKocN6mnL5VKpYrAuvPlqid35BjmQf315DE1J6cvj3ep7OWrzjR1TaVr93N5f
Ku3K4vHBW17gCKJibUuqjwI+HBEHbGRwI/zrMXKd1aUs02KNy2C3VBQ0erj0qoGypP68zZm5rkSS
fO0wsd0A42KNl3S1Ue5LehB+TNdAb2R+xlbIzImDR8D5kK1wrD15144TTZEKJ2yIqbs4yIVfpEQV
FM8Lr2AdCFofEagSSmodpsyo1RtodZSRNEzEBvgs64ssnVszd50HNhodqYE79c9D1tGJWey8/YhC
mgaFM4j29xib4KYHd/4B8jv1MnisAw5odV63WdaopKLjpULWsBmHfu9VHabNlL+pNCmy24UlzjL4
+Evd7AG9vpE5PbOqTuyDpmtfQP2rYwrefWxwJZtU2+v59tujmdIyamxK8qo2ojOMkuq6qRkGQZ/y
r/2hbz/WBr0LJmH0MkZ1RoHSnNxONifcVawPLO6a2b/VRVB/kjHEwU5vg2vhsc7WglFWmDht9zse
SG5Ino/G5jJZo11OiZjxTqvnue3UMtxHdX9V9ICd8Id6nDXyjj8eMNK4Si022kR1G0WbqV2Ag/En
w+eRsJexfxvbqH4F2xnf4h2kXAeYuHJzm4MXK1GILT1fR6rrcDlW+AGdqTiv8nMpJqp35HZrF4rK
42VvMAZab6MfJ7ceSz71Ps2rSXMA1MQamutABD52P65wO+fmo+jmaRWUNn2LmhOITRmyStzMeGzw
ezIG5EYGNOYOc6FX14s1VteY7RjPq3uQcF566XvRNdtuqTkUCYPVDBvz0yw4njQ5fRG9LsxHraxY
bFnHPta937wkEFiP1I3u6tKKgednH3xm88e4wq6YSRoZPatJw0i3z7cxbKFtW8tlP6LiCkte7N3A
rHzf1qBlV7M+1Z8KU6MxCLj6yUojjmgDBxbLbcXapKm3YbPn4bkss9LjalCxz1ddbcfPVFMzg0Wz
VOe4XlL9d5a86yiWPzQepyVmYJSKUz9xMRE77hKGPCGkFnYtd2o4W1s8axpIHAk79ZMJkSHFPum0
R4Hz7dVTS6UFN2nTETVyu/gm+js3VaNSrd9YACo57lKq8k52dAUrpt03XmAYj1brjV880HO7ga+O
ZibnxU0DDn9NUTef+7LjyNH2S3EAK8vhsUmTW9OrPk2Tw1VT1PsDZllelSnnGgAR4BSKMOQjp5LM
Dkc5I2Ev9Drg3DI66UloOoss7PnpCdOfBcJrYjo0csNn8P832BSi8+UfLy/mXGZsMZoxdr87OEPO
DZvKocKjeCdNbd7i3Ul3tah5oVO7PcboPmEkwEy9tRtvQVPppMtN4y6chJnob2Wffx3tpcYs2FM4
XBp0Xt98sk0qAqFOATPiBDiB5jLuKOD4xeIAR0PsR99+Wbo4WS+qAz5QyG4wOvJhOUbiI/6j+hdC
Q0N17n8cJRiuZ3rQlhzD8vAR8d/f0Z/G2kJ9m7XD3gaKkqxc3Aa3HpbKDVzY6AiaAtBgwOF7iHWJ
+KNGmNM71n7hcBBHgG81pqlHFDTzFViG9uM4Qo2aUlN+YElYvokSv6Xd3X37Vu/nA8aPxGN1tDZc
nyQiy0UPh8Lupy9LvknOINHq91qKHW7qK/dhbqjFAAUmt9pIYUK3goOoMVEU5UPP0YpWxjHnzPOa
NbRWLzf77w/8l6nEj1fQcjxTMel9Zjt/mo3EGINMnDD9viSbiAcN5tG698f2ehHatOvwDa+p3pfN
bFn0JiKk0B8zrFQ78lio5OwpP2eCh8oqXFaDyKnfmrTw7n03bjBXthwMta7GzDc42vrvv/lfVCoK
LabuvgdknmbJj/e+MwERxwg79rFmtscIxqTq3HN6bLO2u4ccwSQCK9R6Yk381M+KWysq6sJxcL7P
Xv4dVf5iVGmgInl31/5Cb5oudfX6flD57Y98n1MaOtl8NtNItMIWzH+HV+a73NQw7N9IHnK/wcaY
YHJ7/xhUer+BkUKa4zPUU//lndyUVDFGmDiieCCYkP0jtSmN2h+XF1TgDt9LyVaRnTIA+umNLVus
DzJ3BeTfBqiPi+dmIME09OmB61d1M/lEaWStN7AS5qBtS/0ZNA0S9rxqyv7RLO1h6UKlkaa332Vd
IzL6fwRz+A+ctJreJaclq1JjXDVC4tW1iYMp8ccF8z7ThNBwXAHOK6cDhrmyn5BQYWUZmpuqmKnq
pillUQj8hhMAwvNjrZX0U1EezjezHUWPmdU2sHjcjxrTs52oJ08RyaGGO1lznZUo9MtMjkboOJw6
EjdFZJEmo6BTXzLpAKY6BUjgWvYruiwxWHQ0I+cFv+MrUgE8biSyTTdEDOEDNZNBjGE3jSmHK4pJ
xKByKnZyIqli7QQ1Mroybr1TEAxTRttDB3OvaXhc3GYedqhTpjHUVChNUtr5vok6sc2WzltwiVX8
xTioIrkqp2i6NZ2oeuEoYpwFqV/Trh4y6s6+n+IwxiNP9zuel5DzYLfOnHb6OHT2/BQtteeuUJo1
8iBrTi/48xx+KN7K0fxIsFQLQxytbG+63cY28mnD+tVSfBvdtQCErlg9oJd08FBNmObCObhR7z0F
2SyvzUEE/S7N7HbYJn1HPTrxqK9JhZj1+9bNN5T0VbmzhiLiQOdIEBAMC8FwZpm2ciaILSG5V129
1kckWxjQS45RUbKmlzz6W1MIsRFDVq/wD0wxg9hB50LHTePQwi3EVy9K9deFwe02d0iS2eYMHTfA
NefXkow9dKpd6ezGWjYPRtUlVxDai4+o5dww0idEX40WDyh6klhfm513CxG2W49mglAkIQQBSHdh
8NAY0phoOBftdp7wsSOqCm6l00JDibpxNWIaOSZBJL2wtsr8gbACB8hAMhZveqbVB5CI5mEoQfEg
L4g+8TYAegF8HnyOyslAMdgPU76Lh9Z8jNAWH0RXelsc3hTWQRX1D5jCftcFG8g0+8uagClqY96A
9FB7mDRhxMgpWMVsvdelW9jHPHH8F2CA5m7qEzcKHbq/xtqZaO70TCasdR+1jxRB3an19eVzMZTs
CW08P41pU9LIAF+20jQ9yMJGQ5E3NVp/O9eyOrUOpHQqJ8TioTml0crB/r82aCd9cON2CIUWVAf4
HPHz0CpWD8ay4pwjV1/1VFM7YAe7ofZ5Dr3IHkNAvPq9k7TjaobHFmzryjaJ9HEiI7q62GpHZ2hu
OzXsIB2v+FIZ+XxoA7K+pKL1TXIOwioafs/01F5DphYrB6jCXsHYV7VtvkoxPztFR+mex4FcM/j0
OiowC95bQcIM/dvRvRM9tA0+FhrwOHf/Cni+qXR+sStaWCfYKf63gOcDEuf3e+L3P/B+U3R0hDi6
azhKT/LDpohI3MTmodPAQePzn02RlGL2KJST780XaqNUrVyVxvZN7POHveT7efXvsjR9Pvf9YVun
ZwQcwQI3SlZM4P68G9YY5hIEEfMNgWXakq980cxUF8gQnsrStg65lDk8zThurphd9m/YqOlfp668
m9uq23ckdEDYqCWueRKBytSQ5wS18B1GSvQnYV1I5dkKLTxQ9ErK0rUjcda8WVaAWIIJ3dIH4jmA
Du9HQID07MTEkVQvIg28PBlcx5ottg8YKxq1/9VqvDkd90KxMnDPeqORRofIk1p2DDy/nRDmc5Ef
CM3yzI1KCcCQnuEivOJa2tatn7PjMFWf6EA1ugudnvylEB3+PJzxI5Yk7hXpKSrLBCQUNkpkEm70
WOGVfaS6sPb8qHpdLKP2GWxh+uhndsdySil2D23lNMiuPVB3xdukjsbXwECa2PVllLG7dJBrdEJE
AyQvBfEHciG+5QiOMHW8OFxyKHwbgVq7vUI8U1aEk1S+PCVxPmkHKWoxr/Nci+cHjVHdoq912Dox
2RiNY3o7M5XJuJvQyAzt3tCx66G7hoTT5vLsFsQD3DQShgp3ARi/OnhcHvN/z8m/WBEcJ+Bo+b8X
hD9HuCs317c/9ceqwHnYQLyG0co0L/6r/64Kpv0bx2FdRQhdos4Qhn0/Kl9WBZifLBVqtzeU+e8P
ZxbRvBZ/Ibq4bwdp459o+n6uxnQqWsOkvgV9zBJhqrrgfSWOdh2G1zjKUyUsUjcFzmlOA0RkrHJP
TPeu5szHTCJ53uh6PuB+sKcPud2jtO6Dqn1+d/X+qtRmHfxhqboQdTGk4X1EGGm6Sir3ri9gV3OT
B0zccKlUxinOcXmFo1cDgJETxotwEvb44rG189qV/tBSM3YceQnU8Gzc1l71FgyDfsvfkQBCYHb6
YXE039jNrhN9McjzkL9oDpg/L67qG5OIBMgZcrlOwfHTN2aMwL2dhxOJNXG8dsnd+TCxB1hbelAI
kadZGtk6RVEOL8HFSj/nurUr8W0bIITq4Q1JdG+sUq1xaNWlNfSMUg19vM7JibKos+QuHyGRAcTo
10D0gqc+aa/I6HHkJu019ybtkqn8hSTyz7cB76nucSNcng3itX78Ud6sAbxoiv5EMGXwVMcU8fi0
sD2ETTXKO9xywUMTGcXHv7/96ll719NA6+ypjdCieY741bTU13p391nwY5v5anWq/MU4kUAyngC+
kukSJU9//0k/9Z8un4TnEbOr7xpsGz89Zw3n7KXlqHwC72m/ssFhg4uQQ5ph3iQbvUVrt7L02a9X
gBtF+auHRj0UP/5QHhTTMdFfuC6rw08fDwA5TWJF+FNibKJMR+c1L9R3YIzdbwBG1OGsc+t3omgv
xrja+4LqhUSjYLavpWt1+soSGTS4zAMaBWXMtNYJas4vjTY1a10DU7eifLO7vWPRXPtV++7PN8rH
KmwaYJpxlXq2qr/f3SjdHZ3KcSLtxhij8jXtSGAMcSkO+EmwIlbxERlq/pkQFNicS5tsXUzgqZIN
eV8Hb1lqRF8xc5o6m76kRAy8TQ5WiOPf32K0sD9fZYvcXdQE4HcMjDGe6uu9+5ZuhzeMvBDrhhqv
iQLmeHT7dyo/K9gO0ziiymj1+6mcnTEET4X7yagoJbtmV6jDf1605bkhLVyGHnKaZ5GVaE+xRYYN
JdQHuIo+k4QqYk6kKgvoOlQZUdZXJ6FKj1YVIXFsUI9AiKE2Maek3MPfK85mFt9hobAk1ikPsRt1
zXCpcFxV7BjpbLI22OOyhLrws+tCFUZUvPYxUcXScqmbhJ5wmOGhS3FCqspKqCLLUOXWksnfmx52
5Uj8gvKFDt426tsRK6VpPrYJueo75j9UcBiQos/Bpa5Lq1b7NKpirwHXdSBfpDkYbVC8pVPj8t6r
AjG91IqTKhs7VUBi/mh2jBmDW/hycgPjoN0al5qzcDzqz0kQLrWaVFla9hYFahPcYvSjZuWkN+zZ
akyxIiSH/szgFR9lqSdXZhc0Dw4Eo90YZJpJDVUur75bd5tel/R2p9xHugCE4RUUm/gKMpuKGsA1
1XV1qbSlKrotVX7Pl0q8U0V5MVjlvuJ/JVRA1exU69Tv2aWW9yKBp/9S4duq2LcudX9HByC2VS9A
qLZAeukQZJdugXXpHEjLk9cuwJkiuh9FO5RlCL0POOJbEiWmubz0QpMKNhN0LOX172i4ssHqYF+N
Y6OfhnyAQQ3MqF124LaHCG5xylQtM4v6QVdzh4zWrSrScRkD8NMDgDsJLMx1FTFtRIeUi3ZDPm2s
r7oCueVt0uouJNp89kSynmURDNduP1g8USJi+C1WI3vh1tWSLLrFCma58arFqMkDZxGvu62KtAtC
IA0gejYSmt1KiwKM6+Ec0ZZY1ahTy1USkBSNW9Eryk0fcSrYYkMql5W/OKyYlYmDd1UmnUYzpZ/j
/q5H2UoAcpz6X7Vx8lKOtbU5AGv2R//kUMNGx8ryBs/JVpXs0Ygxdmd1A24YJx5xKP20tLRC+ird
zoVbznu9R3uF3AJgzMrDJ1PsOsLQtBW31XzWmnIx1uDDcloWealrt+D0NOi5Q1U9Z2UZlAerC4Zi
kxO0cV5GZl9bGh2mcZWIhA40MEYaYruom5rqgc3Y4vSOw2o7NnyDTT0UzN19Qy5oZLO5ETelD295
o/GqdJC8jfHYWY5TrOPIise1BzmfppPXcz6pFsJqvwAlCbCk8gVKCn+CEA+UD/YeCUOObCPPUZKm
dRqtlzHKoaiIrgnIjROZvbII+0AfSYaBdqVHhb01mghJp5cEXrMxZsLNDklqiHiTB3ZCk4D/DwEM
uBsen5gQBClS9JXw7bRPqMsJo4Fwl/smsi4yslH9TbaGtrEQ5nhymwCDeQUH5cYZK7akGNaFUgED
XbO2hPgZ1QvkvCo5tgSbyW0vnCW9Ikd0eLTBZ7w6MmKy7hs8vAQaSQS9vbvQXQRolSHHtghQpQCN
Nikhdi+FYM4ZohuaHnrHFZ+bLrEg6Yk42vi5g2oDrRx/j1PUxBgiODBOsArRNPaDYzwaA0S6UOCU
87Gnzx52V7PM0n0H8hEzvsdc/zbVvOCp0lv1cGZZ2++8ok/6Oznbg7/SW9UuTUTFF6th9BpX7GDB
E/5jnu6SVbJb+0YgaYT1QWTeZR0U5rPpV4F9kHaG5niQgzp8YsG+c3LNlYhgSz66rlHJECVQDgsg
YU/9ePXV0Vmp7wWI6GQ7Fb9ibHERK5Ue1XeQT7w6TYHX775iZA1kc+RUEPPfWFPNoUpuW8OeYeNY
TYIHIhGdHG9KLYEzhTuwxTai7D+beWpNtWjwMq34RSwgQPXUORnLxBOYveBIskbqh8Tk5TwXc+y+
ikoJ4mSXzWdrkHp/hQ7QzOiSk/fwgORb7PpKN05tELcvNrT6VkWxpeax9tFwXRHLDeMIcXILDJNA
jx2SILItda+df8+L3LmTYw8GrNXnKX8WdJOZWEWg+ogBU2sIDrSE0TKtdlyMc9JvG7cMnpkDl9tS
NFTuns0yN3ciOaf10F/BMMyctWN2JvlEhWN7uADM4Kkj/j3eFGbFa7JokRUcbCQM7ZeSBXk++gaP
1AYyMs9I5gDk24LomzZsMqK9MroR6WkUIDtmp7WYi3tdm33qArDz2swx/bgEQ2e8gUGfUdbQy5mg
LJv8VbI0FDxbkCJxaLgt+HgB/BC3OU3DjZw94HNT34a+1+/tEtXLfhEKig+/tF+gQeR1fYNQ1b7W
Bt1GAtBW5XQVkxeZoKPqy+SRk0j/ppN3wNTXS/spzJNeMDgQk9+yC8ztA+AMI/1o1Fhhp3DhBDZ/
QIytBfxl2Obp98JVOmpRIz7TKNYm9OO9i+Wfgec9Rsxo2XVj26ebdFH9/9QcMutOYtp0TqXbKLBr
M+nujW0kEOtnTjf9RsChxV/vV6jhAFOVrB0IWzeGtBDXTwUA591C1Cpf1Zaxhzx7xqKOVdFtn0Ft
IeNIaIzyOqTBE8962d9VAf3R7Wg2ASllZeKScju+xHPnaCZzC+XFh/wq1oIsDBs0d+FPZzSlAQTL
mCd606QWd5PCgYZ+ag15fe11TWLdQTEu3AOZsAG/S0otvsk7DXFR2SsVJqexcbgpoHdQRpL7tu0T
P0+ISdD1w9zavPezS9wFY4bEu7mcSv/tpPyik8IZSYkA/ncr5UFxZ/5v/ZrXw+sPPdZvf/B7NyVw
f7NttJEOIlc4Mq7qi/wxeNTt3+ik4KIDceOZkKz/201xfgsoBSi6LXKn3mNu6LMA5yO+ywVt5pJ7
4f6TZgpl6k8lB2+OQ1a4wYQ7MFX79seSI9B7KmZor2AWjened+xys9gdbFvM0BuvAaII/9U8M3Wf
dn5tw76c5uAAjSlZx3ktHmcUUFcW446V0Q7+HuM37CwsS9WK5YwZpFslm3yIz3Fj7e18IJsR4RiC
t+pJjPmdMO0ByX3ssxCZSWi4GbjK3kbOVlbIFhlcYE2yC/NhqGjANo3prRYrLk+2mPpH/PDIrrzB
Xs9Ild50Igpm3/oAcpSW7MBCHI33M42Oc1a7zq4Vjs1elI3lGRPQeIRw017NXoIPX7ZlvsOgk65J
GJTXs3A9IDwSCQfg9KPdMRgZ+tECRVsv7jrmcp46VzNlKEgkWU/QT8rQQ8UM1FKv5v2idzr6PAXU
d1rnWu9wshfmudENgJ6kD0ODAVoXAQfPZIDHwUdFkic5BiACxraD3pRUwqyvfmV0oKpzEaaiJSYR
1S43q7xaBht9v6PB68kyNoI6KkNc0s1WmrGskOtb6GmdXnK4AviI1rxdizl5gq5jfhCl43IW8KaX
ClxPmPRtgF3dAg7YwOXTN4AaOFSvCK4y9KsJYtHyUIHdycdNKmpfY4OUBsPSuhi1ZTu6MA7Dsar7
ZaU79NlCzR4YT2Gcn8+k2PunIA50jdW3pXJEbNaKXWn23R5MmNxBMCH+IjVs71aW1UD/fdAHKhKt
TAa8oGhl8NCnzrWX0zvIFA1+o+WLhqJwCrCAZ9DxThpEk0ZbQ92W8bKrm27pups6K4jPBa2JG9Ej
M9GaIDKumgmtdXX0ompwuxdEic65WxoSKOFp1ymMnbAbaOuL+2jIy11FGqcXw6xYpklsSQHRgVXY
S9MNZxSz5ux+YHbQ6w8akbM+ocdBhm58ZcblKM2tEhRI2t05U1hd3sBWnZt2ywZXjSv4FAZYokbe
C7AIVGBZ1cLTJOUR5qYWy3WK2kAl8vQY6VNCkZ+S3EnztcneNYeDWxJ3ZOAPDjnwvjlLrDj0rRmd
qyLRmhUrCcyUjJbQU0REbHnSiNk1VmUz67fLJNxpW2ieoAHQJjXyH6qM4wzhdV9Xhcam6lnxSvjj
/NCxj8QhjBr5nINDwbvUutanNrHNNZtgfKtyOm5dvEubAc39yuWMLXZ8AR30EJGkTOAJgK2g/aRz
1dy5hJY+BRKRbuhxJlxCCEbKfBEY3cHMsuhAQzI6+I2nCWaoA6S6eJDO2tCMgYaCUXnc8iUnrYgq
e0a0lODW0PvhTH1W3VERxjuvtcPEmJxbUNcxs91GXiHCg80HyWB5+XdDrIZ0mH+xIZoWe8TfbYin
L+L/XsizeL8Zfv9D3zdDz/gNZ7eJ/sw2kNBdJojfN0NoAR7zRgaatKbVRkmH7o/RAowB8p0cxg4e
rUeEWP8ZLdg6jAE21sDARaKYs84/2Q1/ahKyrzJv9JhVwGIOfJAGP+6FxuS2eKni+gA0nmDavIqd
W6sTzWkphL9+d2n+YnDA3v6+oXr5LNIEda5FYBuXccn7Vt/U0/JsfaM6eJagSJxm45SNVvA0cwWu
MX0Gm7//vJ9ai+rzGFCYcAnI4gqoCH/8bZ1mmV7j63xeCag+FOwyUZhJutaDZKLKIcAFuyZ941G4
qfn49x/+U3defTiSeZchAncPrZX6cu/6mq2m97JmETgs3TC8oV4i4KQACXw9G4s8y2gJqPT0X/3k
v7jEaDU5XnFU4llTj837Tx169OrC93BfgHu4y4tkeIOJSd0QpJ28i/X5H38gU3T0YjxEbgDGQJ3n
3n8gnRvZsL0F+wRT5tU3plgyMID2Le0TAeTut5Xof+s8/3RdPUdHTgltmW4RqJifph5zb+hLHEnC
w2rZQvtCK2TeLkvLNMYXNh1cCNYG2N/KPpDVaZyhzVVPNBU9gc6bUZVKF/LOw2yaSlLljKQiNQlu
VxnIj7Pp/+IpIICXC/BuigA4xDEMk3cfJy/DDKU3eH+BqhJDbgYJZ0/rO7aRhqOxuurjQiczvUZA
SQigIY4EK82FisWhZcI7OJ/xfXJm0OGuHdPetw7l3NBoIKfLDZGT8yzBeqqvysU3TiTBATecdGyl
m0v7pTQJqSAsw6HPNpo9Wm+tS2nCzObibxtHGiegxbDYRk+vrxoiXM7GgI4gonNchAvzLuezP1m4
891ukRNNnpZOA10zeeeySrhrcj/zYI9zU3uGNxAQkNqZHY9clHEAAmjMYKoOMVobxheeUkkVaqRp
Jm8GAAH2vaxmcV3pCb1B16EZPwW2TXtJLQR0yHlP5dTLO00M8i6AYuXjSG8xxmdmg/xZtw4useU0
RSbc+n5pTRDG+rpcBXgqUtCzGdxyo3NeCSmSZ4Y1dK5QtjUvVjLIs9ZqxqMz4LKkoUYXDBsZmqI5
kC8ubOZxBXmk7rmyjjwDGOOXNrlNNHzR84FU+NETEDTqztEXzmsxch1xuXHdOqwOY8BNo6oOnkS7
OK8ujaYzwt9g01q4d7dzndLLCiStoLAnjP787VlNMqzwq8RK6VOluezfigzWEuZbfiwWwKbf9WKi
LaYRz5agrIjS8kAYdlsOwD0Cf9wMhOM9o3wPnnxc5riuczgYm3K2eU7gU9mv3wwIMWT3GKPhdTB3
qqjHBQh/IeXJkHmjYdST9VUH7rmgcYWEBNgJZfiECyMl0AAsAWgX+srf+lzTqIa5QYIPbET73oSi
Ub9VQNAO/bju9pfrb8vBWVlo1sl58AC4+1rSr9oq0E+X/4f6q1qVs56xbizJXuO33ifeMK1FDFqP
fgcPcKJeD3fIRbMn6y2KroweLBruBEHuZSv94Mx01OisEFUog4Wh8PXsNLQ4IJzQL3NTPoAc1Tt6
f7WMOAVCLggjzncW+rbU0A/CGLxJoj3R6JP2dJK13Qw9B+9ZrM3Yc5vKKcKE9J4Gwhu9/2tzCeYX
hm3ibSJMCndM1i/pnZghXj33XP6EHhyiyd5MKtpsel6HGpGdq1onsFpzJofr3D/iSEw2MgUFGqFE
3eKxx+3bygNaUHtL4IN1wpk3rjiC76NglldDXMtHtxzrVdJEcOHxHNCZpBcN6df4CNKkXTfJTBAp
I+xbzU2Gs6CvFMOempxPVE2BzfPVC4xQQSqvJhxFe9uvY8on3awRddfLye/G+I0Wk3FygZcfK2zc
p0avAqb6AAwAAYiSGy4RuoYLiVh4ppbhLUihca/JR4rTNQ83RIZokNU6sCfCURkhR09W1ZPlYWj2
hyGJ4bV27WtlEPaVYZa3962wWLIND4NmSLgGj9ScO/1bYvAP+CdGeWab41k2oypJ964GIUMsOKaY
7TUvjjEgi5oTUkG82C+d0Jkm1LMAKp8kYSunxsYcOfcKUT3l4hVVavyUISu+KjFKPWaEizxn3cKL
FcyOdYh01LopPgjO44GCW+JIXrON1o8usPklRQ3c8zMAC1ql7xwZoujB89I3xqey07TlsIBc9g8W
EHhLrIyml1uL9Ij8CCTD+rzEk+NuCF05/jcQDWtkcmDw+uglSfv/E4rWBMJ7gP2Xe6Q2iYNjjdq0
tkRrrHgv/5OOVpnVrRxNfIKLbT79HJNmz2ZLeFMBSuhbTFrlafZnsuT4/xt2rO6Dk+Bm/xz4IqUm
Zzhbbxe/psYz43wEokac8jXExJFLV0YN6mkn/oiLst6nduXfeomlrzPeKiiyTZfT5476l1r6nEUa
zKfXFtOOVW5M3NaWaAAIlL3NYmEXMUxBv58P9DL9E2m0bAuES4HwLVwarQUGNCdyWN5yd+GhaUee
lJ5m+DqWMF9oyGOqWsdJbZzoNbGWtq7Jmp4F/D0TuWU7d8De2QtuzaooAtbBcsz4Tp4/03NobP5F
kkPqDKUVQ/0pGvJ0Y5P5f9FN3X5GxYGh14n7fkc2pn9NrJ62ysiTpThnM4Hf5PnyDhQ97xJ962Ln
zezjdccHW9Fivy5zxoJ/WQK9ZKT765HOxqOPaTG5gxpE/sPYCPtajKPOGMShSdthWn6rLALSmAF2
7Pzm0jqActgfe9DftEudtKAZij1MjVAdjxPDTF2z+/a1jMphPtQmGSeJSFOIQI8U0qu26Lr9NKMT
GbDkPJbkXWyMpaAPbwrTrRjHzaUtbww3xoqlA/x7ESZUWxTiE986LRt+q5gWPhKi4+ydGd4XPbuF
C9e2DAtgfTkoBV+fPA9jpe0ex5zcRFh2zvwQwf57oX5mYZ07LbsWTQcG76+D8Wy65swbfM94KGoN
VuWYaF+Hrg2IIxRMW/nOnHIuEyRTCh4Lv+jYydtgwFYGwxHDZ6fYEB3JbwvfJFVXFK0lMasOKDEc
4j4anbJjqQIVwx2F58BtGks1ByOq7qQZLVXDYKoO19rpETVtCnTE+pOhzbaDu2zmaPkAaV8bHyZX
Fm4DTyqJE/9c5H7gslU1ROORfxK3M/PRPNVigyA4TssQMsXAfBDmzRl32v9j77y240aybfsr5wdQ
AwGP1/SGSSeKovSCwaKK8Ah49/V3RqrUV0qqqVP3vlaPUSrTopAJE9ix91pzQYgkkDJdBlker/D2
4Xx1iKWD9kIN4hqRfkhJDLk2MVsjRIqmNX9Vq5FG6yFL5vLE5a/upcfKkvaR9jRqfnzQyH9jyBvx
6pm8HPoNlJVpdLVN1g0236NyVoWOOQ6V0dECt7wkWPsu9FjSzTrEx62HaBxmQQjIOFZ7iXORNkUm
7nH/BxKvb1svkh58qkipSGjUpK9abNkbD9Tizp8lnfu26kl6kwy2WRVei7p61bLpxh+tYc99TWHQ
VToQpFK/sfOpX/Vwgh3s2ViNbVKxSe76MCKe3iS8RGE0RsRrYSKzdOYMo9EVd1xt3svFmB148+Vb
YEUargazXXq5sw797NQhg6OpE003+lSGH0vN6T7X0jCvZZ8rCUKoU0CO1TbzswLBwa2Zi3sqP1AY
ZIG82g64IpM8mxhMqeEnpKUV7mAF3k5L5r9oEHFBwCOETNhtIlFXObxpSaGNvmep8QZuwHH0agWJ
GAgTUNuxGqJ8OHaVoe0dE9jvqUkzbtI8YrWJnZo7cu4VnyMYM0agUzok8bKn7F69vztVu46fdiWq
DeiaNo0FOurG5baf9naCY9csdyWdN4r+nryMRa0K3/eP82b3g9AaRBm9DLb9ZLlfbA9pIrZdItty
lwFLjVEJ4hKuGiU9sEYhj47KPjucl8P3j/tm689x0dnZjsPOlOSIi10XW/LMTPBl7MYkc55bLa93
+F2ZhA9Y6+q1zIvp3nEi1uKqV1Xu+0dXyqqLs4vUkF0xDzgf4jKrYmoSuickGO4GDAfGghxP48FT
q25yFhq0Ycmar5c12xJVeWMgZHE/f4R/R1i/69i5pHH8cLXeuObuI/n1r//ZN28Yn99+8P927QTi
P2SVhDL8HNWgGnpsSXXCxf9u533v2WESQP2OWJHZFzp+g17b33JgS/whEBcjxDEVFPQf+ATgov3i
5iL2w+Qz4M8zL1s8FQtznfu+3GnA3xbJFEmwH1Q2awrKnPm8/TTkfX/KtDJmV10+ZaGt7fXBvTZk
R/QrtFtlO7byO5+41tus0x95m0GVUuFgG2nR9UNXb+5rgSXfmjTSq6YR60zjXpcZoa7gIG4T3rTP
vpmfnCE7mdqAKhN8UVvbPsJ9qvEMc9WC98Jrp3fxdc55XFZuSWlT4FbVNY9gIBtfTKxDJPf1W0c0
JgKs4VmOJG/ZKXNjCyw7RdNrA+59lZvhtHald+2a43aIYZaVYfHqp8VpEP09mOJoQXzVxjLSUzfN
t1YCFCjkd6E3gFkfP08lCXqyml/sliq8Fy/41Z6qqdnIDAoetFTzE0C+XVx7Dk1C9uzIqOZFoXnX
ojWf0j57dvVZbPRwuNfr9KTOQJvTRLDS7DUpCw1XXJtszAxJjom5b9GFCPr6oSdQebj3ipHABwP1
QZ35L0OQ+ltG9bswBMHRGXI/ZzRCtAEJAmaTpWXHByMigHZM2fVF0/1QwiU300M4Zs8oHp4lc39K
awodx2rWFl+IuK1X2U63FmOOzWS2m8ovybS00sNsdUhG2ghDl8FW35CcKEiYvFxI/lqwgEVriH64
JLVeHltygNZnYgJr8nMnKIf1aWbypIgA6lglsV7EY87YmvTb1hi2AKSPwgO0BAvrWLpSw34fvZoZ
v80W8Ykw9KPBxdl5kpjhBGLeQuIWnIMWAknrkMLqm9oqbTgQVstkFfkWidR2cpDT/FhbFaIbe3wg
LnM1TgUKxIgIpEDGzzj7fUQk44sn5yNSzHiJXiG+Tiv3CfLJn8zdbnyitGEakrZmtLuZcO9dNfYP
lM07xHtEoNbmLiT/c6HpXkYeOuPQrpuPkCAjvB9cT98UJt0W7oRxVpFORm4uykZ/LELx4ptDu8hH
ND5tmB3QmTxUdfdgjdlrrsN01ukkrbp8fDADQW5e3JabjBjF9Yykbwk8njwSdd5F4WDXtJ5kVSQQ
lOzrEpXMplU/x/dcRKPLrWg6T7FbTzuHbjEAgvG6NLTySxJo/tJNomlFmHN/ZzrcdtkYBktEEfZy
wgO6q9ypP1TS7vdN7nj7sde0m5QG47qay/ym0MppQ/+tP6Bua+D/ZeZLK5ovU187V8JLyZlajETK
W6tapTKv/BzNG2CZ4TlwZa3h2DEydhdWVTymRfCYj9RUq9lqwLNDzcZAF1xbRfqlNiFtsANfj5Ez
McKOV2U71evKIhRsVfPixo4z1uHBw2S6cFDYZlp0W0iGwINmPRLmGy6bzrbXPQoreob1S1HQsi20
JCLbVgl2JjyEM1KePM6xERCeeStau4VUw+0/J8aLJL8YwlNeLqJeBxdoiI3pMgLkU6jOBrdhFQh9
NfL6paJ0u+0I2IwuhPvkas51h0JqH/T1KxK/o+WkvxE+v2nUUyC4DFyUf4JK7LJEiBOHiMchlTur
Z7xrdlULJXe8ju3qNAfC+VYN/Neu+ZspD0fzeaGZNgMRQcAk75QfhhHsILrCgWaEm59yHDHPgSj1
aOGYLOg/vExvvxU5P3IY3hZe2NhstmMoAgwiWC+ONLhwN5OglDs4N8++ipZXy3EiBrJiaK3KPf+k
b94/5ttyi2N6DNHQ6Pvq7z9/u9As/Mhj0gwb2o7WdtM/0GfIlqBld4MG7ld93yybj3XDAvj+oc1L
7ARAb/QqatTDPo0m/8WYh0JuIIXRK3ZASsxVInPvdkL5q5aLI6qMFADd+DI0Y79Jh74/oDXjufUL
Eg+j6UUZaMNiPnYhBf5s2jvfz2kndFi+veE4OCzfnmOUy5Q470omCNHqTW7392MePup2hH52tK47
jxaEgg1vbVuWn0NmNEsKyuk3O4Zf3EIge/BDMBGF9X1poTGyGNgfkde7yGg2lmTb5M+3+Ux88vtn
VFEJLopnnwMx4nFtZEDIBn6+mpCavJH/k3vVz6x9M463k4ittU6Q46Jw/ASARnpqQwHvsp9uEVDk
d7ClYrhC4WvVsy6rUiVJKSCEMR4hzxCpM3QPZN1fm3W/jTyWe5J3aWeHkbMFYjY+hUiVt1jAgWzF
U3zs9Lq5JyX5cWTvi+wttg5t7KGoc1p5pG3+GsS2QzYn6Y316MktrsfXQM6PHlvmuSWiD/nrLprs
XRQV8RLldUBbfTymLhZ8o5tvCXkhE8Pgz6Yt/gXd+bR0BTXW+yfyFysMk13sVGrgatiX00+oOLJC
MVwgaITqSzkxsrLZpeEgWjZ37x/r7XaSgTS6Lq4WnBgsMz9fs9qYYjezpmJHXO691cSHXP5uwTw/
ST9vqnxlZ7Es9evbwR/t5hSyj17spN+XmyYejaUVzC9qpQd/OME5CA6pYe18zbgm2DZauwUxuWPw
Cf/An57TFwsslzX9oQT1csJLPPJZncopPwkRvs7OYK6Zr6S7DC+Okl0MdMjn5iojo7n3yo9ey392
Gui61kRiIt2jYcHOt6XVVJUbpK7RwvQrY9uNJRnCRvxqF9yCVZye+jE9pHY4LT0noUAVqCdtQdQI
fe1lr7f3pEJHa8ucj7+5Jr94YrkWvqWAHTr4D+Pni1IYZTvClC92ImOjgK8lXsYtAUlAGPnOEWeA
CK9klU3eNQqpEhFarS9o9hC0yb0cpMWaPki3GYIZX76D4baL9KeBnM2VB0t5kfbOddBBfgBMc02n
OFnRaNSWJSyklZtMj7oxvMyNjrg+/jCaVIc+QdfLGgw5mK7HiUIMSH5Ubs1s2PrlcB/ikl8kNfen
VbLwNU4/LEjNSVbwSv2tYc+Pfln335Se//XF+IuHhHeG+p8gyMEQF+doCCsaqUMPztcrVpQ4uIgG
Po7FPCkow99cESGUZeziHvZ4C7OsMRP23jyTlWVO+Pi6YlcbeBWE08gVsaSHgDeVL7g+UMVIt8Ej
tOgNlimkbk9xmJ0ItSV1WwbOQhY+/cW8r9a+g5KKpjmROpP3Z5OKK633bjI/b/B/qMFeIc2VWYLP
TWYIn9Mxd9XLmNssNNPnYFBV6kAe7ayfqq5AlicxU8XtuofPumm5pOft5WyN+B1sfqOvBhqaSrAt
h35TBh35yTPpqiP97vMmKICktBpQ9x6KbniIWzaSXhp2y7liq2fPw0MNJwqoEUJHs38wUnFbaTHN
Nao14XaruEinlfoHDWwvBHp1Q5ZdvxFW3azVY9SM9rV0hwcnVBsIpPw8T8wus4pqSQ8SImyxerkl
v7vW7KcqsXnEMG1d+fb4ggRjNXScYGRypxg1JaNYSnErs56SqL8fUDcsTWnv0EoctD45zDnxCXXI
A9y22YFN8TYPeLOQac6NydPhDCiThf0FqXdxSIV9DTJtZRr1tFQbI9JxiaioakkUlH2dtdaTQY/8
N+9j5xePN7UONma6XNxRlyzZjPlIhVM43zXu9FI0/X2j895TWvbA5rFW9dd5qy2RX25an0rv/MwX
UbuZhmaAGc6P0e9dpW2RrH3o5V6PzY8RQkiUOA6KtT920y4TjcYGLc2VPz9eV0UWvlRa5p/KmvT3
menbup0ZqRQ8B6DYzGtDY41J2umxNym39NpEK6fHWBzCFhycR2UdsjHkfRiZkgsSUma7SffQ4kBb
1Ab+f7w3S7/LTpj/7i2blimJG9hoYcqtqmE+5tHwkJDpvsoFdhlbTi9OQ3p5Xbb3LrsD5LjOdc9L
hE1m92Cia1DVfOt+f7/+22H7XYcNxNL7mjjGWdH/LJ9rmcU/46mMbz/6vcdm/8FLyVHuXiBp37Tg
fyvjPAvSlGqi6UCqLMpAisC/u2wqDpWesqlWT9Pgx1jSv5vuzT/4rYK9DgE852bbP+m0ufrlE+bj
iqS4d206gERmXVpT3RSRNCnCBJC2qkErfPC5q7nhjl0Zfe2PSgiqS3DsboSNwZjAOjJy9T1IeU1X
LI0BaffGnMecADlbhtVOywj8qxeEQuf6Qmcs/zWPGYWCJ7SA1LfiWtqUvK3V0TSeDDjWWemY+z4W
tOiHBIITQzLu43wGaelDxvlcKLwkcYG0tPukUVoM8gavBLiN529KIPYTxVISQubw/jC8cmuAXMWl
mWrqR0zlFkyTeLo1KgbqnclbCzmHTqe+bbzxPhxtxuwxKJEzSDhIwWCqUtatb0KjYKWXdi29g0Or
5Gvj6eIhU7kPrDP0UEShivLSwnZFjDSNdgzyfI3SV9IUwwjrnS5M8cB2lWGmQZUvpdbtzD4yAe3z
TilMpCSNqTO8dfIGzIDBqkMyTBg8Jo7qmVUM96D2+QmzWEZszVdwrpwBkr2Nh7jJ6K0HShQ24ruG
LK2mDTlajucpVEPBLuQD2LjHkAVmHE03Q3Ci2KRAj5gEzSwcf+RbWynH9FKTYBDCZNhInCey3aCb
1w5422MRuUzkyCq48vpALIDpjqckiPs90YYpUbMMxhlHqfNJD0fNmsFtOyvua/7LtwuaQRCpV2GM
g9/o1BU+z2S5pE3zRGcHx8xQEguwGlODiaTeZFjP0JDxFeSU8KeUzPqUv4f97dLOOs7LkKgEoQhq
LhPEyQIU6mouqg3Mr3a/K1PABZ9qp7HMTZYT50ujcn6Ngk5NJHqMdVM23LdzY28muMnWMguQPc1G
k9wRreBbsK0rajyRGw8FI8DPZ7WFtEGdbdKRduOGIRt/0hwY/Mqohc8WqZuo1eGMYhzi31H5cDcY
NRElVAIt3sOzCAP5bGedMtdlBFaGDTefZjBdDngtlBRlAPVxuGMQ09tSXEdDxUPo+iMXGFMDsyvP
DxmNp1Qi06FIfCVl9TMEcYjZuN8Ej+WVLJkT7dwkMPca/F5zSeYpn/ubryqHSIOeSOGRkbtwxwQC
TO3InDIkhFPj2vXqPkErhhZNjc09s0WVZ3eo0EhlN5dtBXaNrZG/dtkibqcevttZhlKXSfB4voXP
U+opbeRRqocdPXj5OXAQrgxmxykZjHC6HUnbZVttsNGELZ5uSPjC7HhWMrRw6U3ch56SoCnp3reZ
2vmRIOQGaQNRhBgK1ZQRl7FJamxcfZ5dBv2VDRxn5XSOeLAGGTxqSrxHjyKJ5CKpKIcysFmkXkr0
obNBOB5u9qFfDHHO18H+uo8h9SG2OEvEPB17zIKdJY3vFPf4+iyAO4srJvrkQCgogfduRK4BVHj/
aq4Ud7mNJ/4EWQrMfxlmeAIB3QYTWFL1eNC0uplYT8MZa0ZWujvHrvXNN7FHNWpIWyKtpimZcv9g
YguHzdxMXbRm18EThviQD4RQYLzPDRDG91MzlqcwgYMUT9A0zYlnOfUVdbdI8d2BqObPsZzc2qcp
nZcEXvODrqMwau2y4wyifLgvudEhkUVp9TklOYT6vAmZc0TGw1m97AD3CMibQUb0ofF9BE1jB2vd
nPnCY5qiL9B84lVXkHrFQ6DPc3kIJRaQtVnkBCECI4oJSJ2hvDO2gOs0cJWyOLCem9hgaRbBxD1F
bhY3+ORAfF3WTQYacPB5wsdCMEVlJ/mQsAuFSFTn6C5zkjDSjWgQ354p6IPf80TkTiWuY+mLhxwR
NNi+nPbuuic0kSdRkDl2sBI1dTbCoPmKuwkhFG33W2Tc6CfUvVfHtkiObMnqXSdcVKvne97CxFQt
9ZbvvDQqdf+zExTXXdz7j7Yt0G0x2OIQ/YBF6o7ktnTc6JBQEOg0rbfCwqnuR3/CFVxWnv+omTMX
8tuSljSCkTmqCm4lGyBdt0+8ptIWmN6Hel1ikbi1HJ4ugjx88lEHTq/JZPf8xOW9Zz0ORTvS8qjs
OtqcV1YpI/QwAxlGjyI2C3xYjF/ST/Zgsk5kZFejYOjBb1tRaz/7GfOFpKvyO6EGMV5YfC2i0d/X
ZaleBhV8Y9z2iq1NNAuG4dlmIcuoH9D1YHKBRk/bR6CUmaJpx/LDSIgM7Y4SYhFKDGJwCmf/mCOO
YxrjkhzGKYn97G5Osr/AzamozKzVwkdepfUOpHnOJQK/wIZbKU4lz2S9ilhiUBcOBpZ88mudrxLj
sAxFfQD+0OkDprBhpA4x6we623vpqxdR4xTZQzwBEOMd493iMSGyEhu9uakrE6GUEO012mt5bLoM
LARE7Y+xW6GBJDD4S4VhSzNkddXoJHTVAPh1N+EZWHS5yLVh17bTvom68ugmQBGDW8AXEt5t+6mo
kJMButhojuvfwi1fJLl7H7Bz0T9N6Ks03hMyxwsDbSJnVQXSwW7MoR2qd8aqRLOP89iAnukijiZG
vrISegxGvhOiCqNFbJUY6azU3KSF0fsLjNwbvRuHg51EabrE+UNMjlEgkdxMDsSvHeasuF6GjBZG
Tn/kH1vTmm+8sXUPBBbwmiP3bBePGu0J+N4fLdHLk6Y7xU08p97BNQLuXoGmxIk8ycg1KdnjlCMC
5tTtjvXY6yd03gDXGs0enzPoKUD5849W4lbZVVY11l2VRnRW2mbwaFnWPmIZs3+FoOv/GXktBsCB
iKuZm2xd2W68ghpSbyYt8Xd6X2HhHltc71ipIvyE+Lc6s0lOXh0lE2GznfM1ab1iM4N/4D0e60RU
DR99EM2blEHSFobGF7THSztO3D9JL57uI3tCoZnhxjJTlwlha9d3jc5pdfzCWRPuPL4kHTzzxA0W
YmiakxdHM4GpxBJKt8s3QAqsbeD37lXp06MNq+ah8juim2qHymjd5JU8tXOgoGnwJ2yMyeuQuuHQ
5SRmYRvQdvBvmn3qd9aVNGd9yUkr1lC8bWQ/8HVG7IEYzRhDJirmlTskvSXiccUw+AAkT9zwEiDz
1eoLsOmas88YOt2F0lyaBY1Pgq/rrafeEOZU9qsRJzwNSi5YE0/a5yYYq1XCLvY0J/ZdF+fGCm+Y
fp/WiXclp6z9aAD4vppyBuMIeV1+bqB2/bPtSbxcAWmZDwheq20StxJqs0QblXd5z9CdfDFs4YiE
3MHUrnWHVG3evO4q9axN59pKzZTm+4GRwjOtOJRaSivHuB1lYV03G41WKmghd6BbMrfdVie2Y2mj
wl+y+BNsbWe8iMKo3feF/bWMQgsIKrBRUeoqJ6EQ+ympzeeg1kkaA9A/PlERr6muoVXC9ihWU6qn
67aynIegYkVh5a/RDUhIM1psuDvkUKCvomxaNcY0cdEyMVxFneYSaml2Ce7NxkHMUq1aW7/vhzQT
6xAUJrZ7EgTG5D4OBKY3OBJWtnNn0LFfWfxB8SUolbErlKtA6wuCCKJgrhcyNINt60QaC1MdOzsv
7YZHjbQk8NdOYDgQ+UW0Unv7OomqtQt16RQ3PBcxfJfH0vGy/eygpfYRyG/muZ3XNCn518SNN+Rs
6R+HcKSzh3BXWtohtlXhx0Kax/4LHqvwClE8MfZt80kDmnLMa49eW9EseXkFH/LO0J/8oXHwe7J3
aQ9phYTvU+OUnb7PU8dvD1olZqPbsWqRFu4zxRtwH2hUTiEbt+AmaH1crGUPL2y0YwkfiNCbeodV
GLgjy/eko7G2BbrhrZskjPaXRmZp+iJsNH0Il6Gtd+ZnL8p56xpdMqEjOGcC4Wa082Olk9uwSSUl
10q3c+wF5AEhpLU7atCojqi2iqGhEHF6i3dTjEBzOujKfDQZg3iAuZEt82qgLPeVK+H95vObuRhG
bdxXcNeUGOatBMpFqV/ndRXtSifkhRnSFc6IZCY7zKXHGptN8QH8rWftJ6kEnDSIm/RAREWP86L3
G0a2eBp0faJ4t86vaYyb8VaLqenARFJNxMpckQVSlRRq64m1ABWslgds3lIkroQN0qf4+q1GjvMB
SweUGM7JVELGDJT3oU9mukO8Vp5pPtLBmpksYft0Swqy90+HcamD43S4hmuByLDoaNCT/7kXT3xV
hbHV1bZmZHNJDDnjOfA6VXkVI5/+bM7AftRrHwpDCdPHPOJjwdicP4y+w9kKTUGxZM/MkJLM4h85
WfxKQPYUrs+7VdNQsrIBRMh41Q3o8ncyZENORG4JdiPsq3o3T8oLZhspe0knndAnetQnX9//suem
+Y9dbl9gg+Iv6HA6DoxLhVLvh7Fmal62K8ikrRe4GDqa0g7CggUSIZuvXObF2oF+8gyQerqvWjoM
VcQOPJZjfZ9DJP3NJ7qcKaq7UbXdldfRFLw8fz79mg3nq+Ntv0MSRLF3due0NJIeGxoznISzCHsw
SEWxcCTsy55dAQGbCKcFadEk+Dal2jmhPX//g6nL/vOZsmz6XwZ9JsOl23RxW3QRSOayjZNdIH3u
3lxKc/w0WySkPMG+A5ph5T5Fu8SJkiIIUREx73+AX1wrYAyA1wSjQpNPcTG5GyIGO4C5wp09YlTD
k0JqzKrzRQB3SGuikD1ZUG5jhcJDIhTMxbp0muA6LFrx4OkdlBzgN/1vVo9fnBbsmkwU2d06oOsu
LldBPLGMEivcFRo7pIpI0pDJrGTr1tNDWraxwQahy2f2EBBlyt9ZDC+HQpwMDu+ov9ipCutCw1CQ
otQVhA3ubHBWQJ9FNZUUZpWXJ1wQBrvE2ZiDZz6kbqDthbIkFIwSkmOPCt64sRwoOpi4QUBEu1Y1
msoqLJLXs6/sG8fnfBH/7UT/phONEsF4txN9fC6a5+ZHb/bfP/IdVGLRS/ZdHKVAPjCTCpQl/wGV
oOa06VQ4HiiTb+EJ33We3A/fO87OH76vQ/7QaW3zorP+GebVurjzdJ8iQedBZLlC0PLGjV1Bt8yS
cHSOuVGSkEPzXBB1hGSGMqJr2JNA+DDmoIMpniuAhSwmwW7M1rXaX83sZJRLotK1/NA0bP7GtTaP
tRXsvKAjyq4zezK32IjMZOtFqJfdDcyr3BquWyxqpK5OBuL2pQWwtA03bZPlzhW3dPOCyOWutcCj
LoWhgYSMHHeTYVKfNk0VroiqmT4g6pyhHrbEgTARF9C8Fgzxk3lriLrRr4qRZM9l0ujox1z2u80u
q8hBuU20IP1QV4H/uclmM6LLUXViWddkOh4dkPrBmpbUk0YnQnIIOiHr0c+MeEtaEVp8c4IuxBTJ
u0mrwvlcue6w0nw5fIl7K7mdbZCKsmOvEtdKVEfpN7ZgcyON8Dapldt0zkkU6rLoi9OQom40piHZ
Y1AbSt97ycbp2tNr9qN9mk97fgkYSTnmTWzHOkodV6xBMfnL0dRzfg/D/zviJuBL6dOkY+AAKc0k
2/VJY+9kvaDN4EyLQdCDZVXLbzv6i49jlAd7xobDdgbLdedTcR/galQ1TBBj1BYBrYldlCXxV+4H
+y4hbxtmvjS0mygvvO1oO/TI5SiuhqAtHqLZjSE7dfJWzpa77EdsUEiBWuOExwvwnsRixQbaMG/I
gupWeJcIPoDyqyYM8xHrEAaMuLO6Ne1SciYjSuVBCxhhDOZMnBsj4uUUVPMXjT3RxoszbVsBRiRD
y5hf9Nxw91Ejyg8zTcLrTqvkldTCDk/GrE3Y0GanF2Iz9lZrkAv8/e8tio0+OmkYXktqVD13Y/Js
sAQX9SGBMst4NQ+aIUNSwCyXKtuotXtPEx6bo37ImmFeE5Eh9Jd/V9T/Fe+CURe1038HQN3+VRTN
lPXPRfz847pqfPvB75M96w9ssADbWEJUvotC536f7Ol/2EBOAC85hnOWw/9nsgfmif8ETZvFVCgV
Iavx93UWUgbMJpY7D52Gmgj+k8neN3vLj3WX55I3Y6KMAowLBuoSIoCUrJnzUp8w5SvZQcdDT4hF
NjC9Vjgy1VcW5jLP4zrfDK1T+QuaFfUe46zQNzCJSZqJMh0dbtW0mY102aY7AUOyQ9v3UvZtcDM4
RNPmE/pSpOmjWMw4R8Ui15qGHeJkrWYnM4hyNzGWrt15otsEgFUlpyXQbzVhyEc64jWkmiq6ZlOh
r11tnj8GhkanzmKGt659nfBYBlbVByZIMJB0hEgEZoy6+wzI0ikwV1JELSQWB6TcJfHwgHoI44iK
XezO8V8asqeXYdbiE5xWlGGTTFgTcJtdRXkGK1+4DSoYinywNZ0d0kLQBvuWIjE7stglN7GM2lM/
NNpWBMm8DPSAjCjZ9uMacmS6SVyAkUubk7IcR1JmNGZORG3mePb8MuDpzWzzo1dzmoXm0v8gF0U/
FE7YrQuoGjvDqMI1Ebw+0n5LHIbZz29b3gMbZFj5HemIkqADr4ZU60EP6PW0ODBkLvFizsEyHSIy
TtidtMvay08FmFt9PbnOgMIgLWcwpjQf8Si3V520nhqwdR9E07CgenCvVBx7EmLJ6rx0W9Sd+Thm
qbEBUOBtaZ5D6+rnIDhR98arydRxVMhiPtl239y7Dv67tXM2jSn7GC/SYm3hKHP721wZzJrBqrYW
njOr62K5bJQRjTK7+yyUOY02/njTN4lNQKGzhpjZLu2zoS3C2mYqkxubhADPaVLc2ToWuNQyPmG8
d1Z0AQhKdjDKFcoyNynzHFD4fDfgp9OlaJdpmiT3RJDrN52y3QXKgBc6cpsmxMJTAkDH6HRJ/q0y
7fnKv5f4gb3plKePXfuLCHwNd4iy/UXKAchNDq5CuQKbGX8gYw9zLTx7WKXsMVZOYd9J7rYlHpqj
VA7DXHkNYQA8zYy8F7PyIEYGbkRb+RKHBodi2KE7F52IsWjgX2RbALBReRrtrCzJXMLn6DIHWCWY
+da1GAElnv2QfcV9czZJjsovWUJ7xWgSATY72ylLMNjwYHG2Tcpt2YexhfPSsfIpFB+9gFiMTeOL
AYemLWYLJXsynN2bwzcv56SBWfhg4AAePthExeD4tOngikdhcS+sdTuJj06tu3f094Po02jNOCGh
qGbmhkBg9poEIE4cv4+vfcjln3wAC/oig5HQL+sAsf8a5gR6pdE3i2Q/SDXtzOQMF2NkPGQV25rG
Xf8BHKg1fGjTuLNxtIYamIAU/3zyOU3bei5Wc58WaPIiG/XpVDo+efONMbKydXEYfs4FKjJsEoRc
r1JN5ngacXWAq5pmQbNXxKMyqBKBG64y8i68NbIgoKnoqT3rcyeLoX1xU1+kDsb72QeZknWtPMRt
AROEmJy0BXVGQEe6T7CxasUi0sElPBRph/Bfr0zInUZbGwEPlhjX/76p/zdvaoTual/639/UJ5pW
f/34iv77J/5+RTvsXEwH5pTJq5utts/G/zuWSvyho1kBxg4m9Vvkzfedj4tiBzExb3XdoF2gUyt8
d7iZbJfUTspFeKODW3L/yRv6UnmjVMQmuBwVwUD0xaV9c0IhDvZMm3cyWDOStqeTl9z8cDZ+YVR4
ewj2a0R9oP7kI9viovERDKgtQoOc3D4wF+nskdWNdNzhlP7nnP8/HEV9ih+MF7xORuxpHIW00kb7
Ise/wKL8/x1C7Sl/OIQbSyi6PYfo5jtXv5viVTX/+f4hLralFiWcT/yz6luS+vfGYMFKaBQ9M/vd
YHnVotf8cBmX8i7Pq60N4P43Pak3V+Z8NAS55K1g4L0kJgEMhx0jXWgLEny23vBLnDNRzsIyW73/
xX51KEH6AFGExL686b/p9PLR/wu+WOSFDyOepgVVizjpZKb9pqd12QFW51AYrqHsyEDbLvNJBaTs
KTM5VFEX3VWatenOoVW7DMZ5hHg55lvZoxH/59/PQEalomhs400oqs0sxtAku220F4TfWvzi1J61
CDR+ef9Qb004FFQGBb9KhaFtd9HKTE2tnJmQ47OeIhOBboAUU6u8ZJ8aOhEKWV3dlpMYUbDN0anL
xvE3x1fP608lPecXtR7LFrxZlqaL5xnxHcjtFHC1l2vj2in4gk41fHz/S142JtVFpEtKu0hXS+Rl
YxIRWTu1vlEz7q7EFoT/QDI6CJvrzNBnuuvwUfsOYaBk9rF5/9C/un94UwKu9Vmz3jQlUZiMAhYH
eKUhndalaVN/Jdrkou7SGVCaYUQIQNQG6/cPi07h7dMPq091YQ1eCigAL85sg5OYfCymB7za6xe8
s/oAqoLIeXdg1bGDNEM4lQcHPeuCg8mmgZBjk0uQjET6jP2wjcu6fjSi2SRBZ26SFeqBO8POezZO
/Thc+bUTbyTzyhVkcwTffRB8iHWjixYubBZoux4To8RNjlgCXDQW5RcG4KvE8xrQrQIQXFIvbcwF
OpIbQS1MnMaJknFapFVHBmaMDtupu2Qf6Zl71L3Z+azlLpHOkT1FJ73SnGMWKu0yIQTrSLN7kEvs
lBbp2GZYodPuqvPz+WOMEnwVlRECeLd6cYzcPUDjMtceJKhVQ1bYlnnMFfk77UfcitbdQMttq3Vu
tpZmneytXEf93AlrQyIJXbyxFCdPT+Htmta4YBHq74lY4A9JvfbKxVK2luRnT8gBG3EKYNLuZMKy
G8ouuguSfnjx23y660kob5YO4ZAknyYcL57/UlFpT+QP1jgnUKh8dAaajathFn/VNaJAtmRW+6op
G+YSOEL76BuxF21GwC13fa/zB6kTbFviJCf7/3B2prtxM1e3vpVzAww4FCfg4PzouVvzYEn2H0Ky
Zc5kkSyOV38e6g2+WK2G9DlAAiR5HbNJVhWr9l7rWSYiCEWUgzPaziqXgTrPnMDCOCJCch/sApM1
vy9d+pTalm2WaJdJKF5Vowmkh6r9RYPtm5jMV7/w7e+DaYdLaBnxk0qHZK8Tl4HJO2IiFb14JdeN
ZAuEfdMuqVgxkkzyEuxgUg8kpIhZOsnpbnDTQ+7bzUM8D33EiO5Z7rXRhcxJK7Ds2ti2TR/d9JmZ
7EMS7Fd+LetNb3r6tqRjT3fPIVHDD0ayCwbwY8sp88KDPQpzNxlYDhJzwqteJWrb5166S+yku4OA
3N7R++AP137DwPBi+yYLx3JOx0sPpCeLhdDKluaEL648n8e5qCwjWOW1NFcAqN1LskiSZJ+YTr5B
TUCJa6gQ9S7bOjBuUU2GN2MY63dJ0abDAj6vfWVmRrKNwlDf4n8IXgIInj6jRAsuzd4vOeFGrtsu
hFFgmQkCcTVGtbkaQ1rEwxSKwyjr6ryiZX9rII3bO750rgN6cttm5q67Rh6e98J+CPJqulEuLobl
YHf6ro2gJe2rGhkKWKVswBASBS9qaDPO7H2pAKm02habtPcb8QlpIWGglo3W9Ge1a6BfAby9DttK
GAuqQjonWOUDX/Pn5xHoqbOi+fwLDQxPsukwBkeh1HdGY4y7HE33eRbCR9RJOVwHIwcmLmYbW4yA
9dbuRf/kmUH3owjs6EbPK30HtShzVqIlsgiHUWctcoyvP420UYcKHcZlaw39c21ZxUXRhv7VYEzW
PWkrWDqaxtPWQ2XYZ2+KSzyw0yaUtXedxHXxPEZ2f1OPyJaHJFKXNCkxRQ8k1TeVb5+l0iq2RmV3
S6J1nTs5WgQWTeO0q3pYb0s6WrPpy5gXr8wM1E096SSWTEg4XE5Ijg070So3XUBxQMSOyhcR9Om7
ino3YGOn2Rkdi1Cq5c2WoYHznRLaRo5wAFXZh/mqkXGzYkMp1q0uqrOsd6YERF1FLKKZB8B5OgJX
mTSRs0qgBS5Nt5gO/Nrw3qTNdxjTsTqzE3O2rwVxtUzg4yUL1LvQzTksbEoMRytXhP7ebvySUstQ
rqUealvUBDEUAQed3RKxw7ThgKDWdOfrvUYoL7dReeMmQO+Lh27GWpl65i+7QPEchpINjkmK4nXB
JuCFEB7FMtalhIgLbxtB5VsqVoEfcexPa2KU3Z0yiZyivj9tzNCzz8yCxKce8BiBGFoin5u0NF6U
S51ykflx8LvBLPKA5LO/8g0dZ/P8x83Cse/ySNT7cQhzBFW221/h1B2uGm/E5OSl5bhmDE88XfSI
wghpVL9dMp6APi6cRnTLdjRRIliZ0l84ZjeP7qCaVYfvtl6I2gIePYdBF5QBlkA2zVtRDMH3RETl
A8gf0mj9ttja9kSKymTofKspxfQkBC31ocVKVbbPWIvV3qOICvy5JTADz50+f95TFs+6u/SJS4pA
D9oa5Q4/RpkydBcGSCd/MRrlsKMfShSaJwEx1qZFRLPuEdOJepIEZrd0VLsSyTTtFN32eqEPRMj7
cercGUOjPykye25iQYtnIXMvXtrSK9jPzKrQSbZclhzm4DBMRGATvdGh9qq0exk7fb/QBl69Z9Ht
KV2r3rcYyX9RQMF8mSXOXV479llg4EYOnaZZUcUj47Niv7nlIFrvLamlDz2hN9uiqJw7v3K0tS2g
r3tKFdsw9XEIzh87SjLNAtnZcA2YXltbBiHEpQ8mJApw9Fj1KJ6NvMrWhWSAO8EMu2BEL/FBKqpZ
evGa8A3fm43e3DeA4h4YSOE1MqMQc2Pr3xEm0y2BWvjbuJYFZT/LeVKcRSndIL89z0iBGZdNXuA7
DLThWql0upk0vXsFD699y10ZLCelEmOF6Ozf7ylVQ/B71Pmxg7D6jS6QqQNm0+7DIB2vLSsloTEz
aavYQ/y9aBvvxi+7YaPprf1otaN47GpNPOJaGy/5UjmbqIq01RjHkN7JT925QVBeTKFW35a0ftZm
TedLS63h8u2poxKNSMfxvCszRTddFCUfviY5w55h4BynDVS0U78sGYibwSZd3a0QIRZ+ogDLKmst
qxzBbK0LJrHrj4eW6KarwDPCvUG/O12+jWXEW9MNjkycVxQnziYvHi5B0BAblpF9bgjVVQsbAvuV
XiX53hkH58kPgm6rAl1A5Iz5GFLR4vVP1XSBCn66MCoCZcMekgxNszRiCTSMW/wML3U6DpcsCuPe
lEFx5dbTROqS3ULKayTWUlJebfKa+mQ9tXBcXAP5TuYDhGiRMV7BytM2rWWmB9Hm9lnSI/Mx3F5D
7CqHqwpAbYk3oVAg1EvNWgzk8AGbN2rwmp4RITIYsm7v1yG+10A08qJXGUGwhVuU90CHi03LgsMe
qHCbMzQd6qoKJ4p5rdMhasumi7E35KEKnH6Dx0kj4iAttPtG18saKhnZu7aAhJB1LBt6CDVggeg8
WUyw/JKV1+EMr/AHbZVRZA96y3DK5cS22o+NFz0U44XIq2ZFvVZ/GWEhtAt0ERa0lyY4RA0TM6aN
cpiGfrqp4a4enF5QfYR4saf42Ek6ph3uytzHdQBgvmSlKxprutGdgTmvWejBKeQ7w73QqhBETBB1
563SEgIXUnGdWEaRLsqpCnaNkYhtrFsT2uwAaTUq+/mOoD5iy558m6bFFJvNElnlnTlA9KEwXqwn
GWlbzvZg4yx7NH+MWFdRnRbVndVZI+6mWDsLg+66lSNp56KKZjPLq1fRxzVE8WS1mUHpdAzOuY10
BTOPlRMWY73xvLpfl1lobgPcN2TMBepMBHbdYg/V3TU7xOggJztfqgivk6T0nhJZ9xO/4M9msq8G
Wr8b8IH5vG+r9l7kmgtaJPd9SXRQjTpox2q15UF0S0MXBdlhHO/81HvSCgIq6AIjVYVvE6w8hOUL
QivUSveUti9sKdaZK7nfQhKKTpPDEazYxcUggwtZROEy7UKkUHFWxnSmu5Y+cBL9CFtyiFJa5hP8
OAjMgzeVdxKOPNaJUK8IODKjM4iO8rooUvmEegkQFNF135EItPSfXOfONWoxrDJPpvu2G6eDGfvp
VmRRu9MIVxhW2NHEtfDq6ToJnfpOhkRNdHnrjnRrasRhk+OsB7cOlkEdRdDxpmRDjjHVOD2LDyEt
LCSeqnrx6yk/M3zN2k1pZvv1qkfR2dMdbjFBnDXFC9t74/vAcfzCID+PFDzTLvEDJOgA4FH118E0
Et01Rv6Wun6zUV7LVMxzXS5SZIkIxmre4moI7BcRiapfdtE0XglDJTeFrcpNi2z0O/X3gJYytrfL
EfPod7DnLrDEuHgMRjTui6qgiaPPX0jHgAajR15EYkjRnkWxJy6ivEGlrqBvDKrqD5kddme9NqY/
lcAQRsQCL5dYnOC6c2X+K29cHSCfgVGjSUqTKSLdg0EX+xxTJNUVjQP2YuwKwVm3oZU+akp8swpi
8tLANlIi3brostTG17RzvSezdIs1IA0PGEU2bWxwV8ukI/SCPd7EpzDKo3bRagMiENKWzpIkS3aJ
7PDBOa7O6+Vrexg5VazKyJoQF0BBbeS0auL8Xsvip6FAMBKyyi+o2aJo80cOxYZ8rK0E26+TUb3Q
hVu1tD59tQXTlN+jTC7P1ZSZ+7oO2Eqtwxyzg7UUqfRabQdJWMt3HJcc7XVUWYvjkOAco3W8B6VV
VP5l6205xfRQBuLgW2Zp6pyPYnbNVjF5Hgyr/JZUafUkW1yEW6kRN7WIA+zdW5wSgb1IU7Y0QlPF
DUbPvqBDFg8/0toxu0VL1/XQme1r2HvYDqjsniNZK84sdrY/C6k7iBPcZuVo6eVUdmAYG0vLtip1
q2XPqzpPO0n/D1iDuqQQGF4mbIYWiciSZu15YHfq0AmWDUbHW+b/LwWhfNHyTfOBFpoQegI1HdCq
t9epTpFBhFkEHqSBjToiBDGKPLhppFW+UAb7IZKm/yHG4Q7NYSM2rhN1K63ojW1STazsUrOWTLXs
DmlSr5YggOtbW8+afBk4zcahD7chgaVd2Iz4nUYA0TZCcHNups7I4lK36CxQBe6SxAxf7BFFT8FK
uLAtLdx44eDec9ThexL6+Y8gd/WVDP1HQbvvTJeGueVvMVfVUKk7+qq/3IwWakdR6yWcQGTDSvZi
ntuYXPj+1G+72uWJESmzreh71tRXeChW4D66XSTu466saYvOQS1YwbGesqcaI8ff2Jq9VVZEGJ/v
PrAgp1eDnJxDVdEBVrTT1zIrgmcckhO+sx6WZmUllzPkqljYpE3i52J3OyDJWYZdX9yiywWeZmrU
m3O1J/83vwlizbl2K50o58RBqRh11m8jLLC6oqxe1zS9DmCj26vCHqJzWAH2nZCJX4TLcQq09ntS
IK2J0mabs9yuO2LhEE8N+k0QtM4u61GilHAM8PBZ2Z1ixV20QyHXvt/p2zpr78MWosvg6s7BCkvA
I339I/ILd5eEEV8sNoIHFlJtl1t+d85WzgXRloeX+IZT9r9l8btVSRfjs5cvVpXI742nWpIMwipK
X0o9SfQzAwDGGV30ZEW1pGewNeZ9a8JCXmIqs/3LOKtDE1tvVQ0Lqy6lvakKyshLL6r9S1BZ2T2x
AzjC7NHfRnGDRIsS1r1jNq/DoNqFjhZnWVdWfdCn/qdrc2qwM9Ks2FRxSKq6EQpImuwRyRtrjhM7
zTSTA/PffnJz5yHHOwV5pQx37AqzFeWOn40Zt6sS3c8SBNq1Ofb9rh2cZ5cjCGmw53j5bthDOVTO
KBNprWf8BBbfnwnMUWunsiikpAWW4sDYdb4W/I4cy75G02beNIP/uxqE9hAy9b6R9FFHK7spK1rU
NVqGBgnKQivscgtlqV2bcQXDVYUkQRRUAD4vhH6sglL6FbMilRI3nWlaX3+2WazGd0p06/XOrRK4
b3n3DfvatAsdTrc+vJP/onJv0WwB3DILEC3z/eXCutINBG9cDn36fWVWuHeCYV0Frv5Fu8WY5azH
lXMM86ZgG07H5RjZ5WOb+Keo7Uxt/7N5K9KPQfuLDOZhoTWZcUFdSd863qQ/Y9rgRAmg7b+o3hP7
RsSbQB/gfegeuJaaCMmtd5Ybihu7LSnphdRJP3+Hp9o9vMK5hq3T+Dym0YohEC1yDDpLczukSwLq
kajTF4ZI5Bfv71Q7QugeByGL0hwMgffvLx1QEI9ZT2cJCvjK7Msfjlf++Px2vrrGPGT/6PzFNlI6
Zmu9M0x1MTn1Vnj5zeeXODk4GH+orhiK9geeG+Yxr6/p3u8kH7CLsNXNg4nqFEpxHz9FGq2Wquj0
q7Cm1ioxvu3Jgv2qtfNx6uG3samjMv/wFhw3IASmXEsr/WoXGnWGdFM5y95Iq/NMS6o9eO1i9flN
f3yuXA9yls9iaqL3P5p7FXsrb5RWtcuLgVXKGW+IWnC/WE8+jkWLHrqNTYIwG8B1RxfxQ4K+atLL
d7ECktNIWCil7M7dhILm57dz4krchIfRgKweDBBHw8Rv4ngaR7j8LG1woLTmzBrde1knD59f58Rr
eku5AQ83t4nF3MH6Yzg6Mic6uSbcesJ5WGfPOECIDyxwHgVfwBPNj81G692ljpqNHFSdIHe4VNuR
GC8Kgfeud0F1Dn7XrquumL6NNo1pmyJovaoEJT4dlfF3NIkauBpTrTGhUiVsOEvntUUVLMdUdLCx
cx4Qs2j7sI+miyBjMwjm0gIXQcmYzZUCPKoSdXC7bLjsy5Yy1tg6MGRn9yQhUtMXN4p+/HhtppVJ
cR/2q23M9Mb3zxSqg2b5RcszbSL1SEKkfml03u3oOPFzPrXuocUFvaiz4HuNQX9DCDQHp8HZOw6W
PpxMJFTKFOjctzxgd4TRjojK/Fb2HpRJTpdg2ipgID1Fh9hyF0GdWHi1evxqdWe6By3R4PaIUsAY
mvqVUp655DoJiSOae54KtAxJSnLfwHq98sMe/g9pfoKvj8/TMjU2jxDAXvCdFl98tE6MNXPOEEPB
Ynt894/GWgABizbsyHNJtOa8Q066560PuzCpE2yjgdXvPh/cHzu/FhYdfADYBHSYMEfTtSLpsetl
Xu58T5EsHZf5ugprwtstSRa5F6rziPrLvYj9r6hhJ6YvbW3dcUy0OB/FF1CoOi1qnWLHWXd86sDa
/qgo+t7bJIe+/vVN0uVlNeLAw7+Pe+g0R9h0juDJAOVRGu0MKvmUg5uVlhT13mnS2Fs2dNnQsZtU
7j6/+In7ZF9lYbl582IcAyZd1LOcPQtImlB+t1Vf3IekE88h7vVfbwOEziIFrQBVi/8hs4yDYBMS
1JrtTM97HIELr0wPy2qdWdZfD1O2GwimEEYhw9CPuauyKUvYnm1Gc7Ht0fxSfbGSq763nQ2nz19/
+wCFDmmf/Y0waCUdf7bCOJPYkCpuy86tHZDfYo4ioLDbZFbafPEMP05ALsbWhq2BTVfr+PNV0SCO
nDbnzjRxH1naYzV5v5LBug9754s9yDyX3+9PuRT6HGeWazM6jqZebkUkamp0Yy2ZrS0KJj6YpIWb
daSIF92BWsVXu9HTV/TZiuLiYNIdf16wbXjlfMXK6A6pL59LWBtWnVaLlvC1BViIL3yAH8e+0Nl4
z94fSIS0fN4v83bDuUMFbrrT2vaA/H4nRHoVO/oXl/m4sZkvg0bG8lx2H8fKqs7Tod7xV+86zdRw
AJORJwe+iJ+Pw49LJVcxdDYbsA4d9o3vb2YgJbhIEiPd1RbHWo57yyxpf7uFc5NUZJe03rS0xvIL
tuJs/PowSuaFAyIeSLwP1qkgn5SP/iXd+fZIKQyPPt86nLwXKGu19VTQyWpGvEMLrRT46d3JhxXV
6O5WDVW4z2gmbRDA3oM2qG79Nk1XIdSK1du2oCpN+wxtjPPNh+m1C1Vjf/HrT74YD2MDHYE5XGD+
539snehLRhnlzWxHiapYJ6OfQC6l2PH5izk5ymaDmY/9wv2w5cxFxWckLPHlKhepftnt9BQXp6u+
2rWcehUwkVFVgvHmDPv+bmyyN2BwFyxEg7ToZgdQIh192Hx+N6dWIAx36BFxyn2M+JgS3RzCVktR
EDR4uV0+U4PdqjVR9y9dIv5+F82ZEZkonwyIqtgC39+Up2KCByOm6JgGv+ZnB67gJq+Dx8/v6tTk
wU3okM2CkO0f58ofI2Fo0sKYSiZPBhnuOh0N6uyB/YuKa7mpQ9v72Wcy2aNiab74VJ1a894cjCjo
Thx6qJ8ApBNdSjKBeaUKDRNJSA7Yg0ymOybiF1c7NeA59pCsQZCF90EtmHGPriObdCfJQtnmAAJv
ejPRVp8/zDeK+vGng4fomnyOMGgeH/j9lvAzm7rbzoPZ9hBHernRUBwT1m51GQV6t/+WGF65bPGt
XFVjkV7amWttI4Il15hyHLpLiVwZVdCuicOlKdu2yVenW+Pkkyfld56ZJPIcb3zqoNHtPs/52gyC
WqGqng3lY7Uj+Gofu95jO1CdAD9CJbOw4oe075p94Jc/Itq6kyPVQfaQrKgi+Qtn1MASRdzH5w/y
xFyjscUW1J1N/ewP3w/+zOU3xAPb7b6YfsnJUBtdoqgKMprY4/Pn1zrxOIw3oaE9K1bZdb+/lmmM
5M16iq19YPzSKTgQcKY/Y0ordq4PqRTNsPpih3Fi0hkGZXt2NHyxPuibuzobgYqV3F5iP0UxYYUm
rXuKmfW0sMyx+lbVPbwTo+h2f3+vUILxw7GzgWl5tFIKvJ6kjjRE5iESqxzYkE6d3SBLnlPowofR
g3j0+RVPvUm2bJQBTELVWcqOnq5Dy6ERFekxegjpzOhoTRaWuiGEL9/lDgfpz6934pvDDbKHmrmc
bBbn3/PHegY2V0RxyaMduhAJt6j7lV6V1cpCFvffXMrHQ+0BDkV0d/QRla6IVV5wRDP8sri2s2pa
1K5yzuLWML5Yvk6NUYsJNfsQZsnz0Rjt0MUUE5WBXZO3921Uvtp2dY8btQYRXN14baH++nDEAobp
wiRKHB358QQ0BgruZjMBczcnhD5uf1u39UpSB/jiQicWZrTFOoHgVJ6xcczv84/3JaceGUjAEZDY
oEdYhFtvqu6/GBIWf8fRqvzuGkdjwteSNBEzBRtVr4G/L5aHxm7sW5Mw50WQ9Q1PUYcZ3ddy1ThJ
+K2EGoNigIYNlr+U4l+LJKqIafeIARkM2NJ1743ZLrZUTeqNiG5MPxyWxdgF3wOpF9u8QaHB6Rac
URcG+8j2UGvrkBaB7yDYS+jh3eIwRHFRGE26KXPAUXqHLZ0D1BBekVjK7rAkBK5IYzyHgxttsbWP
+8xGp9VZUX7R4dKCXuSDMEmbJU843eTUiupFhFpoh0IJG3g/yXXQRjaKwbQ/L4UFrDNO2s3nj/fU
2IRS4hqME3i7x+unUzWVGh3GJlrB52pQz14kr4SlbWAgrQOtL/+Laceem80e5XuU8UdzwY7GoiKg
qdipijwh1rHeTPe9Kr7YvH4s+UGCxT5B4Y8aAfbi9wNTDGkE0MAvdihJb6ScGW6997NKv9GJuqAr
vWxt80dYF18cmazT16VKyxPlcH18hPdlXuWyt6mJkEv0FA1gB7xaaDeo3fVsTeOcM05l58FapV21
ygqUQlpbsJBXZre3kfqSca3tLb3VNoYSxTJAHcaAk1uMH7Sx/OTFBjG36Af0QKk7hSuSKx1qL+60
Co3gziS/cOlNdrVIVSLgkU8yXCf8npXK5CvCb9K4vGzayqGvNji6+N9zOFJRoxIsw675UFn2V6/i
1JoOSQfvJn4EXsj8yP5YI2K9sfMiBZqvq+cRy8QcX7pNDfUVBubUWvTHdY43Rp3s8qz0+2Ln2ZlO
AJTTLvMoWn8+XU59EB0LOKUNNfqjFVyvTElORk10RVt6y9EuFhzGH8sU63TUjF+Yzk5ejHolZxa4
IR+2vU7NYlRkzBUtcnJOotO2E5JgMSQIloq/mJinFgKHsj9fCyx7Hza/2ThaToKUAuhRfWM2JDVA
FX0ss/pVxZi3IueLJ2mcGhcupyQOsHip3OM+zdTIDKs9+7SE8EqsHqZx8Ka635vU4lelpUU7Ick5
GqRv3caYgnewKJttWMbFhRd66cYnH+ybiy8AjXYA5euL53Hy57EgUkaifouP5/2w7Yeg0dKIbU5f
yVfLDx8is7vLLJrJn4+ok9dxPU6KHH8/0ouaThsjiSiH1PJMUs1Rz8Wo9auyrb/4kJ7atlKcwr1G
wovPv97fkAUM1g4QYO0UwvGoQefWFzd1aR8Sz7iCA3OfZ/4XhYpTA/iPSx5vWJNJZAh19Hyn9cM2
bMtXX2QoXJ1DXXZfnDmsU+OXE+mck+HSET6e/gRICIlRPGeZMccfKpK/+5gkwS4zvCXl23CpSS1e
5qzI67iaBceaMcuzapQ/oG8f4ZVE5Pp5za41kS1jbcFsEKn6DsgwsRtFBv4uaLzN4Pbeg2ezai7I
PUY1oTXDakrn0mZp/tZ7E0176a0Gqf9IyvYST6JcK7Z8sdeBYh+teN3mo3knUV7ysTftL0bTqafg
z05dShyM2+PufJZJyASIlHeTJGlcTcZC6eLRlvYZNdNHqMp/nxsksAozpOZ2r43p6/2okokRjhWb
oV1c+RrimLaWG+JMvZUVzsG0zSxM/XzCnLhFvuuz2xhoCDv3ozOJ78AAUKaV7WZGM+jC0bkoInZo
Y1I25LQb0w4d0svn13zTaxxtQtHemDxUpihH26PbDDVgsOAj850DTn8Z9a1zJyKjWxbWaJ9FZZY9
SJOQiUQg2XrTKXtwDx7ydlJrhZZoq/U9ktkvftSJIiaqBKo+86pN4Lz5/tnD259k0DGjmylAz2aF
YoMqzdo0QU3gOAFoC0YK8ik7W/thHS1HejLIr4Wx+vyHWCfWsNkXjhzD4Jgjjsv7OtIIJ1dxjm+Z
wPLFm7g5trLpBoFlYZ/xuty9SpAk4rNoFmFGEdnQcvqooJa6697q9c04BvpTJNh4m2rSn9gWF9uo
Z0hhm0g3KHvsLbrcV1hCC5bsbi2cOdnP0ogd1Aq1i5zKJTqwdVdeeGaWqXWXgsC4YtriRIGLOj1G
Xkv0te5+19sx/eJgfur+6YDhQYc7w3Od18E/tjiU2xKidSzuP0uHuwh/7m5whvgxNrRo8/mzPnUp
1JdoDXCj89mYd0F/XIqmU1Xl82fJB021kpU3W3oGmR78KAsfP7/WB9yfBw1lrv5anF75DB4f/wvN
Ifk7jzkcdKC1F4qGMY6PSRhbMvu6VeFmxpkBsONaDWZ/aZpaeGMqODfCyuRWFnq9f/tBf4Wuu4h/
1mVT/lb/d/6//SwlpFfwtW8huf/5b/cl4tP80z+yfS0vn/PX5vgPvftrm//39o/D13KOBn73X9Zv
4IWb9rUeb1+BXP/zE/79J/+3//D/vP6v8A3MU8bU/6AEPsQU75775zh+x2/45//yb36DYYt/4UCe
U0lslk7Khv/Db6CO9S8TbiJtwLc13GKV+TfAwQSxxAGKYz0VNvTiHluGfwMcDO9f1E4IVcHezNkR
BcdfARze701mbgNIPZ+f5eiMOeHNo/6PUc0mMQOrHJp3TQPZi6DOHLtWZ/A7sVzm/rkUYX0TIWT8
Kd3UvI+iVLsF9zNuC6GNcpnFnr3MGoTjZDtlUN0cAxOKJtf20KGYfDNTOPAbwgWBlvF1UjNhFpq0
rX0ZDemmFaYJKR4wo6npM+GWHm9MJiAm0DG9BY+EFyp0ocwaWvtKvAMk4kj04kob4uhqKLKYJl+j
+mc/lOOza0VAFYhwd41lFHZYpOq0xgKX6RXOUU2+tGaUPKuwH681CvY0k5Px+1hP9dInDMOl2TWp
164OjYUpiXcJTd24CSPnxlAaFQWgbOY3zIpT+tUaPn8s/vOFe3sF0Hdx4vn67BmfIVx/voKcQgh4
vca5m2oLR58FB0eaA0BdvxzmzFEyX9xFbOb+delK87xgp0OeCDI1gHmp3m0nqOJrOtvl3p/aDsEI
rg6zFeUvI041uO52cxuNCMDAiZNrZyvybt++kVkWeNswYtvQNlZ5hTfjm8qQ19uyP3fD3rw3I3ML
ef1XUjnVyx+T5Pqfu/szfhTMyNFNk9Q6D2A2MHPm3fECJ9lIhoEuiztR5sF3Y377FHaNJwqww7Xm
soC1Ca61POnVWkQF1sBcU9OmwdR4MbTkB8vU4DH4dj9cgSonXrm07Ltg5D9VxBG9clo0CJU0+ys0
Gca5FVYUkbzgIRSDufXjOCMTt8dblmb6Li7QvRBcoW3TznJWM494Pek5Y9pSenemT9avwmnP0dcZ
O0WK3m70SEdYiIDItWFM14ONyR5yV7SxY6KAaAoKUfY/4wjHT6as/qfEK7d3x6ze1QrDbBBF+FK7
dqNicMdMyvTS7TQmE8KNXWr9glOYUJgIIHGt0mSyzzxs3MuY3Fni197ymYH3b/WpNpcIeglTK4rh
FsQ5abvAl5MLgrKr89HLzMcRU+GrlxGPBGO6JmaCnmy1GybX2BRR0+xISYkBCir9Iohw0nqF0V3Y
KbC0hYmJB+lMNCW7EWy9v5wE1kktVjgzlcEDNeOQSBZ2f709z00thTcPZexRRA12E8JlzsXsF9Sp
TX5x4LDfr1n036E7IDKgokEvhjLrXLf8Y80ySXcLws7VbiOl44ue/Zua0eAtHdj91m7LZ9Cfx06N
4QBL+bRsFG60pejH6BcAePKZHTM4VEqvHt1KSFIuMn2LVge4k0hXNF/zb3nF35J2NQKGpMNKnPHu
z8sAn4lO+MkaFNmwHslZvR1IGhcLl1iA5dhq2L5AVi9ZrsZNB+ljXlBJ2KxtqYy1rTQTIENb8XcO
Hb45DOs3b8NWJpW/fHOp1pVtnBuyDH6Xmac/eTiMH/3EaB5hUVaXcRPXySKX2E1WOKbjl0JPtxVZ
z6QhDT7bXKttnS1E4tRdp17kXXnU8Mf151P37WDxn/VqfvwW3x1KiPSZ5q3QPLX/ePx9RdJcONXB
rVlLR6PdQnF4rCvtLpn88aI2EpMU56rR7pMxxlRqU0eQFwRxRxSpyRYZyY0YeDJmht7QQ+TznHYO
UiW/6mW4lNj7vteCvICFjrl+X8UU5P7+BsT8eeXMynfZfEu2/eMGiiltaiMK3duMxJb1kJDYXckw
3FROkNWLpmCdCWbgOqBDlpg3Y6/jFfJZD3T7zOid4Ddzjy0+WdbPFpW9c6cnOjQycQNsqswL7jO3
IswgIlnLW3z+29++x0cPX7gzDBExnU/4xtHY7/M6rifR27dli4dzQdZD8JvRTIhB3dTZA26+6SIZ
muEqc2d3Yu5xB2ZROHtPxt2B2GNq2SjyqIj39f7NLayc3N/6vVD4mEiYvKJnEp+7Jvffw6UwF6rp
m98dnwleUSxeGohMe3JycNGnFYbNVvQpluTOrZcysSfgB0QNq7YNHs3IAC3jad6hiStzHXCK2WSN
Rbc6i4bvtVNM27rvgn0MFAHhh1t4S2Waw6vx5rY0c4GNr5GmsZ4sCba/TF+MHIxqZBVgVFIp95mg
b1DM5mb2BMP129QDfxf+qgOgqGsn5X9sizTAZ1mbt5nZjO0qp6NMtHsV/dJlM20SqKTfGXndq8ho
K4z8+n1GisahjYEFCh3s4gJTiHlLIZuYBzNP73U4uuFCVE6MzSL5aZV5uSfhZNiniO2WdW12S01k
5nk09M0KjcVwmRgT35LPBwKbxHdfUKYhTS32DMD6YLGzHTzaNrBW5y25TtVtlBnYNUadCbZ4W5uz
fqi2EGBRz/yT7DVF4YatmHx2OOLdTDT1U/xizT7SKncFtjY7VCSUkkaT63G67LSEo1sYFhtVpfN0
RaD3Quk4+8byr17MXnSvbewKbYW2JHdXDQkr/5+9M+mOG1my9H+pPfJgHha1KMTAmSIpkilpgyOJ
FGbA4e4Yf31/LqrrpSJfS5XLPqcW72UyRUUAPppdu3ZvedYRjt1M+OAcaGaC2bP4ndekjddkzbFx
st6GY9piwZBby37dRHSx+O3TMvcISyJssWIDjlyw6TO/J91e570a7fEFPyKOyLrDWqKnFkrHlKI5
kg75CLtfQk4zr+hw6D+xvToPrHpa94tbbofEW/90hOj2Xh976AWsRYsfKBsC4ILFWtHutUOeKPoK
B6vdy2mqL0Gq7PMtaVYLu/VtONsGt+hvXFoRkp0Y6+KZe6B8VlbVNLTez16c9mVb/anAF+n2rIcw
P4dsay+71uM0SBUSNC8WWeuDNc0mwJFLf2nHC1eVasO9RAgwT70CHoxGXNjmdWuOvIb8y8ZaRvLv
iDJwba+I9mY4qCrf32PAANkSWtMFndrcOptTeV8QccLmOEcUpb6yaIAn/EnW+xzoGDZVPthfwOY5
V/UASLJysuPd0qEJkAdzfbmyEGLDI+6vLH+FpgC32ftAnx780dVGp6zqkgxiC2T3B0lsea6tLkFO
Um3bN9SB44t43KxDM2KygSRb5lDxlNt8gIKLUIAKy2IXyixKZ2nE/MuBKDNdcrnXSVBbaYC6KPYg
W/MNOegH3Q/o9weErbjh1VG3a+a6vY2itrhDwgexZrdJGBlaee6/b6R/lNn+D3LW/1ny+/9TZmv/
WpfwvxoEOj7/lNh+/xv/N691kz9A51HfNxRFKiQEaW+6hKStf/iGuAtSgtRXEpK7/khrI+cP8Ax+
HT7DWzb832ltwB8FNkCHB4kaMq73j5SDTer815yKx0FyHjKRYbXR3nOKC8XRtLYt2iuvhb2J6hsO
ipln72dSp0HDj6cJ+7lq8lIf1UpXAb4RaxB8XTKYudcOVhMYLQnL5w6vh9jq65RtYMRR46Yulidp
txZ9ZNIXdF/TFbuQa+4whxqQIvGacd1IC6pRue8o/opIprktrPmpIHOQBxiWudExWZPSHdJtpEXj
zMPKYQgQCKhozGbdL1acHTt8QkWJalOR4d/3m7vDYKb/CiLwNeHuwLY15n+IGPytv6pXmEloGupf
hZqnpEnbPCpMe4KP/MVNkgcJX7k4Zdd+G0IckR8hqSQ8mluMkvfpHMx6nn79SCdBJY+EkiQIHl0C
QegBapwAeRzJS9srmb84jR3UN8Ivc7RC/HFQJalZWOKJjeY4EUVaF3Q44yAJkhCllS36+nO/qHVA
rGvENwikcVJ2cdiyfBv3W7MwFQeN9fH2XMgQlZBDuHFa327YUvFrbeLTwJpS2huj5Dd3tEEE/zLM
gD5mDSaUfZDSBsJ2+fO/xJl0ri6lVTfdq02fevg+6Eqrf0Czud/ufj167KiTLwKWN4UHavsM3mm1
Z4UVm2w05r5Ag4G+BPCc1b6dujY7fPGiyn83Y6DiFXg1BY2lCbLzaHqoywC3i18/yc8gqc8re7CJ
YbfTBhYhEn4CkjoQDGjxrMKXScUyvA3EWtHtI1sLfOwyV+EWhL8Z5NNv9PAUIAoCqIIaxpI+qQ90
MCjm0tXFxxq5/fYS1z3dPrnEYvLaVfo3qefpjKIHiV0OcB1rlH7PUw4FSWleFhR6Pk0DfMvnoIok
HvBVBVT6uwDvxIrIfLqB9WMb42WT654WlPJ5sZumm9wnHAgRBTDOELg95JVXUvgoq3kUHqJdyKMT
4FirRjFuocPxuap0IONULHEzY6XremZnEK80uL47QE3Tow1xDvpcVOTr16KvChaEv1g2MxPrsC+L
iykOR+zrMVLgtyfL8Xg5q0aXE86pBQqeOlObM62xg4LAcGFZEP+bY9eje3Lz6+V0Mt6MAdQFGPAg
4LBJwMd+3kEBit9IbI/L09hWBUcAHBILxU/IMc32/OuvMlbVf91EZk49Qx/hxgJ8guD583fNPeaH
wvGzx9jvv3/XGIjwlgC75lVHsKze27+t6obrj1Eg4l0GgcHG95/khJRGuUNOnMENcPFRFKWcRvQr
OhkKbPTCqqvR2q5VJooQ4Sba8Oaz1RsVG7busiz4AJzi6emIu2iNpE2HMSX/sGhuCysc2eyNP5v6
1kz4FlR8CyIinHcRqSpfPDlzxN1mBYWZSXSrc/5yNA1m3rUsXc46NVcuzz1+X7voGYacCFmmBz5w
ddoZgY9fD2n88/QZhVFCBDIT8Gpa40hZfh7SgTegl0FkX5vJiz5Usgvco1u6wTmxo/B3sA/0EUAu
uVrjssn2ws+g77h184z6N4aqHQS9s0TlXppYK30BYaGHJ9pWPXXXLGoqdkU8ueclZpAtHplfJ+Er
ATET3fEdouThO0on/VUB5HBjrzl2Y5RvkKOxVOX9uUWxmC4zpCqCVBBZ+vsM3tqztVkocegGu+Sd
SuSdH2q8Wv3G8m6AeKa9FutwwF+8eS5U4182WJwUaSV0EO/7em6rnXaaT1bUB1fQ0Yh5x22wnb0n
ZPTo9vH8WRQ91WeAveICKTMMsd2q6x7nyBufS88riDBsC90aaw3ER3y41QuanvI9AljqFZm6EcLG
WB07xwd577QKl92CRpeF/kU7XTZdf0C/kGI3brfVnyPwDWLhGEbjcSL7x60a+z1kIZr9OsvydzCo
7n292l/cVatPTrT5T8UYjLtiCdurOlLlwcfW7De0hJ8PaxaEoZ/RJEQKB/EkOr2oegecfQiMUyuZ
0l3iZl19CJteV0ybHf4mpvh5Q799Gf1c3yFCZKq90+sXVfYokUn3EtpRy+272I9OJ1xUedr6ZsJr
D2HNvG9xg/Gi+jch1t9W/vfX5BZEWIpD/DT+HI0uX+3L9mXoOhxoqcphhdd6DiHlr/fY90/6V5Dx
/S0pklBdShCb9ZLTztMFSMKdoqJ4ceaePeO5XBcpurZOuadZJXroEBx8KFUG4dxG+UfsvUmUzdlU
ohS6NJqAijA4fCdDmSDPP0RP3LcKnxzKbs9ti0y9qztKv1hX+vcI2XffWgwWrjthRfeTa4TyK9zx
cONxbLwi6/yd19LRk1ooUNyFGKE1B2dOgnNbJutL1ed6Vw2jPDo5VHF70d5uY/5+09Zy0gvPkJgw
AICPcfG4o09DAnwq1OLH6/YCd5XBL0qvOPN6+gjR3vjcOUnz0bOSZT/i492kg7TCc7+DULb/9cwE
5nT7aWYo3dk0ohBmE5IhmfDz6efUWbsEORo16JA09a7pJOJH8MASdH+aTe8nv13OoxbZzrS0RPuA
q1x7jo5OcjOJcNIpam3Wu83J/XNvQ/M8QKT8U4uYP0ZStXVDr110vXoU4rzWe3Q20bzrLaN3FmY4
xu42vdQ3M8SMjJaEJHqg1Dz1x9kvv61hVd56ET7ktS2D8zLvxbs20I3e95kav6xoTz3ZWA/eW13M
BREujhFI0/OYetSDH03HFq4qg80LFIuTpBPWabT5VUMF3sSd+N4PrPi6LJDKc+YBn/a8RsjqN8ve
jN3p2OLHZ6wa6Uv5G4VttDNEru0oexlKP7g1wjTPovRWDGwH03o9d5zLv55O5+eUklUF7GryWRsh
coLb04oVbLVGtlydr5Wo/Ev6va02zcbVukpwKjkCj2lO+iCXL8Kzm+eSJvRrpDLte2tKvOOvn+U7
6eXn1yfU5PiEoAiK/TfdfTm3gYrR0XnNaUVpEBbus0+93NAvGto1SAfbNT2QLY0fqQ6cYt1XRRic
F8YzUGGbneBtbVFDkH0YfSh1Y3psTIWws1RxU4fokA8ekoXhWOQXeYDSR9oDRs805jku7tjCbqGa
mH6cGDaWOLMYlmNVa+uGsg2Ifz5H1nWokHCjIsN1VgWlONKpj4km7rX1ddsP+KBbXovSF32wHWIH
MyVMvMCaZ3jf64FYRL3XtCeioNR4kvYAMEVWIkDqLoTWeofMHtJAUdX3S9ovOkMCtcELW1EgvZlF
ohTgnAjJWGO3dy7ospzhiYc5PCzZlx9GjDKQdXVLYDrERX6nIP/z2U8OFNBrwEXnQUTmXD49kS0n
JwKgPelrMw6S8A9XQhO0Tjje/EMSmMm3WIjwwEyfCA1R0ckd55ZdU4sycF8QHVel/4oeJHfBRfY9
Msz7wSR9DYYz2LH+egn+/SXJauE/hUYcAxjIXL5/yW092SiZVLX6utgJnaJphUTVhF24gYh/t/N+
jhrMS8KQd6k3ISkCnHQaRjLLDs1UbvtCzAXgTMSXdU+Q9kFNdjrKs1y8W5Its9vrHmXg0D4EU1Fv
z5WKBKFt2wDRZClUqTa5Rzg38vxdMXVug9JYLuP1fJx9n8LCr8fn5wPKLAK8ashaIFU48EtPAwBi
xNhdXLv72q1a8hTSSurq2+SsxO2c8yHJBOIIvf5dPOD8fWISZgWBf84pHwmdk1snQ9huETKwvmwB
9lTbjkbcEu1x4t1C2jvHowzSnJO41xESyk1OdjBIKUn3kON3p8ey3WbSvSJeNv0Fk2pjmNyF7noV
tKtPSvObUTqpZ5lCVmjMSNgm3JOxczq3QT7jPzzKHlN1EgMSF2R/tztCW5NYb6uNqgIpgFDhrQXQ
zW5Sne8DT3Uh7n3FIal9slgWYFt9C6Gb8Ak/0qfJwdP92xsk5CP+Nz0Ey5iHH1Se4BGNsFtk8jp0
mBWz00nMw/S+Q7+WGcHsz4BGHIaFyd7WpYnvs0Lo5SNdx1B80mHZYKTu3aoy2bC9leFQHV1/CNjf
A14Dy50I/ap9DWdskhxYBJna7tj+SfCBbhiWptz6ivTMMWJn4Ovd6HxAaBW/qMOIicf2vGkvIvWW
Qzg9KFja/G7RVZwgKRJzPXPmUl3iq03Pfb3uKuR6TS5HhxovY7TJKPisRYe9E8WE70lf6JQZv1KG
EeWHs2BaCn2v56gFXluHBfr5Tkm/4uyt8oSvRs4s4dc3/If4Niunx/LWS+py+Digqj6dgwwM5U3j
d/F6Njtq6a6KwVrHyxFuBmtpiTNz8pUYFq5X8aRMPm1n0B3owYgzl90mUAsluMQTRdRo5L29QFBp
k/KSHCSkvHh7WwxoYJMJXyl6iDnEGi4CC16CykL+gWPyStKlRF3ht/D2GYMYLHnwyiyg/MCS62e0
1woaM7gQgU746gVVlOpy9XreCb9XM6p+Xc+MXBALai5IQemivkQFewRUQWjWfKNnReDIq8hM0ixW
FGnXPQe9WS59osHRvLpHLfhQZWHVPlAG66PoWEFhYLkIpLzZU1OXJKya3JUNc+YtNh/I1eRk0VHn
uo69S8tfyvXr0C4TY9gvU2VsADgY6S+JG3rpgQGiEVznIgu7iZw/3zqDJlPApoMAXzHwa16iSkS4
3AxeNnU5ZnDGvSqN3IlT4ICD+cTL9BSMeRL6/n1+ymNv8KbLRE1QO/f9iqCr3pMUxfxk5Tri7pJu
r3mklbfnP85jZZ7FT2hEDnc05LAF13ioWSkeeqT++QS+wuNVbRkbJDnD9q28VRBYwThGnx92FOig
ayHrmJgxHqaWERyXGfnOdIsjs+YaQGk8fTUdddExt02HxM6A/dOjiDv+f3BiiCvEAOTBt4DZGzCK
P5fs81Wu8FLSraiBhqvBk2ZL+5Cp+j3KyQ4zESiQ7C7VSHJPj1FZAxzi0BcJtZ5Pi60q2sTg6vKB
A0V1nm/LlQHEFq8skYwVdbI5qJDGTbBI3MseE7zCk2kPbIhQLf0vTYHyemhbxwCitPCOusb1BKvR
YmuKfT7ZYrsLEK5n+QMSkT4eknam2YRAYe7D2zAIphqem63RxCW0A/B71ztFmSFGjAmqOa3KabWd
I/3U9DBclAqpV5RI5aB7BaailDVf1ZmCMHueWYq5GfwYUWY8eJ2Ol+myas3790k7ZH53S8ExWeJd
aONb1hw4iDluDtrLqxVVRzH2CbqaVBIWWEtIXxTnmVfRqZ2ncQ1KFX7dYP/4BYRBf+WdkwpXACJv
WSxFkV/XfTGix6WXRJnFU1bmSIn0vBIu1itmGXA8xkWxhjKvHOr8qt8QLRZHOrJG6dxugcdRqQYk
IZCyrpmPLl1syxmHWzWHLkdu1Q0jswQgYuCtfm1nPisZqHQjBcXgs3LtEjeM6WhrMfObFFUM2qUR
7edcgjzXLveJBjLVrJAx53gSPkIb85UuLE6HiVFkLziuViyoaZDoYVww+wMIbLzmrPS4URsPXizW
yFf7Dk4X4shxyXU0rcJAhm2GLBp9Q35jLlmNhCTLcQkD6rNcynLlfFjjwvLfLfYqcV7niAJopf8G
YdND3EssabfWNSGWbc31+hWDPuojPyojnPpmcGYCahorasmpmhzyopo9C/7ctkkQoNjL9wPKTtnB
t8dseE96yMuXPZc/MfcKaiiOEb1vjFLfFhEbuxo3AP7zuBzNCP5Y1m05mz9b/d5j4W7lYqB80ghz
3CskxLZnSE82Y+xFMpHoyq4IcrI/LUzmAZjjDCp9OqPPJm6hjnXVXuGYrgniN2cNPyG72sj3drs0
jyR2ScUakvhvXIadmOpj2E+j+Cpa7pgrmbeWf5PxpB7KmqLEkIAzdztSM+6bF1KITZJJh638jJVK
M7/bEqux8cdtdH+FG88s6AukrB1gf+x7vhqPqPzE060cimzBhaa1W8htDdcqhBU9ObuBOZIc8ks8
GMJ3N0l/2eULDr+E9JucgRB8qH1ukgoJDP8R0YbRfx82evVzwA6/xh4YGs2KIaNIeH/jlJzl6KMW
3GQN+ibNjGh6AiJgy2PmboD2C5tjTENNAm/bjjhOSZR7+4AAbXvMK2gJXHyhji7Vuo4xbCrtOnSI
c8KtaQg7INlbvRuhWk4/NN2XQZOf06+p90Nvz9tVlnQ2biUzKszHTCxOp2GXN4gYFyCg1p2o+9Z/
GtWAPteZLaJVDOj40IL7iMykp2/wCumsBx8h8+1ZY97UgEuEoXzaIgSye+iOYSTFWQzwgd6mjRRz
uE8W4I+zrNTVctzwkmj7NKl7zwUukJsaYmg9Vdy9wJ9CaB+5Y70Or0kVwGXbjZHoI7iIKtA2+vRw
WeP9WNtBE55lrVWj6e9EVo0ocQiu1xSvRUyPfOLsEBwfXeodgV638BB6GtHdW+nyMtXdj+gbl68s
dB5w6+h7ldI0bC5U0XqtCJ5m8Ffh70U2y2winrKBMM7XCQXWB5XZtKUdJaY0rP/OkhURlPSWyVwr
KDibzY2blrlrucDZDoUfmhMObQQTYWKHkznZsUJyEtCEFxNzfLUNuUVIGhTDxNWDb0XFLQPOk7vb
2Yr7KfntGPQmTqGNxGQOEYkwT7v6NF4mZ+PQluGHgJ4oHsUBmKtNj5Wm+inGIeCYDJQiso9ri1E6
83H3CT8AV5goOllnwVlWxaW5NGg6zmbu8FYF9gEOeLh554nvol593sGk40zBsMXmRYlL4E7vgqBF
2u2CFiyXO3qOPZ/QZF4TKgpH0UXm5ozfihMSGIzvHqMt6rf3MCMH/qzHdI8Ps6s+Yy+poJc8v0oq
c07WwBr8ils5CU/UZUI58jNgrolXk2zitHH1KMMvqHZ2/TF0q6i7zvtq4lrUQphYqhORCVkK/JcY
I913oXa+jZZa62Q/Nw74pmmRopKZ4hKBcHuagIYx/JzhqwmRvhegQ9WaW+rHDYYDKONY97apoYYJ
Hfhd6niZxUCK3K8SlIjLlqSjGXH8AIbnXuEJRoWSO8omP0ZiG9hCKcW7jYg06uhthJ0CB8/f1w4y
+2jPW41ZiqVNHPAQtEiqf2gkwPnl2zRyYTrOM+nfqB/jIVt4Y6+CCybPRzVFjrzt8nqaiztMFwDJ
Pk51FFT1eSHCvJ0pOgTh9LgZfTfsROlhAvSR+IZQ9KPj1QQVtq5KQvDZXU0iH4cDi4UiYugsu3K2
0WnYY51FlJK7mYnmp16g/H5ui1xN8R228m5fXoeI3/I86+abfeB50lTLppogE+0F32yRoUVk+nbr
AIPVIZvw6P1MrYzUuBwcs8C8bIQyeDa4EU4H+/ztdi2mKefSHPuZQHXneYIoMPSkiTd1aNYjOpD0
DuxsRqD6lm3GMtrI0pnfJipBQn9u4ojr0il4LhdB78iEhnU4og69dzxhnvZte9Q6YF5owemZVKk4
+Npr6k5T/mnCOqDEYs2Jahp1MTgyy7RciQmqoy9hPEPj7tyku2lnJ5/0Pm8QPx4v+YDWI6id+5W5
HS10xdWh2ySvYIupNGAFIgHVHkdfUr48Skr5eUIf24O3Vo9Cc7iss+9d+7OjMRHIApd11tquSQIr
EZCx2c5iJkT5wJEg7yPzrNdgW6+82SV/CrELWaazxUXr6/NUIFRB1PUW+ajcnkx1sI8lbwv+XBMY
/MiI461LCAwWHK7Ivrp8MAXKnJxFopiPquxXvBCG7c62JtveeXDeSEfgiubKOo9D4Y2P4dZ4o7Wz
Zofxt4rEJN3g9yYKkxg6su+o0ZhAPhf4KjxmNBQza7qFYtLvl9ii56+UU9ARoyRBvz0z6ubE3ZyB
dO9iiJC7VSZ/YDmFAV8P2SDbzFEpOJPDcxFhUllgVb2w9M/pvShIVeqYOOpt63VTY0KrxkKHm3a1
gS4PBGSmSZmF0c0GP7Iyz1T3kX6kbfed7S8w7RkQAGC4zQm2AUblNjJbnGw5FzchvFOC13Wu8rOs
6JbxPlyiTcGVwyjiPFYuOQUXm+UTH3iLnjg6w6bu+ZjE15Kzqho6E4m6ncspvpvfskZUQzH5uhhw
veSQIuAfw50CuXJNh+FkssC3xKLJNvPQeDnNa75jl61UQHS8kfH6U1yx0EmSbFY/AmYdU1o6o3n0
EQVdrOLo48u0PlgLHRU3kQAc4Re3lRW1urU5sDTTaFE3qxGr7VLo0TRA0krgdfVnr19Mhr6+nRzJ
grxFlrZObVblr1GjUzwQzIj2U0RdoJhRUTwFWOOFUir+3/OXJdMmz8SGukGtAwrj0CSpoh7FlP76
K09RNfOVpKc4rNJj+XchmVV0XWzrUH8Jwtnwyd6WRhNbBtn9p19FV4zpajAUNshyJ8iqi9vaNoFO
fCn9zJxPfehTurnCiQSn8d/gb9/RwH8VEgz8lgBT04GM1iAdYKcwpbLpm5ib2vuyeO1IIjPSGc1K
DLRfsA0LyojchVvYc2iMnR8oQJSpGRAMFtol7waFMFwrOiANwqPeTuYfbKwOBoIJkSKE4CGUY/LJ
T/9wqCjqmgobJWXScfdUB3WRWUs7VxR81qWz8BxcUCYt5HIlhfr1V/1tzXkAw9jPhnDT/o3wOWFU
6dKVKT4nReyN6znWd9UM3T4yWyTM0Dj53ZI7JXU5TEwUurRYUE1A7fVkHUjosnEOfv8ZWylzRumF
zXY3lpzsDzm6OWzlLCHeJ5hY+RmCQGTLd5x2bfAbHsfp4ofHiW6M6dfy2W7O6YqcO+w+5yT3PoFJ
kDquBXyfrzHFdU7AfzbK9GLYvC1kGr4NcOwEvK4JDKEoV86nseuj+kaLxqTmZUWmdj4Vrokaf/2F
J21oNH9AzKNID98HziHw0c9lDF3h2BPPq/wkcRJjBUkvM8cch+LKvGYS+gwGpGWO8c0uqgMoU7+r
o/xtcKEduQmcCOgQEa/u/vwEZInw9wW20xijrngMwa7b6gOoR5FUZ29hyyQLExrjwGzO7x+guBWg
MeAdWhgq3Avz2+C0VWAgHqD/lV3c0wZFtoB1ZseVgHx0H6t97GkLX5bSqTWndTQH5rKc1rGf+n2R
2Wx8OARwpKq9jkbAI2eWC/4zUw1EhxdnDdfuooTsGm9QXiwTW6lJmbDLkm5kbCbLwVznoSiJbSLl
mSteCCl4rOgNoFeE9pyade2aoKmK9feIz3VMsJxVdPyB2qh8ZvxjZKJBJt1pgS1/hVwesOyv5/90
W3PuGY+BIKKvG/mp06U9klkUlr2tH/ti8IhZc6FNCpRs2kQAPyDrX3+l2bd/PXLNUYuoDDWaGHZy
dMozo1C26kHF88ckDw3GOCKWUd9ABnRr69ZWNk+Q+k0CS+u4OJkJCq0G66PfFor+DT2BkAnGNeUp
qsint6jngjtgAFS/GrmoKE2wPv0CprqSo1NY5g2il02N2UXYWV/WqZo72KOTaH+z4/9dWR0baMh9
HsxVeqFPjjnqEgrVr6h5RSie/pzvZWMMLormumxC9Au3KXkcsOI+rmGRHUSSLR+LWE6CavbmPP56
ak6uw+81fowgiOQgOFDZPGXs0qAyTz3C6a95ZIfvh9BRD25jWfuIMAoDo3a8HZsBIUe/ay+axXNu
NOZyBLSNXu7KqIghJNNVel1ao/cN5vyAnR6eSe9/85Q/ryDzlCHV5YACn1GI/duindpsbZPBH1+J
MYf8ie0aqB339pqOyp5uXQRQyeDUFsb7WAb9twJz0zrdMlfMZ17Uq+cgafJrO5rrJ1f6I/kIXJUj
6kMNw51X0c4fAFfeJvp/+yweV/H6n//x+QU1hn2poFJ+1X/tmoDsZljQ/28FgedS5mVX/tRq8eMv
/ei1iAKjE8DnuCYA5brijnjrtUAE9Q/qK/RTGD3lOCBo/O9mCy/5ww9ogcCSwAsRpbcJMH5oCHjh
H3waMpbQXQk13TD8JxoCxIs/HWk8FF/vITmKPhci4yjS/HyHxVOIcuSaO+dxvHYNGj4odElIobut
W4frcvYOS5d9Wjv0wdIxzosne6QlCXHI/qos8vHW60NaueXkHYMIeOwgoyC+K1CduqJLsHnExwQa
EUfHxZDpx2wCrqHZdvhse6KW5Z6OyPyJOk0HJhRSesViukkn15IvQdb1V32RJ9e4fFEAsYdm22Ei
GHz2BMWy1OgVP8N5tl7rJVqeanr5ltckwiamusQVbr6lKHSQLcJu+VJd2RXeSmfhlMHY9Pwc0mIO
6n87Ar8iJlD0KHX7NPpSeOqmg4irPI0GKF+qLQd/DwK73DpyafayLuJPTd3E7pXSU8yw4CN67pB/
XVfCAfOsw8E0v3qoAMaA00dnsP00U/UXv926q3wmoQvizd8H0q8/gD92h8DJ/L0VhUgxZN78jA3U
CgYeYAsKwF2e9aIVd1nCKXC2ZIV/YS+T9VGrptyPalmeClsV+7qsGj8dtmmInoUqJ72LwsVKDhus
IpEuVWYPxyzJ6dGCKardd/hQbMPRQgz+UQ6x/3kkSgWfxJTro5/78bWh6z8us2dGuUYECvfjxHlM
6sBGhs6dnUdYh+CujQj4eO3RtJHKXju3imhp3BFVCxx9RUcPehxMDva5aEO0xBgDfNwZo40rLGZc
j+yYf8WDm3nNIPxQmh87fo9+P/5O4K11dC26RXx0aT5sSWva7Lmi3950moXxtZ58SLpNkW8OIFOQ
PMfo14xQa7PkGe1Kja1hPGGykUjfeaTXg9doAcvO5qgft7NF42bhFTr4LBbcss98HUs0Jxa1XSUd
TCnaKZ3+ys0d/NOQJ+KFOM75nIFC+xVOtU1xiXMUDzA7w5IforxidNspEx8bZIbhzQGLtvtgxQVw
Hy9R4++pjOKiBvw5Z0ciAju/0AY8SkE+9UtVAY6V1N8oZy/mY/Gbls0ZmJjhXVndpCYSdps/wF6G
j19C8/LxpitqpZCucdCk9QiVmSHyLnwAyYtlKZiWTWnxMUTBe+dbgpfIRte+i8spvP7+jWFEE8Bx
skLvAliVtTlMLuNbzXn2PMtaxzs4mnkE7OBONPxKHBntdVXxzgfhuQptKT4OrrNN6UA19TynCcq/
z/H+PdTeUPSEmqUEIgxHz9sNLhKkae41vNbaxvF1kTXhn76uVuv5+1NShRrz82bFUnJH5Z2HDUTI
KrOI/W6BmXBFbWpFGVGFM/Nc406yvdczdeJj35gpdW0zPmCGtrrVa9JfJaHqr1bZ83OylnmVxkmO
jAKKgNAne4sFQR21xJEZpzzDgZTnfms767EcRPNt26iNpFVomTXluFgd5lAj27N+nKjy4O6+QLeG
GLxb4KJg25K4GCpv4fxgz/FyN1Wr+Mh1PeJd2I9OzDrtWhzbAfiusd/c9SKI1zSgo21KlasS5M06
DCBXqaJbGM/ZVZWsyTOTGRqxgMh5qAqoNWkjlfio/VFlVP3c5f3EKj6r5rg9brT97+wpD+7HUquv
FXqt6Fdw6Tw3SbO8j2Fc7KgosbBdCaMcXmcPzc/28Z7pWgo66dZThNjBNm+oViWdQre4zDHSRUIq
Op+dJPoKfTLyDqjLxBTrM4pyqatqpFbyyr9Az4DxXZcie5bkStfhOPQTX9jidecEPl2lyMgcLPQ0
UnfIIJ62dOBdeEvpnaGVgIuA5Ma47xzRPaB9R3fwhOUyBsJ14T4l/RYdrVmur37UevD+dXkO8cN5
aYJoe47zcYmO0BKq60GG5as3LPMj7fXrhUCn+LBWTbbrS+tJVpZEjNBX+46mEIpdSQx7xrGwxl2s
Bvf5bua/YTxsxy0Iam5vr+Wa1+yAuVFXcTBjPjRV0eqnph3x41pX6krPGcaX4FzOxYjP1E1LLr4P
5lnmabZoN0T2Y4uu0Ua/laFsX+kFx1R+IwBu0mUd1kty8/i2ma0Hp8XP4UAnGk63NZQb57qpOc3v
N9+jo8emBDKF1N/oU9yroYYmSYqd1taY3VHS5DTByZf+NDE+OB0Ovjno9U4nasvPJlDoa1F3tvuU
4Zz5PBdUapvZvysCms/BBfN0zpXzkKEb976LNITDcdHxu4HM47yMGnGw0eT5kLvzgtdv/Ljlbvjn
qFb3rMfiWp4Fc9cn7A/RiPMJ5Vg2/gxHJ0HTQrh3CgsYqrKiCA6NXdjXc7818FAQ77hXRd8fFlAP
uiqlQ3+3J5e0mBAgRATe7mzS2WL+RI2zhcXjj0F1hLc64oo6NM24sxy/OUzeAIl1sfWj29Xxx5JE
HcmV0rPfjZU/pq1tiYsp9FjVs1d9Wrjer+ZmHG+1a3+aZTzcoCGwwn6fFxHuoi7T17S4VTC7E/f9
igU3bSCVc1/TufVt8hf5aQW2GT4v2m6m+5Le6PxKy62+yBvst8QgP7j4Xt4XFIkpg9ZZSii4XE+a
FvlGEdJEobwclWe9k9DVDsql2S5do/a10fNyPWxldciC1b2vSj19jMsw2+eIh94lIsE5eZzzCES7
aIcUUTtxG1lZfWNng9vtMTK1/g97Z9IcN5Jt6b/S1nukYXBMba9rgZiDQ3CmpA2MFCXMo8Mx/fr3
gVmDSOmJlbXqRS8qTZklEgEEAL9+7znfuRZZZa9doYYNl8sN2NePx5pk9S+J6sTKrur7UNX6Ecn4
A3nU/SZOuU9lqn82zOiQDqk8x7QiPg1DxMgCWlkLxFQacIzj+ExGAl+AV6kL5bZ7EP9dkLkmkgvd
ULw1q3oU56iDBWfoGbhMgZiR6mGqjsVPu3QEt4qexOfFQDYaTJDHMBXuwrIrFl2SWKHmzdbI5vK1
UffcByZhzrhYfFYKP4TOKxq6kA5L+JaQA30MTLO2rr1IOFee33a3FVsgFvqS/odM426VzaS9u11/
UbUZ5iAV3Tt6Y5yVrZYwJBpxOWAW2DJWLG6TtOqZhlJ+bM1yMVyYS0ptrTPyV52DrRT7bnxVjK21
zSx9utPbtj+bpKU/QqHmBeVE1QVvoH6fjDKREIH9awvi0K4uVcy/mqI+s4oZwoNd5HCxSzlsVLVI
22O4CUfFeO0aaoy+bkP4HvSyzitGN/e6ZLId2IV6iFX8CdlryKTW8CgoYLvf97XP3FEyeAjoMB5J
gwOZp0ek+dLZ3DrK4Xvo2nRwsMmQeLzyXOW0W1LfbZ6EostW9Wg3W4E2hMIrhgbQuEW+qwfhPdQ+
J97XY3sbppULOrAJ0w3L4bD3mNmsac5nGJJoq4wt8fFo2GTQprGgoxXJM5iywiLzeVJnYyuwKoAC
sbb8zHjhFmPsQYmwe1BUyvnu0W3ekMtkz3vGu/nX2nWbPcPhcJMvpVUNFTzI+wl/tTCKapUXqbNJ
tKbepGWfrDzlKUTihrkOYb6upr7p10Swm2dZWvSXs/Rq6571je5jmVuAmgp/LK7SLrFWMrOrG1WM
kXOTE6U9r2zNb/E/pJQF5SCeM1rU0dZ3ypIHSKcWzBwjO0UsshE5dOdlJuVmUpk/rlLpkUNMGXBh
5nXNmxeEJDSRvqzWs5VSYwn/c6SM6mYOh7TGnx1vm0xN57a07Utag00LLqfR1qqymS1WeXc2Gs20
80qkp4ge5F08FMdmaM5qbx7XRLA1p0JW8iuNIH3Xd017NDDH7drIe6BQG7aubNe924rrlDBMJB19
lmXbdCyi/ChRZBrbhPRR0sREW6erCqcZFCLTmW+UpdfPIwIAgCi+mfdBXRZ5YKFpRYgRzueZgk30
depHecVIfD5p8dwmmwjFunr2uvquVmR5uEGLKjA0dxBd0RiEo7NrYsu9qYz8sca3Gp+VeeMSJl/q
TxjcYAnZFHKJx70Ac4VU6mBOoXB5WRovPhdh649JwZ/aAQBcGV5VtWwgc+VosJFT1sPjHIsKUmLr
Re5VZNbNFavfoStYQYf9Dzv5qz+7ej9izpaN7796fWiayQSkLQuh0oZ35r5vbmUUSyGy5GpvT8vW
CQIbZaLC4h590KJ/2xL6+4FQbf/Zyzbfy/HxWgutIV56D8vKfmKfWhSbrmyo1fgayEBPgMuzTRip
R5Fg1J9/f5o/H33BwfoYZ7FiE1H7rm1faxOImGmsIFjX5p0zgOFKmmSilAB5BsSOo6JXoh7UYFrW
f62DuJw7fXtUsK9xOPiFl0/3gxUBC6eG/6Wt9tKo+e39EClx4WaNeVemkh2UMBxOvhdTddaRYrNA
SkrFHqCM3HyP/fSjLuJb6f/yeSzc71gWjIXt+BM8PPIHNZkRmxm3bcVhsGg/oEU27+bJlS9+ayS7
3199+20TezkgIevMiJbOpaA+pD304wXI4x5fv046SVm0/nkXs1+TrMZPmdZh8jEr9RXAmRCXUe8p
i7x4xwqnlcQJWlykdpqz3PE232CkF+2paHvjstCcuT6CPPMf+rjzN31WcSdB2A2p1QtHvugR81m6
OKKbb01HQw3QjFm7T5RibwEG6qmy+6G7lYZvy+0ML44hfenAkP8ys4nMVqDs2KVHIRzIBK3pHGQs
E3eFa9WfUcLKF94T5Xdv7stb+N9s42iY8/fBedWf9YIJ/HnEhhj0WEG9FriGFl7PmlQSASq7xZ0X
VahP+IvtSVQ1lP42NpxxI3EsfX5tgBROY/xJBvj/7c0P2pvMTJaR1f/c3tzmVZu8vOlu/v1n/t7d
9PQ/+BVsTDD4oK6hxPtXd9P9w7HILsDauvQv6S7+q7tp/IH2kc0uxCIAAS68mH90N03xh70MFEBL
YrokgsL+K93Nn95tDsNixss42H1QBK+k3h/eLguGYfbqSu1NE3TLKs98GknCjOkpKsvn7rPJskBD
RHfYx+2+/uFa/WIBefdo0w3D5ei9up9YSX4aAjcNEPR+HrvdoMx+406FszESM19PLszn/+BQTLiJ
VGbFYgz79i1Cl6k3DIygOyTyyS43jSGwJHspdArNf3BWXEpw6UgdkC+8Wy9mY8zqSYhul49jshvp
JK5b0FWrbnTVBwsjTe4fV+DXC8ioBAgQIgfey+/Oauw7laHT72B+khLTsz0qW0rIsXfWEUr4FRJt
LWjCkLpWpyr4/SV9t/z//eB485a7mHfdu/OE7IXIve66HVmGTmAAul+06s0H0Sc/3yN4QJgFoU1x
sKa+9xlL/BuSDBy1a32B51G8OsDtsXH7Tbo0MD44qbcjc/r7LDALtpWeGRR4qpu394lNf8+KjU7t
SJtnD5e131zL/M47twiMvDjDsPDRCv/zZVz0D+CkCDhnnvEeAQ9Hh/6UValdiiYS/4KP/ET3q83v
v6x3y/breZkCkBFoS18wX3t7XkKFRplRZe8s7BWBpWnnkSZP9HHN1agXfzEu4Kejvbs1YNpEDdJs
tSOdwIBrkgRRX3RBzYwBQ5GPjC3Lnn9/gu+jN1+PicaASRLYLm7Id3XCFGcOAwUeOyJhBUujyB+Q
9THhrWZvr6ooW6vmxu0nb9XkQr44YGeOtW3tVdRWtIH8fqNGk6J6cOuv40ipPjE/CUwIIrczAE+c
p9GKvPf5gxfTO0vj6x23SE+YUy9T8J/uOE9GDv4jHqNkUETrCHwQbjCOdr/RNEsPEmk0qxqj19ri
6m3MfBRf9NmF/Wh4NDq62cLJEvknxFbRB8+C/YtbE4UWUh2ecJv/vXsYUj93stnOO4YB8cYMUaEB
1h8xDTgEXDaRvKc9iRJ/ALO9hllTHolcbUHAFIBIimUP3pNTRHRQGpBqqAeWUYfrEKlZgPhvOouU
2TLOnbUDQVQYNfuuWyN3wrrQtf6DGhKNZowX4qZKmlUrNHfL9AStBlsbGgXjsctapO0a3a4utP1g
zElMENm9Gjx5mYkJ7Atak21rqWQ9aN2p8t153yTuHEwit0jnzsNzNuRLt6Lpd2mZaSsaTN+zybrp
vC4LsCVke7LKuxO/udz+/m79+TXj8c0vs+sFbMX+++3jOMrIVvawfOkyvtSAI64STz8YyXin5rDe
0Mgzgv/giDYva5sO2PK+eXtEvx17z5+zbteG4cGQYpMb0Ve/FOetVYpV5juffn+8n9/bC+wBgx9D
/GXr9o6OgxG1R6yjuh1uAAAbvRgOUcWs1DPbaf37Q/18mxLOQooGlCx2J68D6R93CJGyEXD0Faug
19tnldYYh2pQHwX7/fIo7HcoUxBvcQ3fXsACv2bBNIXlzmn1lsaQr+1VE3lXvz8Z4y2JYXkfcDae
YXhUi9AG3+93skSbDQeX/24cjWpdGTLdOvQq0I7Q0hZ4tigpuPGRmEXH1ntszWhXCdDaH3yMd1Pv
149BCbNAXmy0Q+8FNA1Z8zP5Xwz+xtzdEMyYb+nWdFsxdMky9ZrFwSjpZ7d69S2vBveGZLBhB/mk
vyjm2TraGazL338m65efCdoI8iKwI+57/pqH2B3zipK7VGMbGCjGN88sqFeukCWzCf2lyvvxkczJ
+Csq5E71eJQqk/GvFdOPjOTWZB+5ppvgBkNiDLRyTYWJggPuRjtNV1iEjW9TSVAjYM9b18o2Nv6N
taP5j0y82z1tJf1csxE6z1X15Pb6rTNxoEgw2K4HX9ofvIB/XrQ9h32AYA9vO7jL3t1ykAncLEy5
FZo0fyzDndun+Vqb9RgFtG19UCGYv7y66BxA7LG/R5j59gaPBJL3MLbkroxUecAvsvF1NZBu3jWX
oayZ5rlsgHPopqscO/RJ1aBZAVaYa9+jteeW+bfcGPvLzCO5aB6+qFQzV03S1bdTqWD6d4m9hxgz
HMspv9T07qPS7dcnwJCZeR9TV/0Vm/nDZiY0cNBM3sAtG083UeuC/h9EdB+zRjB/cNM1PXt9VeAu
ox5oiyMEsicvce9k6/gHVYchzu6W5r9e+deM1Ko7T8zfZmQWR4sB/RaA97QeMvKBrbTLty1T0A++
73dsnz+ffbaD/zyDd1/40DF5QvoqdxPD12M4++Wxs0cYIxoG24XRbClngsinH6xqWvjRBDr+/hn7
xWsbaRhdl1fmBlqxtzeBzDOnbHnp7Oqo/O4n9NWhBqTM3OePGBvLb/qhe7i8YBa8hg/9TiwavHe3
WxNGqnZDm3Nto7sMtuIjOgcEFZAY6O9PGZ1a3QGvjY/tIyHuL1ZfJrdLvLXFwkTh/fYkO4ikZpjq
BHm60+ew865Gt7nRRfg9d7tntrzOBwvUa+3507naJvkXeI9sSB9vD+j3pHklWNR3bMNL+srUPVNo
raeSDrzVz9/0kNiZJB/X0VRT3OBoXvUSlrBOtfL77/eXrxS6tqwswFX098sy867epqMmd4ybujUW
SCeALA7SKqkiPHofETN/sWg6OpUjunL23mzy3564A0QlKjB17aapJaqtNsLVrLz4gz3iL68vOn/B
ncTlRbH19jCpNKLKEMT4sUduVx78h3VfEuvghJ52GJDprqJeKMhzTb4ZQuIm6AbkG4RCZ/PsfPQU
/7wp9xyDXSGbcggpP2meh0nZcywzPkzf6RtI/NFWtvPF1GNZibAcrJbJ4y52OzOoMqV/8Bp/n3/4
+lxRDXGxqdthTL671zryI0yGCS2zexE/1xgV7YCBe3eSZMMVweBUxPVWil8QaExxKaidJrfXelpn
xJA0eH1WAF2Hiz4mai0w8XQbKzuy5cvvb8RfvGh8ljaCYQAJed77hkxC7AMzYbfZdXNYfBcQE65n
BrhtoDn6f3Qsbg+k0DxgP71q6rKeu9oTzc42k/aafFJnW02LhqTtaO39s/v3b3W0MNI4DoE3DESW
DIa3N2KsefBLobbu4NW2W0Xu2EZIXOvsUJIPvuhfvMSodmmLUCIyfHnfqQCcHpEEyEkx0I/WIVko
t0VEEgE1Dm76sRABpM/pg9fHL7819tcCLJcBv/Td+WGUKzuAEAD4TVLqCntEa58W5rrVTfnBofzX
tId3b03WQh1Bou96S2DU24vpZaJSiNe4mAKT5RYmTteuEiKSZuziYQkZrJXmGg5fB2TD6gdty85R
jZt5dK3iuvBsHi4a8LN/CEHwP5h1D6GiRQqBdzjPEWV2pAg8VUAeLjKCpOQWswIiHcmwG4wkpwS8
36k8D9+izZRwsHRrOrOx+e2SqXVnXLRkxyAUio07R5mo7HIxwgBNkT45G8uvY/OTPxgJpJyU1kwU
1Oxg4rMxxoaBrDNr43uZVwb5zVD77F2cGIXYaHptHIt5HLUd0PxeXhJyq7wL0akpvHakkZdb/l0b
tsXQymwMlPCzck0OroguPLe03bWyoQFiqW7y217znfDYlhpp5MuwMJii1mS4GicPhWReEYwQ6dMD
cUhRzeS4QimGgXOKNkU9le152rOdTPAC10O+k3Lws/XY29O4rnpS9c4YaIY6fYeiNtd1YS8ldoLA
98klJ3AKcEuMqxnabHtb24nm7mByp9MVgqD+tkwEIUST1oDu00ntiDZq6iMFyiwet403+slWlBGA
T1FHMwE3kkCgRaFQbfJwAUDqmsmwvZG2d5/GDWjgvKgYYIsYgURa1/a+8NQ1fd6t6u36MazN/FOu
efpNVzpDEBbpuNeQPW2sxj8pLAFlI7dj7JY3IZDsXsTRJpvLZGeKbFhnflZsI9UfLWASK7OWT2nm
iMBWZghFhhl+YVkvwtKGTV9Oks/QujtHDvrGFwlhNf6MkGogRBYoQ3QmRT0+u10zrIWaUsxj/dPc
gK7rCd4K+hG9G8lNuo6nX3OaK9sv2o2hl8kVmqF5pfTEOPOKPL6wBr4P6tkkkEn4MM6WvYOGhViC
QSBBR+Eh9EW2GtNMUVRId5WzSqyldOfrLB8PTScwHcF64h/ZKaO7BMauPWbjaK5nPWs2Iz7NII1D
IlDcrDgbyAMEdeRdhZ64KbR43BiDF2/Bb8yrSevUOgSUucMMp9+EUV5/AWiin5exSyBD10Dh1Lv2
u6M15QoGR732aFjv3KqyD21OtASqovFg6Yl5kJPrbWhSHE1j3CZ2bWwze/pU6KqBKhXuXVvcJmr6
ZI9huRl0n0adCj8VpK+BoM8K79Art0So2YRr/EF3me+FRwl4ZY0KxdvoqdD4HhrEo6k/r2N2jzdJ
q/VXDYy0G6lG1kVLnncTeQ75kog9aeU32Qz13iMReY+Jo2D86PXfhexUMCUDARfrrE+6ecKx3ZQz
2Q9Umm0E/yLxO1z0Hnphk5vnsYAtMK5dlIqYXjE1rdNIDZ9rrv1lA8iR9kgIsyMzDjp+pI1WdRj+
jdk74w/ov3ggkD2Z9iTPvQktg/xMnAyzZlTGIdE06xnD7WcY1ls9jTxi6Ew+887VzOorrtys3ltZ
bhIL47VuH0yVgfBQ0xy03RlwFvCEU29rR9qzzBnDqkn2bcuVCvBg5yCZi/4upqt/hezHvAvJ2k4O
Q+q0G9tPGiCUprcFKzGQhdLQjIsTqT87ekg9SX+33riznp8R5dR+hS4TOZscKg+yWRu13ThKUk77
LPzu09xXK9bLgu0hHCW0Mh6K7d4rvrc14ng0xtL4Uo5uu2ajbp/80qw/J0uMniRUZddRsdx5k0g/
95LfM2n5uKk6sznOFTu+BJvvgamyfKQLxxgkReux7XrFnRBbfvMpjrwGyabItkBMmk8u+tt92oZd
juqyy7YJKtlHshImugTVMKyd0C4AR82ShyM3NXuVkVKyjhxk6SkF1wEYRbZ2aSFv6E34LZIoOOL7
oq74+x1C0QcoNWRreXaC2NWPBoK0Kl2QjIUOyTrUcJWWe1AbjhF8GFgxcQ6WslXmVnI5tYcSdRfK
cehM8RnkDD6qk/UPvYn07SIiMOyUeA2YZuhLF1WHeFigMzvUFhxUoSfObd+ZpBdR9ACdqeP4lA6y
/kLrztzQOLNPUcujuimrYt7OgL63QzWKYufCvjoR/du7K4Ts9omHqOGh4tulCd8cM9IFTvAY6+cW
1OC1mFvjTiZc79eMw3kqkezEXFSNwKszjVvzurbb+tledpjMy+caZRLG0x1XNtnbY8Gv1RQKn1Y0
x9fUxLmX9XM31e0nWKzmZkYI9RXIMglMOKi4rA1C72PEfnmn/A7xwSDtk4BAsVg0/Og0JpA5qXeL
YnohbFF4Iysw3gYkPAMZ5OcGy3K9xhhGhnPsNU0QlXFa8oZSwKjAyRh3tTHZp8SuwvvaiSMs+Kr6
4kQOzGkVz3FganNoBL1HvWory9xEndccp1ZHmqip/qwtOHm8JeO9p6W8F6Mw2ePMyNa1rkUnRRoQ
wDvPpgIvMZ2chNXkhxasbhh0Pm2GdZIN4TEuOv5C2Psk2UQDGNt0riuFjH2oabSU8nGaaFqTCCJf
IJnaqxDZ18Fou+UuV/GSeYmU8TaBDf4gqk65K2ySzTG39ezG69r6yYKdeqsBeMhRNw3xaXKKEpWh
KNtP+RKA5TlSPej1mN0ky9dttqF3bqdGeNOIngNlRMERfoHtgSIjPgks13ceUuwrPdImgsSITtIQ
lgIYaD0i1QqU0I0el+eONfAbqzm7YXcw3qMBkS/zgGHhiIRKxhv4rdN3t6YRtQpVDF2Irhu6txJ6
VblytMoteZPPBZYAzQlvsBBzdwOiaqZD0ffw52PFnTRrTcur1xHcabyz4lOepZWxKkiIutKslCYu
ejC+a116cX9wSFMqV77svlcY321mF8D3mmJovmtVajyIqB7W/SCNb06fAu/h0WuueVvM3yszrduV
Y5ZTtmpTW30zCQ6Cg9673Pt1zWVxWMnlTh8yg+BDSt67Gd/djd8h+IB11H8ba6+5BgBE478x68uu
RxuPKaW5NjovOoUOGnxyAJEdSc868B7z4VN4PN8lALvHBlaBft1qnuQdX2X4o4HccfE8y71gTxxu
CW5reYmhjqOz11mKgbDlfUEK2F2GRY0EOs/7/aslomHZPLcw3qgALm5yBSt7Yd0Ied/WfRhglvne
RRX/SdZ1vQ772nq2CVTZihp/RY0EaY0PqFzZveXsDK5XwEQT8guussUFUyCZKtrxiiIECqJIwwcz
j8Qq16rbzhcXvcsrcdT1hL1M264H5aeXDf0fXcX9MS3qlsNmzkkfCuMydgveGxY2hVFPtAugZvUJ
3Wp464QmQaFjguaV3OgZ+CTDxsaw9YOddMd+mnIgRaq/0KOhPUciVR6juJwCSn1KQJ/xH02+Jx9W
0QHi1niTVb31Ai2PBDHd2LE68Q9LNpvSMQDmdeJsHFPxSL1Nepo+Vs/+sMyZqm4b0/vEz1W5TMti
CtIeb/OjhwvqRi9jFIljvXeqvFn7g5ZARSP9yxvmJ7rAxeesgCPEmsNFMjUR8aJnh7Nyp0nEqzTL
5CHTdCvoQ00/ZYWot1IporBDNa7JZSuu+QOuLoYVd6rRHF51fnSjJAdRduheKd0HtsI+Bml1KJ58
3LkPjuzyfZK4D2OqFzua5jF1IKVcUCRTBWp4iC8SII3Qjc1DaM3Gc6yHw7b3NKBVeFvWXqKs9dDz
MEoQJeRb0SqMpsk5o7gQj6mwd6U9VsjTU17AVcruNHIaf+fnvv+9h2T1ONYgRfzCn1EtFOKujscU
rKIvtpAll1OT+YNhu+711PMt2T3K261LXRi0XRttSOCsv82MmkwwRV1y2aTcBoCDoyQA9FHzWqun
OBBFCj2wTtsVLW6y2joTSIlDQS+i9CmdxuwYDeW+y5o8DWyhnVdTOl7PuvnYJVqx5VHc4ghLKdRs
m4LMVZeFsMN7wCaUGaIHz+bqaVB7XXLjERK2zgrLO5MTRp0Q231sEz+UWa19Ar9VVcS8+wZt9Xw+
TFPVXzjk+pTUaFrGA+eUxxo73ilPrbgKmnQm7L7Fvp9CcUl5jJih9RcgXlO4RQLUqUGLmNYaNqBm
rumeqEQjeiBcIlIZabCrc3tA0KpNSfIGjXJDSNGxTd1xH2KC6z2ZLbSV6kyWg8tbv8oZjiJgBzvT
ndP3Bbkm072BVe6Tz8yUfc5TCwh0VcT2vGrguK9AU8Ve0CPj/zROgtBF030mEPAbisXmCxVr/iWX
RAimcBvv3dzWtiB1og3m++J6cqhY8qk1GHr73Qx2Dgwt5dC4h4bcJ0fNqgaBcFeX7t4FkMgaI5zq
pA2A+NEUu9WJThGBciZmxIphUM5LiACK9EtRpOW12XjFtZPQRwY6yAuUhJXuhZRj/blECP/ShERn
rUyNX9igAjjaEOFuJxSow6eWiofvDVHpFocBmZmv9q+8xrU0Eyn7mdWS3tmcG1j50NkT9hwm5h31
MTvTrIjFMcpG+YJnqHtBtUcTgWTG4nsmFmm7nLvwCwxO4zkDPwL+BOvmlWzG8IuZtWzCRZiQc14D
4H3R7BoGu4lD3N3MmV3e5oB5+ZJg41ZbN8KnsBX+QEdDjTG3R2wqCpyqzKvb2FFo+zFjhF8A+vIz
Pha+Fq4aBsW1KIFGBqU1YSvoJZ9ykwJv86ADm5yVwOtTBGkiSnmWzHbHvlEveyNeDQQRRuiMDX7z
rAGpOQiIid46Fv6k7bRpKQE6JqQIgEeCtdNYB42Op4eiFb0+35I2s9St8lGFX/q2J0QhAg0wBmFk
F99NpTiqaixyqwf4Al/+vJh2r0Vw+RlPJqtZ6ijTXGMGY8h+otoh1IUw1MCMW9EL4tKTmFDe2ujH
yLPF7vmwKAsSNpgZ4YlEQs3+ycSEB0HNJnN4arvq1h5QVPAVMm9dDWHD+YETox/S1nqWnklUDP2u
WJDjF37f9d97h95ooExATBeOZsR32dSbO8S25WOB/es6c/0mXNW1p98N8UJbHWnDhyehOOm92et8
RqpyPnVShnx5zjSWGhOqyoZaqidLGmLtAbOnL8NV7DUYDbwkTPmSsHtJAj6sfz7JXn5LUpnmO1/B
UKHwJU15h7nLHFc5IW7Uu3yd876k/3cc4N7pAfchFZ0dizo96ASeVZuW2QresSaxybYoBRtuFmHW
r1VB8gBxcJ5CVmXOgA1PcW/pq2YpIXO3xNSSow28J0vS3DR5pR+ZSQMUJjPjukCzeo6WKXmY53i4
H0zi4l5bq39Jg/o/JRB+Hf/P16qeSGiIu7/9e2GGv05FXD7NP3+T/Nt//f3TrZ+6pzf/sim7pJuu
1bd2uvkmCZ7423/xk9G3avmb/+7/+b++vf6WjzSoONx/aEIvB/j7D14+FXjziTJ8fireSlBff+Qf
ClTxBxNdtNoOmgJE2zo923/4670/gCQxCEJswMgC3du/FKg2ClR3UXAwxXAcOrD/VKBa+h8m+2Yf
xR+7W6TQxl9RoL6bEAl+C+hEPgU1Fq2Q9xLG1KhNIS2h7X1ye1K6ydO8V76Qdz9ck48b86+HAdnj
ouJH0oSG420veWb3MPVzr2FBxe0MBnRaW0r3TsUAMvqDzvXSBP+hb70c63WGK0wyCxzEdm+PxXeR
Sr+3wv1kVP6JZ25Z4w3rKGZ9YacXrAO/PzncvT8d0kXASx0LJwC9lr6ISn4YfUMssxvDbcM9nekQ
c2VTdedVC/ovIAqjslceAJQHJMqWuaXP1ONg5RUw7Zxq4HVJZhFdmB5xBS9vWlI1OvM9RGneOpPf
smCOSXvegDneMbT1dwNbtB04ExOx4rhUH0ZxjePf3+Va290bHSWM37eAgsMiuQwnajKKLAJoLPbX
4Nj14pBEcto0nSyuqXBncKgJ8YUECj2w47vQ1ZRsBjcvcUgSXz+bpDYKhrneKk4tdW1KFtPZmqsT
QLr03tQTGqk6Mbx2E5cruu09Hbly2OtViKZshrPo9XoVtOCnN0Y81gGZ9RJ7clddtrU3EIeVWU96
Hmn73Bma9dxik2l46eP5Gf3QWXlLM03iODl35oWnXM2xCvRmoNvWemKrLw24JNPYsZNI9Nqac/9s
1Pl/tu3isk63LjipkjWG+3ylx3RpAt0qymcCJ+vPqYq8R5Zm88aPdJ+VVpf+S+rJOg0Mv2WjW5gT
IZ1Uf+O2pdmAw8OzYuoH1C8sJSI/4bf06pWDcuDcVYM6m4gAeSAhKF9lYULrzMy591Iw34HAgH5K
LPxpY6KvwhGSQtz4uC3hUn4u3ApIMv3ardc7bIBHOMMvbVHEu7iMv064X9YRY5KzyPdUHRgzKFds
mtXXuAzzi4YQ0kdhmQQcl8l8rs/g+gM5GhmEnV7XFgJDSBFQabfCSexDKHSYV0MJQHNKsnO6l+oF
63mHy2zpzM8RmdK4oRP/yCWQeF2drw1TngFe02W54BQgBrzQWB0CeISgXbsR4lJ070st4Sat853G
WkqhUowrOdIyqJjWrvwwcQK37s5wOuPGG7sI/YrupU8EUENm19wvkDmtdVw502Z0neYmHEi6dmJ5
xZxrMIBNUzz7PU8PY57+wsqEuUkNtu+FCw291bqLzCzn526syE91a/uZtkl2ol9prrO5624auwOg
3nk3TeMnG1oWnzTVWpfmHDO1m2Z5qbnzvBl8Z7gtS5/i0vD77VSI63IoHl0rrIiDyzy6JAFDXlCP
pQPcnT6DIvuMkm9Mqd692kyBGqT01qIiszeOqWhLTDnNpnMP98l4QCcVTcUqjhpdD0KNsPuHTJJ6
HRFuruQQcSGqZs1ARqZ3ok29qMsXcTdK3jt3QgfqG9KN8K7GbcZmipjNwG50ur6dV5a7oZ8d99PI
vtXbulNm2ocCQQ5JyBQY3lZilGxEEBWds42yYY5u+szmb9Km7GmvNUswdFW05XAV0dgn27p2Ghmf
+aHWIyEmm93+bNbA7dNAL/HeboB3+eZDqgbN3jaLD//FJdsOpBkuIe2YTfSP2luCHsui2Rm+zD5T
U2e3fk/zoGWushzMZW8Oi/7BDSethdRuhhgBlcOGYOypWmn0DzRDlpmf3VnWcTDDBiv8aO/NQqNe
BmadTOtihv4BI2UZHjbLf3ZDJ7yFXz18pS0UekFJNNtWZBZ7hXzkuIpIrnWmcnGoqa+PCUF3m65Q
cwlzFbV+oHkgFBrB6HhF9ryxNQA1rPM2AYZS+92qlGRtM72PYYaE5GaNLX9qiK++pUwO2cGWmqrX
fT8U16Ml6m8CycQ5H2SpcE0BKXzyi3mtnCiHCQeW/+DpuX/K7cR5ImyVz2flvbFFalhcL2rkDMs9
cJYVgED+Pxvf1XfTa/MHS+/GK3pqDj2AuahuoyJmayHB9Bi8PHCN8Nzm679eBf66dPuxcvs3a8D/
qZz8f7AKRIJNmfFPKcJPVSC+1Kp9eql+hDP9+TP/iLTWzT9w0uFjBI6ElPAHIxIj9j+QVAqKEFIq
FpPSP8tAgRGJApFBP8MASkeTwoPvr4v/7/8Gs7Q4l3wAaqgqaNP6f6kMfAtss3UPhwfsISb9HE4A
bntbwTDwqGlazdqZx1SeXB5Uxd6kPrW9Ty/6SGfKTZqA/iTxjzuoZCwi55afF8Mmoi9tu11gVxPj
4qPwQy+zLkqoKDpaOa2LI6QthFvTV96pLO3GcJeR8pIkcCeGHhjRzH8lfTIED+SLex1vXzNHbE/R
LcU0QQp7mrNg+G/2zms5bivt2rfy3QBUADbCxinQ6EQ2yWYSqRMUSYnIOePq/we0NCNpZjzj499V
tsuyyQ4AdnrftZ4lbSrqNN49ZbBkkR9RV3G2pTNL/WS12Azqs17QPvJKi7r6fJfUCzo/khHC0T7T
xusj5zqOO3+k1rmq3CSxHHB6CngtWd8sCh3zmekUon1Zy+8ek790dvr/cdRIZCN/Nmo237KX8aX5
9vOo+eN3/gknU3kYOTJwROEUtMa9fz88wS2zsSOZqGF+jIzvQfCwyWDNMo4QUZrke61ytR+DhhMX
MFcqKogA5Xrg+SuDBk/Z7/t+xi3HOkPVOOM5aJ1/HTVpMkTQ8p16P1tz9NQlqIA2ViVYsyZmZNA7
Td5tq3q+yUrCFzzMtB7HPoAkgUqo3RAXbBYo6T4FcZ+jeSlSkCyOOn6bOkvZSF7ckwGN6yzsbgq6
IjTdsy+G0kgOT6TeFaGDsg/5EY17h8HGRYz3QW6ad0k3FjR6u+UqS8wOWnxPUcIm2MhYIZjN0dJU
/DhlwCpmZyDoI5p6HHCai4loBogoIqN6aya7kQ+Hy7uxqoO9xMGBwJ/uFikFRcw2/pLYtfIUZ7ly
H9YFQsZ6KqiIwNGpworNA3vo62UCK5xP7XmQ4VdTSfmSpGu45EOcDX1Ot46TRpv5oz8cFt2OLIT3
qhExrQunA82vLh1Lbrxs9bojumXh3aNBP1vkG7mx3Z06skkoCelnurqw2/qTRgKFG03FHZOIdjmN
7OLBnwwUKcf1H4S4zfmlIasn4L4EjWjdxD4l/IJO52BBBHIzIc7pnH6p8TTQBCjvSK9anolZVzcV
EbobooX7ba8i/qXt4/EI3k8ioCKdWG4aWOtHqF3L5KWdehI7OgnqtUgVZdvhcr4LWyd7LOfeeCRT
qdiJIsNsEwYCxQH7iaIjHThS8/d2qW5Uy1jIwVKOHdzplxLX5D07jwFaLM1uT1ToKKVe3WSjuQ/k
IimMd/X1DBz9yUjlvdXGJQAczolaO4cg81NqmPDB9jQ9UXlk8iFbKqWmoDw+hEbArJ2XCFXscD0S
OkH/pqhQMT27VsW54/hyBWUuojaoR5N0gZkuPrioO6Fok098d7PawMVtm3XOFvQEJ00RwX9n5FDJ
HOJNBJGVSLSJpkNTQ9U7hJWmEQxLdyPB/+B2nHfKK8pg/QUR4B2hKY1iPtigxC+M3FK/UJ0GK8RB
1qPYpscbABJludVkEzSuICrjgswfszvQBWIvTMrX/K4U5qLsZFOWwfvs2OMp0xtwwiHgcT+zY9Fg
JgzJ40i0u7+3R/9LkcymUPVnEz1hOcW3ty5+67uf5/o/fu3HXK8xoaNJtZBGr5Llddr+MdeLTzhx
bMpqNtWbP5aB75O9wbYKBTlidgAFbD/WytL3yd5QPzEps0IIEyvPqoH+K5P9H4rOn+tKEr26Q52M
Eo+N6fd37bapz5ZDhP2wL4twZTLGmQ9JwAH81z3NVvoqSTCmw8aUVZBT57ExbzESzulRatS51U7e
y0GmR8KC0tPUZ5eDNHB4K9aVTvaTm6lKAeRtcKBPGhMzdrFsDZGrm3qdTBFIONsKubDnWD20aEc/
fyh21Aj50god9LXantyQk4qrhCqNIY48rDW1uiFH82nInPueVCi3rkqI4mbySstWJQaNH0/h43kl
gJZDNTRPGiwPEM+DcBOEXH4e2I/KqN4mQnsdkADyu9VTVsbvpC1zhC9tkI2WftZIinJ1OtWuVU2d
rzb1k0W6I6wfCiijwtcrQpDLU848Oig2mAh5YL7vfMiTlTcA1wm7HMZbkr4DKp5ciya/S2REu1Fr
XjSj1e0aFBj4ClwGVR7yuG03QcNPDSqfgXR2xY8CvXV7QkL2iUH9q8zCbGPVKCiH1DiPsu/89TcT
MGFu7PSsvDoSJ3zGLSHtgnWm05ZzWGZnZ84GP2t5ywzI/IVpsMYUIwKTvuYDfUhIINk+pO3aPyEy
b+OUxftc0ESuRaN7ZjCn+FSgdBDNFL4FmaJxHZx7okc7/2POb8lQ9Aji4QajFSICaNBRLjjtfSCD
lEqfRRtDyZZttbBqj5KrJ1p0K6NpH6Sm3H88JHE9o/Az6nZT2Si3tJkewIBvATLq/SgRB+vpqhBW
zfMQ86HCBBKeUBo29knfbsown4620+n+UPHbkNfZmDj2FW7XlCinVvftdfNhBdbEZeLB6rOc3iB8
IJ7nd0I8hEuNF2rgGL9SXebeL/wpCYhiHjSl2IydJBWU/BYvh3BEFk4lN7qNOEqtW8dr2ubp437T
tUC1mvFYdSPfl2wxxyWxg1tfczDoLZkdVS18Z5DzVLPtB9TJ0ymh7GFj5rfCupsfsog/EtHyioSZ
+z8h1RkqIgF7Lpdt2Pfzwp0fa8aJbaPoGTlLn1CbVoSXtk8A/Cjd2dxh2fMwSUbjx8VAsj6gw+dH
qzR/zanT+oGKeouAUxO4IA8trMfgOBeOdpu3NHrBHyfo/NkYiK6qtqSq6TR6SnUDSJBLqg58hjAC
1NcqGDEg6l6KGsFF3S26n9oMynkUwGzpcQMd5SmjWoAwtEhPLPPqRqhMBOwHM5/dSuYDi32n6hif
h8i8+hhegjy2PcQz3Z+MjBircm1G9nSZoNK1G4NoFJQWaoFeA1cd6UsMw5SI5Y97S8LyGkSCKgj4
LVMIj0BRoYwTtNG8j6d8sdNlSxiPs4O2lvozoUdbQn4yjL1sYT4egPUJZ4ifY0AuOzEzjdG063xj
cZb9x23u+nHNxuMxmlK98wdETC+gmpS9GfFVyf2oPJJKlX3gCGYvM36NZ/5l1NL3MOXzOVQ7fFVh
NOeiczyIaMFRbfri0o7V6cqczJ0ck1fy4Dhz2mx+g1Rf13pGBHlzyh6/L/K8xdQuZxsvGbA7yta5
KC6V1uHdEc0y9+akGDI5aEvhIivYETyBOAkVw2WgjYNHmwQMX6eKTdOY9Pv1tjmMFttbu4DMMcW5
StEbW6CC9oGtlMbkNnLrPhKzwJqeUT1KomWQ5VUdkwkBQ4NH0Rws/cBHGHuNUUQiGeJpZrDcpt//
MTfpDtq7j0E7xDT8lZDdttZFN2bDI9GYxlmf105CoEjX7GAdgjPgYaonlClWzP0rM1iFtcpxwDKm
q95O3zmvc2lmRsDHtQZxgpg25yVhRzkov63UN6au3SiYa+g4mjUIciW4QWuSbwjryHYyqN9rm/+c
9wmZpCayiJj5xFCyeKs1zZtUFdMviKr2SoC/eWmUfqpEN8rYX9kl6ldB9f44xxP1OgX2oEb1dFZ9
HRc61vRJoXC1ZMuX1MxyoLLsCCwfZ1eruGiek1c9KafNmm1L9V3V780wzTYA76vkBOitP5IjxS0U
CGgCmtua0fuJWtOeL+PuJkIuQHfGYvNnb5uWCFRvTvEITbRZWn8xokrzLMhnxyroXxQEwF/pI70Z
sYriLxRT+i5roSwWs8SyoDV3pnHf4dbbOnk6ORUEsFp4aFwY84kxKJuQpWgD7SI4ETO2KNtMoOu4
SvVI2gf0pG2+J0CuU57I7xy8iLZQRgfXEdAZmoyWeD2ndXxlDuQj+yHVQ+UW50F6jGzrv/Tm1tLO
b/saZBIcmS2489L53eYKbU5f8An0ezue592qMiP2lyNmIe+J7CTzlWqPZyB++6OW+Ecj9t/0BH/v
07GfovKpAfuwgIUL9bfDs4Pcgzi3qt9rqxp3ghvgijj9Wozg4acqff9pw/lv3u33Ft3Hu9kWcQQk
mqv0VX89qi9jqBjxUvQQfHlA1p2AkwaKD4ZD/btG+j91ymFUq+zZ/3OR9MSmbP2rquKfTwHff+9H
v1x+0lTa5WvZU6CPsf55DHC0T/A50JusZdAfxZ6fKqLqJ84GEA/A8EEgAeP+V/b7v48K2hXEJHHa
oC9PddTmY/zc0u3Zr0fdEIUHqhrsWwgj3AmCTAFcZw46GbCzzdvUD/VbpTXBfwkOseTvY8MxVy4V
0BCLM4eh/u4ijKm2mimCy0OelMsJFMayVfQWxdOSs5Uyu0jddzUMdpdkE6ZRjckCwmmpF5fMtvPD
EvQIqksW5BBNqoVY29HmEnZvoE83TcyOhGpn9byAuF904LZxT3ZnbM+9X7SV7gutW04AONQ9nxIF
3BwZU3o1gJ7/ZierZwDR67JtWNFaDh/CusWPbrOFDSZW4RGd1rpfoF4yY5k3gmNprr1sq2Al5WOi
RiYwFumzwwlHqriail4RhxlLjuZakaEUFWP0o3ekBUuvHOVHU2lWuEtfh1CE1nZ08Fg8qkMQxn7e
Q8PDUREp5nOkOjOdKprtXYSDQxDV6I55XY03tW7T3LJDOYZXhLYCIy3TWQtJ6FStrZqlOX2xOMxV
udVbbKMbJQL5dNCM9SdDUrppqjVpVeystdcWKmvbjYofLbjgox2HJWcREj6NpYWwIHOLzSK4+CJ8
zeGPXg/2XPqlumR00ey5pnsb1vIJqX+nwGwaJ38sanvX08jp+NN6IGjezKQermyZqC1Wh1DQHhfa
eYlZUkaq3ajkzhx+s13ONuCktZJVmZMRDerEGzKrRv0+bmujrm7qKNV5YCpbdbs+Lj1Mp8F5QP30
kFZm+gSCJWV9LyJPIK/3ujg1vynFlNzKlqZu7Uz1pnAUZxvhyjt0rB7PidlSjye9fhPbTXGgv9od
KanvdU3LbqMsSc/D1BXstpXQBp9b7xRttI5tWRwmZ763i2bAZEpY+atZomPP08jeTELEhzS0cl8d
u/zCVrPWX831XrTE2UM5cE6rUXztgLo7bxb7QXCbQZPcoAysX8JBMzXEpbMKRV3iC+gSTTkWkbUa
WCA1n2GSkyNf18uj0LP7RKn0Z8sKyYjQjfQtRpnzaEkGlTEKYwuVBgoh7HbXqqf80Ijx25pm/rJM
qeY7VanOLnNC99IspLEv6DS0aDTctBovMK6ZKNzbDInlAqbYCgOQlWyXD2QTWCe0yNozHV55pdnF
iLF37A64s7NDYcyOhw+wvW+hJF2L0Sz3qcjFxYiX7CqDOs/+uTLPVRVpV/1QJU8gWpNn7mgGoqQX
Fz3Q6j0qOAwJiwGvNuw4PwZNaB/jRiw3lMaGy7xD6wkdUyNpu5L27ZwQXOoCOGJaAXJ+knMjzugq
Lc4wDIl9RvqZQgU3jo+FFYprqLbt5UBh9vPUEvDginlUORkN8Ykw+/q+T/vxDlhwdRQpKVPKFDvP
SCuTx2awugvi6h3Fn3pyLyAnLfpWy6P8xlSd4FCRJIgDGQOtmjhyCwnIfDeHpt7hfJw/T4mOxcdR
DkVa5YfODE5ASIsNjgQ6ww5KYK0ID7pTXcymSkCnQ805NfqvyC+oWWOi2quok93CrAjr1dphRwPX
3uqRCh9jsurXKjD7C6Qk8TYzZiobhTGek9Ksr6JUzns2ROIczOP81Jfx8mYG2nDmggTXU1n1nxd7
1jwUO/mGcdJtiPZI9mNmJLvKSKyaIIcyfahiogS47YwWZazxaaTVV4H9a4e3a6I0FKhEl1gTwRh5
093Y2lDolElny0v0IXJla+rvCyhABQ5DgOtNRd8PpfQeVcNwioL8poKuf6WXevjEUTzDAugQHSlm
ZXDVOVZPqBPUk9OlzpVS5vqZgE5qHtSDncsS+C367+k6q9H4uBoD9dj3IaxkY+UPBmM3HeJUC4/I
xYtNKNn+cTGKU193YJkEU02RFRcKZaSjXhsaFBbA8hS4lMBra2t+IyJ8avjSa2JF3ybJvp3b+jW1
bH/i5HpkLXF8JFL6l4S8i0PWmtgpjTi+18gbIZ60s6/0bqY1QfgnkS5sgx9a0iSvJnD6JzxJygsW
HJUVTRtvs7iskQpRvb4sxnH+OmMWmb00rM19UZjjUQnzYQd3ZLgaukYc9UwvtjKu68fRNNubyZwD
iihER4h4is6sbNWz5fTlqyR66R1lDNoLq2sp5Djh1xGFh88W0nGxYGHRkih9phauuaZ2nlKuOg9H
aRVKNBzBMLVkw0uVSy3DqjIKzNJrSmYWGfVj0BedX3LUO0gzj+FnWxznC0Ortxw36s8yBGbqG5Ro
XkUYyl2BPPnUa4G8GGSBjXJamkPkyL3TpzqKE531jVNal111hupcJzJvT6h4Or+XbXmsS2QxQadY
m8RIqRVkmFSUoeg/40m1XL1yhtU0q1DWb+lanUnalZcLNOVvquiz3nX6mOXa4RpfZGOn3EeRaT3X
ccnUkyql4ZYt2vl10q5A/y5B4EN1K6/ttBBXsRoUTEsDQguZzbQCAlPu7A6eJ8/ECPBad5QaM1BE
m6y05UuKIHyrxuKF9IjypISFeSdDNFP4k8Tl2rVlGpz1m7leVNiuxWm9gcc6E1hCOuxAcxFvnKTW
Tz2s8kNIQ8JtoqK8KUNdPNiyG5AUKdkWrpIJQSopKtexaA9bLI5ZCh5dKUV1mBe1PdtmaLzREctA
73cVOo1xcO7QtdNvq1v0exE+OzMALe7lSmXcpEGNpYEUOeechYW9GyMW2VEVlzJoRm57bqinWiXM
ywB6T8VNwthU6m9RT9YdGpLR2YO4Q2GPR81rs3amNzi3N9WSVTcoaOp9EhHgMwmzoCobK944UlHZ
wdqxP7MX0Gk/OdgEMJ3b7zJX+ue8lOaW+tQTBnTbVxLnLPSmJeatVEE2sU9p95hU8aMkXRIdx6pR
UIjpLRUL8I7w8pV6eYurBpI/5ubxqONrgc8/XpBrG/JoGu02T1LzJmBvutViFuseBVhCPncD4EfU
C/uPiUn4SoR9vWnr5hEURn49oJqi3LCoxo71DqOw0aebrMO9psSavdfJ2LiG5zCxKtjxMxs0q/WU
hBpWPQf7vkoCL4xSR3dtDbvCgdB5zePJzm7GshrI5jCmxHRtjuk+QTQzxYZ0vLWaJkI/JMaDpc7F
Nd6SkXEirIaHw7G/svGNfIO46V0K5QXvvs5memKnWridro53A5rEB5XqyQOSa7k1QoSrlHbr+rpK
O+diSS12K6EZHFS76nMXkYNYtd6sYK4cgkPcD/hQplAkx6RzgOLHgxb3bDEdaju1HrbfRJ7YLTb6
tJshCbqilpfBQCWGdIvmaGZRfbYgliO9bOYrp260jZPGpGaENWbfYlx8ikDh02LJi8Sw7kMrHje9
Hl8VsanxLY1jntral9g2dLcBuu7VgUVj1M6tJ6r9+mFWqMsT5C02NanlPnnhLwScvMa2cpYVdnlg
s9YmWyD/tFivPCTs404VCqA61PITR4SLONNyojEogzu62Pb44fDuOf1GEB9EVSe+HoxYnFrTeNZa
gzwgUKkYxanVpCmImCrPuDD56LhZPqMOEQIwpW2sdrBarISFbUQQwpEgoOuIMsEjXcYsJUujzD0V
++oWWAXdW2UimClFMriU5GSUq2UWj5dLVgX5JwSW7BC2UoGm7OYEpn09WbBVKouaasHj96K0tq/b
ZnCfd621r5RgPpp6q56inOyqIRwN8AkNy1wbxYe4suV2bnHJVG1gerMBmKsqu/AK4xMre5rM11g6
s00iMz9eupxzQtUQ415Rkf7pxPxvyhj/eixF2SBwy9LuIjX4d7ptFBhzFvcyPiQEEaxdehvCxCKZ
pU2yve4MteBEyl6qYMmmx//nb/57DQVltQ40atWJryomZz21/iRzXuKisealig/aVDZvSwKcuIqz
6FritL/987cyfitK8VZgx/l7Pf3KfyEXQXhPrCnKeatKrwufMTJnuI7C8tufv8/aVfyl+rW+0Rpx
R8EB1ibomF+/U1ri7GtSOzxAIJu3kYSqbq028qygYkjEWupcDk6kxtz0/KWyiQliVgmja4xs6+E6
iPh0Hx/pb7XQf3FaALWnKPefy0f4a7GqvnX/V77/H3q7Pn/9Ndfwj9//0U1GHqeiF5LGqqqnmcyz
/KObbH8iLUg6SIMAea/ioX9WkySiOgNpG+Rv0D422YU/uslCfqIYQZouiruV4Mn/+mE6+T5s8av8
x9rnvz52UBRXsj5gfYaSWL/5z0NpBgdMXPyk7tOp9PLwHQX89TQHhwTeTYEXMo/VI2JSHzXGEzZv
NxHtfxnMH6P157ovDUfeGjEiXhLQxNpvT36Jv6SSktNe2XB27uVdrDkktPUtvNBaHVfqXUa1KzhV
VYjoTzcgf+jPBs3KJaJDpOAVWBQ3LuW2Yx2rbO2qjiziZc3BpT6/UXCyumr1ZkD3iEvaeQWYs/RL
QnNx/dfZgJAUzw/tUu7iHLG64s+ms8clT+svTK1LemZYgxe1o/quNET3bdQUyoQoHmeZug1PAw4v
6eaC/b8uwNlioYyT5Wx0fAGZ0eSVygk9CN0ALAd+m14SJnZGuNL7U0HhTHG6s+U8a0Lx29B+WbBI
+ihC1n2hBzEPKbBDYkzk92W2Gaac+TS9nZTgPqnHxk/b3B+66gtyJ3UXZ/1N2NoX9NxfF7wcXZJ6
tQUkxiId2R07ThGiKN7yyVB3aSIx/6rjW2GE4Cs4VhO8Y9L9r1iaWt5s2capuA5zsAh/Tyv/izZF
X8f6n80rp7LoXopfHFzff+f7XEI9+hP2KHojJNiowKCQAX6fSzTNQtbLSBIAQmHb6ywvP5QpqHpV
lf9FewOfPYv1P+YSw/gEJtfkrKxjwbdogvyVuYRZ49c1DBGiyjBeRzIgXma8dTH9aV2uljLVIU9E
13ZVORpuwpzYOFK7TRqMVjrvbZIni22f0mCP3VhUpxAAgpdh5/tKwxNGkh3mOo11NaqnQ7TUecHJ
zrbelkZ3/LyIJUMVJtVlWadN9jlejPqybBf1ayLCyXE1vA94ckzNRoqv4M/YQYUoH+yus+EK1Tg2
jhNBi+OpYfPlR13KHnvWs9lNUc2cKnYAHlFdKIhn5RL3UUXMZSWBfSfFom9q4tOHXm98XY+ygzFM
VHrmRIKBMNXehDEdGltgQ1g4KCqbESM3ik9E9I0Hzq828JO+OQxljgSZ6s90Hmplpye9vil15/NY
oNGL0OPkzMDl+qnmJfk8mS097V5UmDCmy8jRqPIlCwcPBHCpFgChKbOE+o2No5wjIixtl/NL07If
DdJFc7nzXGV16bWbWI/N1frT3rTIA6yLEWHRG1dkvqCtngTNPfTD5dA1Rkuam92EU+qvYXOVMVpT
tWtkRcNfh4p+KhMji41sT7w3xLZia614IM0bDVBKYo81iThOrDZpBYbpgrpy0RCupbWYtqktR2mf
ROSMhs2kDwctT/G1cJzH9gVif9JYQ5HkScW2q02ls2EfhK7dti3O6Kx2lOmrU9hV8u5ADHyHO0Yx
40ovWjPX7uw80LZWF9vY32GJ2k+Ayvq1nOUMl7jE06NV9BUXCqpKhAemTw6x4RTCb7L0rGll43/Y
bnGtjtcA4ihbxXHCYzml5WYmSsdTKCkfZYJHGvAdaJw4TsnFjK4JAp1uO6s3YFUAHtjEDkd9j+zs
8ChlZxvEL3G1PT2RwZ4CMNKLTMxYYSa12XJ6bl9Kvcre9K4G3OSkrWViT1vrxjKQmUv07ipXah3t
2Aqks4YgpypBeajtjaL/EtHa7bylNExCpxLaACWq9y9hY6gX5Ezm23wyld0gcF/bvN2Jqn210xZt
OhcE0O6iMZXJNbZk281riUw41dX0gqNnDfqCzsNGQuc5DKNqXsVdkOiYpDLjEnHLciw4PSOQUlfj
SvTCZ0xonuTats+w7kTA6ja9YZG7jaglmtLgS9Sgc4AoROAb8B0/rdPi2Gt29QAB4sosbPO8PtnX
9C/UDTulgoge7bQQIInGtOo8KSqTSlmlN1yBSn0HlKdel2YaPhGwtVw0tTFeloRg7tsMUNwcW+Eu
SYZ0F8Qtjfe6ar/qIwzOymqcu9DAzkYHWr+Uqf246Op1IRKsNUpgXRIjaXKIqJV9krTjZ7Mux8hN
iI6/BG6vP6P+p4Tbz0vJtjtTxS3t3Z66byveFVtiu+m4Gtt0SbpD32VvADmRF8VU7DdKP7OAp4Nl
3CHIniJPR4/0Zsg5vDcTI1TpizXma5eDyCmctuU1KuVAuV33OIyS2tHD1xlVq4TMVueeTBICEIdk
2ooilPvJZKMzVgg/UClNybYzQ+Qbdt/FF5oT9feUj1Iv4/rcQ8uADJeUt1KfL50xUjwzDZy9YkcV
ql1R20eJrM4heTWTXyeriG6cTMb7ISiLr0hbnE2mkoLpVrkKl24ujZV0oh0CK7ntckR0aGSmTcrT
facpJDFT4Jl1KoMi8MZueZBqom0AUYRYomzEBEk2MLP3qviCOG5086hXNtOoGclmgt35bMrR2Qit
Wm5LGICeYTfj5zSC7W2KpFzD5NKWFMXpDUnM4A+66JDmjAo1AQTBZRaBTGcj9oQHL79etNi5Hia5
3MyFiVh3VbDrTVPhFRzVO8o4S0qtuEnrbVm2od+WtfqCtLrZGFNf3iYGIDYUUZHAdNorrkGt431a
2KoWQ2E/C0Buymbh0fIXphwv6uYBVQZs601RMvNLBMSuLQfrpGMl8RiRggKOpj+ENc0COZrRsXSa
6qbWomHTsc/kyjrRTJ5q092ZQ1gDHiJuYdOqGPfcSGupiU/kPGoapZOlwVjmGXr9Lc9j4mZpSbnC
1MvTlBBfp4i6uVyKcjxntgJWMXVO9aCbgBDmOAoOwlLSE8mU9UbT6wQ2x6DfJ21WnexKznfqqLWU
va3IuTWcqdsPkkJ8OQUxhVZwc94Qxep1g7jtc05J9nMoi+am6LPgscJoetFPNQmlNCIfNIhfK0Y7
ge08zD4e4JoeQkEQt8G3pd5Khas7AEAZUO7Y/YNhqPS1YijuG4V6LxpPFDtwotSbGq+h8G0ZlEdk
GUbn5ekIgzOZ89SLyZ/zZWkIrmM3PhmTjfx6iKzdPOUU5ZI6WI5arFlvOq+veGUASTHsotGzEtX5
PC9mu1eNhYVeFmqfuW3Yxlt6FhaKrqq6h1PZANQDBp2SVS1j8qnJISW1lzjZyoBL9ffm+H/ZHFP0
UNkt/udDNx69Jvz1nP39d37oNdRPq//FIUJFx7+Gxe0fm2NpfrJIuwFcslrhfuMb/GMzDM+AOAcD
mRl1HvT++l/ZC3Mk/3UvDNCNUz8vxo4YWzqw71/3wo5eFjyuMtsLGT6PaTS5XcsOAu3TU6FYdw0M
Ap63+knm2tOMrXjb2/MWLdixWwmYMMv0gxjz+dCufEya8+aBRku244hcbaiOF143OA0bIQqkZQRl
s5TwNpWVvLlu02+VDxrnyuWkEkq5kBbqNqCh7vehfYvjR96MS0xLhMp5McYjr8azL+hO+62i65t5
hAUKstOrh/x6bnUyYjt4oeToHZqVIGpSftyU9mh72jz293rsYFlbmaPRSh81FO1MydvctV342TLy
mDYzx1AyVKNTt/JLk5Vkqq5MU4TioCRXzimgMtpa2WM/0UdYSahzDRM1B46KkRR9NWTfTbOSU+OV
oZquNFWxclUrTM07s4W12qzU1XHlr44GDEg8NF+7BDarsVJaGdHGKpN+0QcIrkBIj5jt2SfFYFiT
lfO6dEXoc1c5sMCAzYHBdkBhYUheB6sXvVfqaV8JiKOTXWq3zkqT7Qa4suaQbHNnPGPiyW9TMj0u
40w2vZuQ2oAuo884bxA17esACLyaUO2nHh7eORURSuhW6VjnC6rFVTg0d7VQgjuEY+aFkc4LZO7c
JC6+s2oUeVV81ZTZ+BQ4wGCoJjqPU0532S3LHiwlravLaHCw4o8orGsyMc72OEJxyWiFQ6oczH0n
ZPVsxwn8ncQessciLVCVZ3iaVQKHr4zig2ekZeB/Q7VqLkFhyk0FJoCL5+iYeaNVzNPqVYHrKsBf
vJSYlmtlwWtUywIhZpyxDrtaCfCBcgmZ8vjytvpoJ19sHY3EZgroygPfDh4TguLvpAhyf8rj8k5L
S+1KWFN5Yax8G9rlyZeqClDrOJqNXTnmQEPDR5lo7InpZjYHdNUdPX6XdjGhh3HL/RvzZs9OGVel
SbjVpqml8VKrInvEm62+Nr0tDooQfeKF1Pf2xD3xM9Ew3XABFW+Y5ph+A8fue0iYRBh1vCS5IHO/
UYtwvtHR0zyaPZr6vdkOfPl6DudbG7dE7OalCiPO6uFnUcxKPYGv2q9kxgti7IpqEnuxbM/01Omq
5NVzxPjbxRaEcnwZ6IGDKW4hEkT4zyutiK9mvAZfY3yoO43j3zdzgpYX9GV1/fHJErLH5HboNV4+
03X7HC7s5oD4mJYngkiejWkFf6727GzFUBVm0d+3Ces2QAOY7/H6xT8wfBDquwd7yvnBjE3+wRyY
RDaEkM2+6qBTSEYj+fLxpGHe492W0Bl6V5t18+LDqs4mt7weKweKE+gp2CHgIx+BUemcaFdKc5cb
9rmhjXko02C61SBWoVnGlKaHvW3sq4Gb2uOBP6Jv567pwVhtszHvvnZ2RAtJLa1rKuXzRR1o+m2g
JvJ2rJXcj3giU3dxzOCLo2MYHE0M5/j5gJAog+QdbfJ2t1kYKXflUg+7xYLpVbPn2pEhTB1hvVv5
iFE9DudWcloNis7TukF6JVVPhNmGeanVa7cI4T87Myvk5fsRbL+dTTz1C/+AcP1MiX729LqMvTZZ
rtoiuhrq+YY+1v1QQ1wZzPILJQswB9bsOfKkdz3UwvAmGlSclF20z5Pm3RydC0fAW+vgfRW6fTu1
AuFOtOus5TFsWmtjqpO8RCfERBeY1PsUuuUzee56Ud52rGO9qwtS49Ydzi1sp4dWS7Qr6/+xd17L
rSNn174iTCGHU4KZFEVReZ+gtKW9kUMDaKSr/5+W7d+eqfpc9rlrDlw1YyWS6H7DWs8aOMNzw4/X
rtdYIVIfO0zL+ZJOwXqcsnVHIWVVXnQ1em26NyaTJq6OYVGPvpuAg8mxIASDvaH9BRnZiHY/DCjs
ez8XyVprja8qnsJBmL8EieInQad2yhjYbiqzNA6EiH22Rr+vfOeBaxL8yCAtqFtx9K7F5lun+Z+z
JEhvqbpyWwzst8uZQl4rrXlNUwgkz2zNgTGkWz9Ky7apN7PlqxwcYFQJTQCpCtumnx6rTDZH1Czo
IfuE9O+FNzh1je0kCFzPxjknsdJ4dmeQZCC5Dvk0lwcd2/kelVu+1qGXMIAlgF4PJLA9tv5aXb8L
ncnBVNU6EkHdOzJagRk3Ez/uDNG7bpTE+7KTlsb825qbW5P63q/UxO5qj0L/4bkaEp88f+qJa/qY
Z80iQn7oGHUJP9QlUeARGF/lTbfFaiBsGsXZQDxvtliguXydVR9K7SB6FGX3lcx9tNErf74AlBmJ
qIyHFOYDNfO8qpZWbligIrM03EvBmf/Ax4pBhhsZV2uZbSbksmKgL7VsnyNbWjPaGfC/mM0v9Dz5
Bl/IYS7hyVhN8yFxBa+F3wVrMCZveoTlRK+57QNIaYgU5CfBk+8isXb6LKLn0WhIDrTygXYMIiUT
CO2utZ3niGw3xEtYN7K0it/8jHuY/njdk/twxvYUbygS/C/bc4abB0HuOccuSQ2BfRrphzsfxx6y
x2owyc0lpyN7zjwJErCzy18dxtZfPXJ0MDAlQeJxF63rQQO46NrjNu/42ri0NqjY9YtHLPuDZQPb
ZodLZWXR8yMv8C/N0Iw/KlqpH6NpWBe3JwnTocJatW66rAueIk7yPoWNm1SOYKFb+sGKpjo+oyPM
mcKYkUFj0y0Y5QIht34sSp1HIn7p3Um7d43WhwMADpY3sYaq08YamcKZPHtOa/OJqZD818JpVMbw
yDVIg3mpsfgdbVIM0CE5JS40Eb0EZCXdxpzt8WbpBALGPqi0Sx/7zoFKId8Zei026VREIa7b2t4k
7fS7wuZzb5Rx/zy26bhvEk+8uqIHOs9ZuAZ6B0/IG1GX2E0aojM45CVVGIxc7ajXHGANbeC+JoUn
ZF2cQbKeo22Nl5lfqyDkwS5+eh0rhK6Nxvvc1fS7NmL7XVh1uxMmZnI55lFIzXA3kTlAgNSO9SSU
P395z9q2btZk0rOvH0WL1Tk3VmmCPBFBCpSENrd3C9JicCho/tFSrEyJE9mhJb0uOTVePtQdN9fg
388jWQaC6czex8v8bqE6w1zY/RoVEkK4c78NGjdmEBU1K/pfwExtmq6BKvCIExm4Gnz9xg1a31ce
c+ImkPOq00fnxWqm3TRO8bqzlsfZtbzLlJp45XyfxrUydi4AvbAw2k091PEvMSHA7rnyBlEXmyHN
WOPo03REWNGFMuuiAx6vcxqLmx05qLIiP0PP406nKCM9CnCzliDhBFp7C3JOV+PkSdxEKsU0KYxm
l5djFj9YbiawOUvF4eEPtqHywEUD0RPHCteT/43d432DfKZvqI9DqZKH2TfsZ1bcn+kbAcQyXvGA
uLeBA5W0taisv6FBaAvRwjANUzghbsNXSIEPmg5pqPxmDqEseIwUh8hQRCLAXTWcAMe+A5v4JhYr
ZeLh3tKg1sJMMY0SRTcqAie7F4p41Cn2UaYoSAx/+7tRkZFSEEkt0qnN6EBN8pnPrwEr2Mjw6H4A
E3ZXMJbmGZykuMWKvWQqChMKkR8E+UZMc2X2MSpWU/qNbaqi6FhqkJziTNfDnOzscBjSKURXmnBV
KlVqb6c7EtWfAsWFcgBELRaFNsSzL8/Ehm+jd7y4hhqQ2YSHmxg5e0hT8zd0KvsGUMVMYn7qNshQ
L3ey86hIVabf2XtL0avwSj7qgwx07KwDk6B86PMD8jMMJMtiz2ebbIGHRhGxilYv7rqk/KQBjctN
bSJ4ZCG3OKe5gk+WAtYSirDVa6L88r6xW2PU91tZpcO2VVQuyheX3YPFwDlipk4NdLMUxQvDnRKn
mbC92A8J9PTwviZF/nIlDDDR4C1bvsFgYu6L+xyBt4OgBHIYKjIgYpHiiSn1W849qFyytIY1dUAR
+F/sZDk4htgxbpCU/VdctGj1FbFs+YaXDd8gM/cbaib1sXqqVFiBo2ILIhVgAJ5l2vjGckhVuEGj
Yg6QsOaXlB3pO9J+DFffeQhOlaDszLKxBo1Q8xGKKUqy7+yESsUosL1SkQpAFr4TFqieewIXpr/F
L1gdip5WdMPvRMUzeCqooUVjtZ/IbshViEOn4hwGch3yFoVUE7f+zS314QpEsrlZGUEQuYqEWJj2
rZyYmIhWBUagXYlQb6fPNH7R2guSeqtlBEwU31kT/5v6/CdTHxw3SpDwf099lFOnlu1fbTrqi/4x
9mG7GThMfUhQR5H0/2c+gfMHlYMJ59HjX/5jFar/4RqsSolS/4auqO/zd5M+GCMmUIyI+D8AzkOv
8d+Mfwgb/vP4B5MySj0kQ/T7xBA6fw3Qa0kVEMSCJseFAl5w6MTuAPiVjIgZnJk9vOtx6V00x6lv
aTNXl2VEYC38UjdCzt9sQ9urg0/Jl3nTmlN+nyAnzVeuBqkl8Nodc3Hr2GNUXYFIbsTa8Sc8JjW0
7GQV5aO3nRMnOQ3FWJ/1mB56VZvFuWEbcCUL3N+VPNi7iFXZzs7R7JJHpkVrdjfubkmT9pDjpbmT
PDcEOHY0l5YkcmlVgvo4zYXpvqbSrEmhKE1Ell4EfzeRdIuayai4qqNbDbKMQChtnA5S/5nnCyGZ
eeHfLbkVIYedfPy49hiTOeFOWzpD936MJtJ/WAEWegjmnwjcObL3eWtqnyNaxt9ewxjfyiofyHLZ
/oon+Gs41xtWm0kjdyDZ2huV4njMcnZIqxkhXBlamfkr0ynFMicjFqBoLIHQNXYvpFcRwtMs2iem
gpbdKTCCi7aI6jCn4m3Aa3LDvOru8sQfnhOizR/JMkE9UmhL+9OOvPit1dBjhdKxIWO7tL70MsGy
kn51KPTcY9ylp4ijnSD3QtM02g8xT6MMTXt8Rdhm8kpXxc8i7ft9sKT91kB0/rkwfD6nenuvLbFz
zNu+ObbRspyaqBhCAp26rTf55FxRrc7oWWZ20bypcf4GvB2lCq+S5LsRxoRzyCpOs+FFYVuXLn/o
FACkMyJ5NpTPOXP0ZDeJqHiqKzt5zftURb1VDRXSPHF+l+jpjbUWOeApE6ibtC98AA+iteWdJMmI
KqfGvb2ajSHaJgvzjyImJCUc6YDRalroV51gGn/DSJEoLCHM0JwX3cL+L6muqYs33xazd2YAQ4DX
MtPAtn551/RadjY1y0A2X44cxRg3WAIi+o1fKERM0ILMen6KabQbjC6Ou/MK1it1o5f7pVlibz1w
tzIGrYzLUjrBQ4wQIRx9bUP8DL7WmUa+ZZ1ZYKWtSOEh2RSs3phpGiGBnZx3dpVM5AD2brfNgr56
DuosetNKNyYaR7Al2bB/Nr7EqHcSPM4ob8My1tFmmHPjvcedVoVxJeSDISvxgykt6J1mND7y1mqh
zsz9fOugmfp728rHbtX6CHBTc+5WQWlhvYioKBkyRIb1Yg16cmLrYf+ULn7pFeYvNXpocdcQxulD
O9K9u9wBOIORKQ+eyCCiCpszLyoBS9NPr1HP11s/qcoPclaDZ3x2PzV9VESo1rozpDv/cpp2ZpTH
8rvaAHuo3gBvdgg22qynvSqq9p31dYsQwcuaA2PsXgkquDx77ILnxJz6ddO3D9i9AtbsKc9zq9My
zUxENn7RLGFpYjtbBiz/Ex2H8v3Tro49YTGEDx0dHcjPYiVIomCnZrtaSo61luy/UAsanSQKO70x
MHQoF/R8WqOQiuwNa0DYannCss3mRB1MvWGuUinwtYcJ6RDPliDwm4ErRgGrv7Usa9TEt8xeoY4K
6GxGb42caJE8RPFU+TBdx+YHnrim3dvkZuyFHuDWxsPTkWDSap+144HjZqAyIPef+RjEQRyggDMD
wtNseP+an4gf7jiPv0SRjO+zXRl3Fnr1ctOPHfoqywHDC2/UEsiHgyhfA1HAu56MzMlNDX+8oTeP
cd6Rh5UH46kFyx2WRS7W1FRHu5l74isrDHa0SyiB4V5lOccmEZdiN+nlE94EuetahM4pBlLa+zZt
mRnnM/klPctEoU/L12IhGgO14Ip1bUmcbTXkKnRe7P8n3SgGebJpIJiA2QwZ0teFFUK1ZwZW5fqb
P+cYE1ZJaxl9/yYljcV9NOHIMoPMvTeyMdouRtFSThX6DbJ0fOVYnFA/58sB5fKLY1fVTUDLuUEV
iEyEFaR9jCQ6vVnAwyTJZ9V4TOY4f/Er1+SQGnmsWPZXV11O5RXlJF6UuHSUHdC+BHFJJzgAqsgc
gixXBldeOJUzo2AzkFvhewLpP0XgJQt0fl0317ZGxwRv1RVaw6OOX3dlMFM7C4Nff2H9iC4PPQOJ
Jn30aPute8hI23mKpeazbx2i5JcFke+efBVZqtq8PuN+ii5B3TSPTFC8Q8wf/olqYDmMc+vQcTAX
mCAI/sCLgJ6SEKJlHxusETJ7RkRh9HIj+khu8t7hPJKpsZzYIXtqa8KwZsyuAgjgyhGmdR/VRWdz
yObRbVwgnpFSdNdONfFZ1WJ7PGuyvsaLl+7U6/nU1pNxDrIFI6BNyF4mWu0+z+mx6BlG54EdUvIV
0Q/t00ljRN+KqeHn6P18nLGQPZA6MO6COQgOgyG7lzaqyyt2xmHP8wTQDRQIiKvGC0reIsZQq2We
SSLOyDAJJSFaD2QisuTpMisAMe0ZRF2k+j4ThX0v4a7ewfyaDh0XI/le5nipAv9TJyDt0+gss145
nSPeUlkkP/Qxyg9drTW7yiJDE7MCRw0fv4RL2i4sJ8S8723TIcuvUVCPPxpIKuTKGO67Waf+vTlX
PHkKMrEag8JUK4HRWTZta5r1YzUHb4QC0EcMCWyhk+gEiabM10xaHBwA7ymyqUcHPqy4ulDluj2c
JwHswXVzJ0SQKfSziciIeyyAW0L0Ws/YE2RHwCsPVW9+bEW8ngLLn7dwxzwoSYg3k6rCBZnFaj1k
1tmJTD14C7LXkjensZz0w3R5xEOkFbqzaUFqxwDc3Eks7p0BX3bod3Wcp7o88pE12/zoDWQfdR/s
tN+pfafXPNeqz2yYzJeAVKcnA0jTUYj0SVTevCktUR6g7TWhJwdSE+rp5hbLOwfgbztFu9O77x5N
4k+r7qggbCb1q86R717A0BDeRcFCHb6bXWpn3hxz5bcw06q8F7+txUHA0Tcix1MoLB8xn0yLPYuF
/sFyYA6FjPUTsWraII6ffFe2m3Ixl4cE1RNxmzUTe231vxbqP2mhDDvwYfL/3y3UoR7/JCn9+xf8
vX0KYBU4oAW+fRz/0j25EA5M1yAMisgK1Vr9s4ey/lA7bSYzQGRdvo61/d97KEBnrNcDBtWITG2Y
mP+VNN22/rJCR+UOAhaCpoWw1QR6htz1X+Wkc9n3Q+WlZD+JcjppGffkCE7nhgst/yqrgVOXMw1e
YOHEMSrOKL9YVtm+ZxDPGm7+TrsasceQI2nm4WpbffSSLwQmnkQ6TZ9Jn2bxAXAjaR1RJS0tJFiF
8SHoxk00Fd7LDLHyQbK8pVwDNUQIG7aar2GYnfMgpP+SMOxsCYChemVYaJgzqh/02RQZ+CLt9DA4
Q7HJEktImAMB2htAP+4XG63iV6VzdxBUw001DYQLCfsGBERi8hua6HdvoVyKteEuLyQLDyyFGQ+t
JT5AJA6vE3PnkMox+c02s2EwGDusZdvJuxLEE5Traba6a+bEE8dua4yrgDXVb6/UtIe6yhh7eUMZ
XwbNhDRpN5Rpcecb6WqsLftsJlmehToq02BFw5J8LFScOP6jbsP6I3mH7sXex/JLf9ep3GmKV7d4
nA2SBKUjD06Nc3yfjkW8Y+TsY2Oyh51eTw3OqLJ0H8skJqqLeOfCQ+JKGbmqDVOSfpdXRryu7Dr4
mg19alQh6dEIquLEDfAvmVEujjLKofx0BnF5Zl0zXRZTcGqpflfogPDY60HjXwgfIzWWzDXKc68U
+3hOsLFrevcz0SK/D4O0LOrQRu/6KHCSHtFsIwki7eahDgo2UVpTFfe0TlAK/HjJ7lN3ptONHW94
KySLF8SevX9iXOax81yUJjCKveAIYxhBbswNDrCtau8r6OREQgFHQ4ZLe24j/IOBhbHk2GclCEg3
meKr3ze/SaOc5V7vF5ECOrLq3whWCxslxlLQQttL/1m1qLX2EZpQHLtTdhisSmyWYM4IdqxczL1G
4F/dsR3WdVM520CzKAIzC/8asROYEqbUGO8X3MPZi9DptocHgnuwzm6MRev7HX7v9DZCo7qWJkCR
4ot318R0RmZnyms70RZpHSD/FqLFRXfR2l5ipMPr0qhNepN+eB+d0T34s9K1+fyMqBPrrFge7W6i
xa+wnoQ9irVqH1WG2rHRplQ8oeGAyv049wRvEj9U8ngTz67YIA1ivpVXGQg+A/Rfnd4oqLkRbbMk
V1AtYHGsMZn5xVaJZ9agggqMu1pnyDHV9o0p6L5AuHpeGjsKZ72Fq6RX855LldddEhNWrgab0Ubl
M1hZ2ZXQGcPUs7vuOgnStI2CLfaN/miCtNik2ewdrCkYz5KYufUoypycDCmx+ZWLOLkUEUd03OUN
I40Nrqt2nR2u3v6mBd3DkvBg5nX2m3nrs6FxDBR+/gUO1F5nLumENRE+T5o0i0sxTl7YVdzC6eQY
j6DaOLX8sqKV6WzsH27GYBtiE2vN2A8Hk+XcIPMr8t6XwG6LMF54sLEO77M+vgGcSNhyG1kYsT4K
s1QfSHFgf7NvF7fEFuuqV7sen9iKJGt9mIODV9vLxizcYeebmXlzGzo3jicQa1QFB8+xS7I+IR2s
MN7KO+Ya+kZM2XTGcL+8WoVtv3mlk60TZPkgk5Lk6Mnee/I8wAbN6BYTh1THmaJmT5hwnEj71Elw
Yr6Qx8u9jtZ4xcowuy4DZ2MeN/6+Xmx7L1E2n0dDC6ZN3MXTNjIXTC2VXjJrID8pTnNxKbHu78Ab
+yemRR+6GyAeihmaTxGxf5AI+k3ZqYW7xYvyMBZJvokW4Ich0HtebdPKeFB9MCCfKYHXvObWwDIp
nQitTpBLnVP2EvcZXK+vQQdDOVT5soPYq290v6nwsnty23Z++SbIB78mfUxLGvP2v2W4n01HahcH
l8G9Mch0PRex/mQGZvG7m+3+3TNi+9ED6vMAYzDGWCj0bYGi8G5YeuiQug3dpMBBvEGpVnDoJql8
TG2rPvpJZ31YHR9pyxLIk7El3vlG0zHwdoz7rnPIfFZ9SFeO82NslMqbpBkpcZJBfwZ2MZwBHSBI
TxwQLVmXr2vb58gs4ntq32yforq5arn0fFZvvoeqy4rXbNhNIib6ZDnqRZNsyzwrL6lZRM9JtSCU
JtCu+zFjM0CXoQ3p2Rzybs/CVLAJMaafZS9zGv5mebIQ9YdNlHktI9G0j1eUp88iHs3zkkTjmYkK
q67C1TM+byK5Oa40Hs14MNFhkTvCBrAnq4PK+7VB2s2m252uSVcrmJo67bnRp48ELMuTlSgapHQh
A4+jlYfQVBdUT7I/Enb10H93svHf2lpduAFN7uzC+NPf5u/+t4aYnb7ajqmkIX3tSm6iXLXMy3f3
XKlGWqqWWume0fqoRttXLXekmm/2jhzByXdP3qr2PE5muRvp2MdpEjtaTJLOVTvPW1msQaYUD5Zq
9lHDH2WsNWuhBgH/q4//s/oYFu+/rY+rr/QvriuqYfU1/9gw2H+omhaQP94r3M7/rJJ9/w/WhwFG
PHjAUNf/BQdGYIKHr4p21HMM6HLKCvWPTYPHZgJDFl+Gv/M7ZuEvhs1/Z+C0bar9PxmHCXqC+q6k
phYOL3Cnf66SpYkxfEkmTYVyTqAPiuLDyYiCJgNSNzlikYkQ+t3NS9hJbRiBkgD9dJO2vFvcyJ5C
AwsoUNF0+PKkgWIeHdWPQM+gYsdBTnwmX0VRWUc9m+Gl+lE6kUWAnGHeozTAuJOB47ljCuQvIB9L
lpvAxV3Ubf4jfpvi1k5yuNeHj7JuW8QTSf7SI1R5r/N00MJlKKoF8EEzfUDtLqcVSXXzwvI+RrA5
YdGZVlYPdGxDAExOBZdTzlhtCWhsJoGYNeoMrgm5ObqaIpB3SoAKAwABi712Wgxqm6L2PStsYVMA
/vAzaycCldg8JVFythBB+huGjikzswqDTMhpW382XdO8172+XFiA6Iw3io6oo2789Muherf7FPIA
EPn5lI65eJibLP4wEw5Hxt01ZhqJMg+2qCtNnQ2lP14WQk+vjkVdirhqEsT7laO3I/4lv/gWSVLM
NWCU8fTPXX1gnkFkrcBfChuFkGAbYJSZelfkaFAnMqv85B43oI2XlHyO0RxIAO0foSB1mJa7bmOP
s7WPlsbAo65htHF65uJEqckTQAIOnKUzxHFYuAZXekxmL3ex8M74d0xOLW0my6Vs5KO083aVSYNQ
d5kPxlvq5dFbrzXToRkdUm8BcZ3HhXldX7F/r5EbheMULeclNuRroWghoUPU8XmMWnFKfH/4HeAD
y+CI9lq+7go7gcpQFZtGBFWGyzgQTLkNb7grtAnbWeBCRRBKcxvjWnF2QD1Ri5lklf/IMuI9VUgj
rJlcWDFpBEFl7HEbp7ekya1XMy5TAFIOP83SvfYR1362lSKxT4aZDToS1jrZa1bPznxGl2L2g9iP
bDJuMbgFICnZ9K5VcUtBXwa/xnb02q2rlzFzQ2v0ySMTIrgx+yRDAWlzrTE3t9xrYqdVjryEgoF6
bck/7aa2AoWAzjcYxsp14PSAQkqjeuJ9zJ+xVyRXb8q6u86YqZVacwg2Rj2KMxRte625c1yCcMjq
J4w5ukplh8SrCf67Ucc2Rg5b1pukLptLVnl12sGW4yl/myojIzqviLFZ8/JMpq+jjxtSnf+p6bB6
XHbBMGfurauDSS/Ola5PVb8yESED9xphSUQDkb+3eRys+cgCMduL0b0aWN/Wje0tIXi0GMM0Vqqp
4OnZdODD30kemuHYRywePPZDYOIakyFl2TmPkq5QmbIMLlHyA5iGpfrFbsrp3DvoDG1Celdd3aEQ
BCeMxXzIN7CP+CjyvNyibkIgmyI8fJ6i0SJ4TfZ6dvVSJILB2m4WqT/aS4fqt1h5buVA7se9Ncr2
xWYY/6DlPki/qaUbZwNzHKAZ3TG3bSnfFGtnKhjkyXJ+oHIzDzLDYAOxJqaP6YqHkaXNrRgpuu08
ozYiYWYDNbpc4+NfEUScAjpMLoCzVxJe7Urv0/OQHYlG5TtZmthJLxKbIIXvFiWYUTLtmOGhwzSi
r8hmhKpMfnk4ITF9SWzLPkRdW4cGL8sWsnx3n+r2eyCbeI2EPtgQ9Kvd0ZFH+1id1rPUXyt4QPSd
yJzy+avthlO/8BpGvX7KgPnMoUF9TiJd8jxZjA/I+HzxPdqY0m8+UZ0Vmyk1b/rcBuhdipfYau/d
McuuvajekCxNK3M+QWDVt6VePw4pCLly8npQQnO5Irt8WJtVQWMoJ8p0L0E+Q/MNHmvoBGm4iXsn
UqM7toTr9VkUb+fAH3amNdhro4OghUXew+dH2sYRMpyd8uc1y3sydd0dO0N7SxEGfVjaJ5d3m9V1
y9JAk9WNHXq90wi02tmo/MJ+rpcLu5Us4vPD5oMgn+ZBzHNws5aWJI847YuHXJvGe+YHX16d6Eeo
NcZpKQOx0TrY22FDCKw6ZgW5jz4fvycPkckaEChxgeS6bZa0KzHGx/MF0hXoycFon5ccV73m2B0K
wPSBqDfBI5ED/hmG7lK2Oeb8sigfhyKKHqgdcSurkDIHWh97iYEAM2gGuWklH8UUfSSdLh7Mxhuv
5hRMp7TtcBVCMXwkC1ZNkWAVemWFloePDgiEV6djokoEGZuJbGKr5PKbmrn3OU5Dd6OFYaUmJ2bP
8xIQJ+sVv90uUrqCTScXCbnKJkyllZ194YzRzhl2WXMlklLcsAAUa0FC7smiQQMuZDa7YOqST7so
eLaCuoOhnssbH8KC3YdeMF2KMFJWgNRSd+nWKCquHuv3dW9m7aFcLOtaILFYY31s7p3R+OEMLdso
Q8sfS1VqO71HonZts9wZwcPzyUiIZ6YucEPD9qotjQSbXZgRO6Np0xNJS8HR6cYZRXE6HdyeK3LK
F/eggSc21v+rk/+zOtkzmK/+mzny10fyp1gx3gr1FX+vkpHVqFwx/jGISfpGCfyTTeD9YVrMeey/
ynH+DZnAAIBC3BglNytlIjf+q4Akhs9/LpJ19R1wpuIhtwzbsP5KXcYvL6RDHN+FAGTtALdtEidW
JKgRNd+YHY9PlFkCJzhOwFyKxyVtnOCnYXq/EmDtj7aXs3wyausJjAlLF09LT4w/2U0Vpg+Xljkc
cw2kEUG9hmU5M/4pzJgHNR5H8QwKiZVpNaSFVZ7ygPwx7rQsu3hAFXEviMLfpl1SHcpotkIvk9Do
QMKuq7Lg0DQYJCSpAcU/C+RDTvgOpRl7snNhNc25k2a/m91BHNlJj188oD/sskdkHXT6O+Ifb6c3
afOjLXM9RGbsHlyr+7DaTDHGCJkmWshsk9MyJ9Neb2p7S4OhXapMi6a15w3bBFIRC+yWLKWhDQGM
GeWwdSjV0WyQEXCvJYn5OkAnsBWmwEgZ3XZpot/mTpkTpKjWQ6+/EigYPE8IFu4nBTpoIB5Mk+9u
BgXLtIbywc40seeoNC/EjLYHiS+IITTJbKXiJ1AppHeBVnwEPZM3Xutm4zRufmIUR9ZsrQ0/2SxG
hzlyrC2D5OIX3Kx2syg2AwRnX4Q+1+s+MNNfUvEbgjGd3hzDH8ncYAGAdBPrpygL/4dpSqYtXkZ/
4NevZVq+Co0fXYlmAcAyDu/wC50NGux6Y+epFzoN5/PKG2G9gQ8bHOryNCgfvWWy3VWkJ81BfSKf
xdC5W9+IyExEm5DvMRWJdJV4Xs9vP3jr6htVoQ+WO6+bgrE7WaYQge3cyK/z3C330ZgwDFewi8Qy
NeQ4+uTwU6x6gwjN3tlZ0c6MeKz0cXS74uwoQkaCjvmOYVO2dZmrXMdWtNuq66bP3rcLqm3d6kOZ
a81vLOfIl+LRNnall41n1NIptvKqO/ffRI7JHeOvxFSYjqZx9omBS241y8Y7GQ2ayFXae/oFz52+
cqnxuWEqU6+gzgzBKvY7+UIwEnWlsGZzm1u5QLYJWW9txsmwHRQYJP9mhAAGDU5DCb2UraJy1SKu
brcBTttU8Et5AqRrt8zdc4xElfkto9DfNTa6DcDRAF48bt3W0b5cxHYr4rEygP4Rm1SLFF/W7kuM
GKyxmq2nHL94wyjWWw9lFf7DkiRBvEKO/nOAx781lVE4V5bhZVLuYVcZiVUO1ApHy/gWKJuxlkfe
WseMvJUEHcRhpbzI9bct2VcOZWCOiG1KlUyKSmu5Mj6tNwu9Tui6U7XuJwscCRv3W4F8cOcXo3xx
EqfGnl8lM3xKKEteEHPvNRb6J7Bx2P4D/iSXQZ2+MgtK7NIbxWppMVWD0cvQHUTzJlWW60GZr4dR
GNsETeI6IUNm1fZ2dJcok7bLxAqAZ/tEUrF7Cyy5bytruR8R74aMvI6O5LHG5GnCXY1KdPajW1+z
0tQ2xrcl3FfucNDCzR1DVfPJVN7xVMdFrrn4aCT9EvWz8pdX6COJLBOIoFDvW1Oj3yEBx82CIT22
sabPyqTO4alfOsQ/IY67hJYBH/ugs1uIrVE/LML4MkbHvTQ2yjxTed7LTrorykuG2FUDjYA3edcq
h3yUNk+a18zUaabVP+J3mH+VesN6XvPm/ZyhbYd3jUShVVZ7zAAJEdFOvvOoYtdpxEGum0t/ShM5
PZMrbG9FU8Wh6w/uHS0SKjNl5w+UsT8ie/LdqvVkPyvLvzYVAb7TftawLjnuO5fgsgfspf0yMsQD
k0IHzK4tf2eRVl9scoNunXCNsLHZGSrYQLyUMaVRUZBdNjB+HzryZ5tIJO/mEvdn6km6tVoek8Ct
WE5ALjAVw2BRNINRcQ10RTjoUHaKVS+jZWPHLj2OjakDsbi/7nIfoYmX2L9iZbIawSawzB/ouDws
d0hFqV5dRzsnGpakunHGV+SCMBcUfcFVHIbeqt136Sc8G6yy1ovjFwcjzac7dlwaBxb8htFJ7R+5
YjogwUkvRkQC8KLXxsdI54zlcXlGyR+FpmJCOIPLAkZHXgio2ZjWjb6QohQUtwWcBGJeeLqMZd1N
rivcRGU6wdpLh4cRDsurNjllyLKF3l0BKjIopdVKY3r8oseuOAaKYhGj7fA5QWFbcG5qtOn6ufM0
67Ys8srQtV+JQi9OUoExHD57Txnk2mOE94dHQiE4DPJn4OodAl+75Rg5sa20NewuC52rrZgb6eTK
bez3xaZjDBzqfnTOcHLsardDWIZLEXeWzqqoKe0DD1SylYrtEfdQj028GpvJj8r/x955NFeOXNv6
r9x44wsFXCITL+JNjjf0ZDlOECSrGt57/Pr35anuqyq2brV6roE6pFDz4BggM/fea33rKhQNy/cY
jC+wFKq9wdn3vAytfLNklr1CCmdy0Db3rZOLx0W5H8yZoiP1SR2mnS2PTWcse9VL5ESMJj+0EDRO
wstfEg0giRIZ7uqU6L0BT8ihXzKmvJMRtqcYSwUe69B9aEOYtAts/w1tLTGskuTeCiv7izEW4xWC
NcDPuCyHT1Yck4iu2Sh5FYNZjsWu1MwUUskwArkfURO5K1Pl4CYLB2wr4SFPvgqrfd8pEKWKvgeY
Tmdn1sE3hV+XuUsU7bGaYX+g+X1oy2y5ilADn4HAh2hvqa1lO5QbwLOMTT2x/AZA9inKGWTZaSIf
IUyIXWel3Zr3xzw2ca4HVlVEntZz0CIbJeYluk2q8iobjfl68hhSBZb7IdPcmVoTaMitHPaxptLE
mk/TQFfau0TbP2MYYBru99TctEyPckz6Xea1zyNiZJzBMG5CpmypNnAwl38xeoGBmNhLEB9wcXy6
IDINs/PUnWWJugIadD7cuFkZriMF7SIyZfYhMbzikUNVei5qxVYvNIKHTiKjhVKDeQg7qG4yWFK5
BvYoje4ZmfJtigmcD8yfHO6vHV7JpGDZYfBIU0DDfwY4QxDW6dBFboYDUkEwmZNEYIQfn1soeOtS
NqLa47RZbisM2etUNNapXJpiB21leukvzKFW44eCVJOI0iykK+fNNa3UcpneCgKqnj1ipUyOuS95
6Acb3shveZ/XuwTLULmeC6M5zq2pEEulJB1RiJNTVKc5tG83La6rycYanZKiMw55Ha0JB0eS1tgb
jOcjW5qHyEv4Jk7qNLnl3Ivoz8x26LCXnRlU7KBjYJ1IiiDNx+W0SV/RPASOYf6mpBKrToOb+g6H
McG7SMljlJscPZptC+QJYDdJYWBUcGEFrXbh28kRXXz/XFpteLAniNHywojCEZzibu9bQL9Gu6m/
g6Q0U6qOTJ1a1kuxihfzXlZsSCtMwcmNNXbW21TJDEkh+g9zsDOM2Km9C4olK6xHNQV9EmyCQUXl
GwGroIBWjHb9/ElOUZq6J4jUcXruJjTBTyMIGZRa3dfJIAvYLzgpr5LGsxZa3xk9UpIMErERfpzK
zQycdmPAZ2IaTO/7W+VV0VcyKcD4+a2AsOuUz0aISHO2B1rFcwAN3RrUtDFbFZ/6QdXXdcW/XbZe
+QXdKrD6udlxReM6hRW86XFr7WMJt34VVlPxtQlMBu3xpI7khi08wUw8bmTvPS3Eoa1qDOhf3Qww
7Qq6PoQd4Y9bsfjNQ6ODvRIvbzB6V/m9SWjDxsNljh8yGvuDm3XQCaN23nDqg4jmcoSxxxaYMRPe
A6Eh7haFj302i9Y9NWbDEUCArMebDRMa5rsDLZrrmWlVfpjiwf1EeBxtrDau8Iq2lkGbg2QNpH5j
8jBClF3HWTejWghuQ0JEwhWh59PjNPrhZkiYyq07krquCf6w10lHul/jZBNaaQKAe5pulbpV7MLw
KLAZH5GjQKBoK4KgpzxJnkKVdV86jp7UTO1wMxdL+MiIvN0p/WWTOJvsETNrhbydRzdGMIyI+Itp
2Hp9ZR7npK0fgyA3uw2gymTf43E/pm1TPHQhkuOwtuqPaCGtz1al6s9FiTA+l+aVS+YbksyCeDHH
ripktT7S/X4wzwg2q8eB7hphBUFVyGuirN37Iqpf5AL8bFUtE2xMIzKXtRpNtv14CXFumFng3abZ
nH1KTBzlCp0vugCfHK25t2zgYUP3AS8VM3HDImnKdsNzSzYE8qew2CUNPi76rgWyWg+ZK1rThrNO
Hdf2hm7o+Lpw6iNZzyC7DNXqfFcjF4bj6WfxQxP6nMTqBVP/ABxv2yrD2tpy8Y9ALWKIgEtyJaIh
PuaOL28yAV1QQlPeeKbxmqly+UCylu5MIbFi4j+zaJginT+lLBVoVYbRXAMWW24NuoebDM7uvrOH
7IExEylTC/dVsyCsYBAfngI7xRXLyZd8XZT6RRJY64SyDBd+oQ+ylmiuaFJn6BZMoVcw2tdzPaIK
auMkrz+XHT3GWwj8rUPEmUcxBuSJ0ztm1kit+8jDeboSrrd8NbBNj3fWRXNJT58XHIz5U1dM1fS0
jAYMBsLLKXi7u95sHQm0tJe2BBvvNNN45itpFCEyIcjTtdNaJZbp/87doY1cnP03SzjtA0PWT1mW
Tx9/aP/8CwL0hcv6A7fVVCbpo0IJXJom3R2tEfxRnldhxUjg3o83ZFcJRPrIUyxGjQAljgb02CB8
tnNnPyQ2aRxiZ7jNTkTWVklArv0Caot80sHYMxjapHW8//WbYyj741D0+3vzbJPZq/R0ENPP7y23
hrowA7TGdPxvZMVZMTjEw83fvwhwH1fizPdN+f4LIOJ3ougdRpQQxEDzHw+yPxOZ3eUy/+Ew/wWH
2WJs/ksQ85k4sP4tnX8M8fr9j/6Y3dNGlD7QZV+rUfV8/ndeqvL/IVC9ks8lfY4Hlv7tfjcJEttu
0am0TBOYKhuZJjv9Mbr3/oHc1nd8Zvq4CPVf/Y3RvaVvwh8eINKCTRS2SqBz9RmY2+/Yy+CYo0Yt
xF4P4DwJPnIseT9a4bJzRjLI41r6p8F8TbSPrrpY6vDE+ljYh+7QSPJEHDaEPcMn/M9/cWPb76S3
vDU+HB0CEzuaa5nvRQXkicwiJez4KEEclbc+E6VbtWApZhQRiBTWKvgUrAbuNiatoQsZdxoVGR45
yrzgqyoK676FsVU322qWufwE1DC8maN6xGcStdaXHGCo12wJ1IWnid9ZbTKRUFMwNSSZlIN/Z6gD
UIFl45pp0UUbKxtdrEAlrdjmA2au8FBORp6Ma19k9YMK2mzeIPlhWsXc2wdm2FtaH5BsJwJBa0W9
11NvKedusbwebxd5MzTFyFfCKJChlRiT+jWfcxPXvoP/eSC5N1njykDzqThNWLshAPx6ohrOUhwI
ZBkwIXfYTEm+Rc8z7oom+AjfyNg38dKc6jCx9n3vtG8xQR23fi6mjZe0Z3YQ0my8lvypeGLVByYg
277jWBpBpzVIa4zlgkggY8h8U7vOfFWEEeEUVJjMrq3ywXD9L6aTkEMb0xfYLGkWfYa5W8kVGNqR
vJLSuF96XDhrGc3tdoyH6SqUy6PZh9ltM/cx7TCMbPg4iAjbqdRwqTY5ovtVRBSQoH2B5MGMvQdT
pdXDQFW3zgNFTNKwSNoGDrkX1+jnWudDEhJsMVlGfLss9RZFpb2r/Wx8mpkqr4rIIWfLq8SenafY
VZJ8prXVeP26ZXqwXbDSESYSVFs2d2PlLCZ1MR3oI4LXcY2LwbvnW6/PtNKaXQJl6RRajn/yLU+d
IotIjE1QmNnnqrPap1KisKxHC1972hvoett4uXEKe7rCSSe/hjLydi7ZJlvEGTSAbLCp2TwA8o3L
jj5tNLi7pR454lVpFb2k3PYrx26mdcedtlracHwwJWs8e8xwFmPbb3Gn+cyuYeJShRccVWlbLUXn
PESgMJGfLPYqbOKIWxpYSbAb0cLNWIFc77PgRXTLyFgFCkccB2TrxQ6TiIppnr/ZEHKua5BNGzVN
zcGtXNQ6HVLZL609L806YNp6tAcvaTbl6GBuXDpJiutQ2kgxpGhbBS89lyQ/+3WG2tjx5w3Z0+Gy
YhJoPImpZZ5OOGp39JFZnP1KlAICjpkdB46D7Sq3sugqRIx5JuiOb8+lnbR2By26HuiRgn0iq1YF
7hv2zJFDeDYCDgY+euVnOlmkWuoUP1US7JzSp9ujYv10RYpEuzBzg2GPuNOhzdXBSpOFGYu9TEvv
mHbNBz8al1c5LBPw5NY9+gCbViivEbNX4ERvWAnHL0OEKnxVKXg+qzxcCmuTxg0m3JCOxUwJ08jn
IpAkf4i6oY1cUkEON8hZ3ONkIStc0UeVVKJDF+VXcyk7e+XPw3AsQ68UGxSRiOoTNNa3Am15AwUh
tG9Rqoz3XgPYg9M1pDCU+G126/JgoMpREZQEiCAGAlCrGjYV4tobj+XgnEecZfFyZvnHoCtq2AlO
V24nCDPXgRZxGIBZ2o3U0o5YizxkaRvZxuphS5paBOJd9CCNloYMi6ABYEcRCOcx/VBpCYnSYpJw
7vNNXo0MLC5aE7Lw0rck7FCgxBc1Cipw766N58z4DH0OvcqkpSv2RcUiL4qWsMJvuHO10KVZnPo0
59b4hfYZ8iYtiAGIVR/Q6G4WwzMoPrRwxrxoaADju+fIB3snx6F5FE6J2iawvOielAH7Uznk8YME
vmkd2qYN7zhAVdUKB2yarW0Ztc8laXhYVWG3CHCGyHwCLfiJar8GA2JNw3VHT4qSk+YveH5HMRtO
kXzeGpOWD4mh5XL0QIffWN9R4xgRCYOSPo1n+Fwi9M3lymVt3iWzkxybFPR0rWVLrA3TMdFSpkGL
moaUm451noc8ZYgPzrbUMgbNUqPXgx4qEUijrItKSs62Vky1iKdQKaCjGhDYnjvleZef7YAP9Jyb
jYG+nIQte7Dkto28t8Rh3j8qEofSenI+IoOpjkkl5Z3vRBZXzd/sWuu6CD52biejukoClv5FZFfh
rAKkXuXRl7hu6c9CRLJyY6NMpl8V2W43s2C452KV4w+Wyb4teNDd1agVZzQdTWznwMXzaEZ20vCP
WJnGc6IVaw1t4bMrajdbt1WEok1giB60yo0Zp9w0eTnt9bnkNdNqOO5SQQzBRSTnIvlR21lr51p6
1aQaKac5O0rr74QTIbSz2kW62342ZneDLsd3dnMDCG4zodX56CVdV2xrreRzL6K+2dcCv9DVYr/k
IvzrLiJAFcmRBGwSB/fkpyMTpJRtvjAiTT9yhOPnovfmJsOtYbrpw2x6j+kUCKjPWnzogIBcwE5F
ZP5c5IkoBOzbIC1Q2XRR+TxrHWOnFY1I/Pi96NcidDRACzw7os55TXSQtlZE4uhAbiO1TlLVrXXV
spzxFGkdZXiRVHLuQl6ZKcp9qMZ2+oKT6ktrWCDbZstBEpf41Qn0tyFXPHUGng7kidEaPBH0J6Os
8wfmet1NmSTzvetZMZqqgVBvr7XoSTSZbez6lhg6f2Szpgq7ZkQUocPkEbuKsW6JDRoNlBkj+UZA
0XKXClTT6gIcC29Il+pX5dfVQE1r+CfUGTT6sVsxACXJ1UduvnTuqhmb5agST5aoPHrvqsvNxV0R
pdMzNTMWWRNGngzYZRdBt4d1JFk3BU3ZNceT5pOdEN56Pzhu7u57Nv17ntqF7gH3AHkhZeadhqRh
J4BuUNQHhmruBOU5iOiwSJfzV5k56nGaLHdDPDdzTRcbz1k1KQtt5OvuZ+llyTV5UOlEGJnE1luo
6WMDfOsBNZ58rkEr0XXXBIeUgdYbOHNCWktZF/u6bejEEboHDCKyFraMWkY9+R4QI2ziBvKT0kSJ
sJdMQAvTjdeZGZrHSiUAKArQYit6+0DfJqSDTnf21GzjOPpPWffvKU2UpqH8QmmC8r9AtvhTWUcp
yB/9UdZJ6jBpO8oSsEt83Ib/U9iRzSxM4SnMid/F1WRU/EF/sbVz0TcVtZvk9bRI5J+FHW5cqRTI
Xvsi5f47hZ3n6srtp8oOaQhVIipvcHb4hLUc5YcgjNiLmcojazpNNSAXHp1SywC5vavLnT7rm97t
wUdVaU2IbBcI+o7moKgSwpa54KGx8iBYK/0QLZfniSgJnq1OP2aUHTxx1uXpS/WDWF+eyeHyfM6B
5uAPdjswAMkV5BnSRdkELk92oB9yKgue91Y/+stlFSj0gsCQyGm2g5VAqHfgWpzaNmD1cJVRv5Ls
J98uKEyCd8NtuIDpx1OZdS1OPWGLjYV+wL7ybeq0Fkvg9ehy0syH/qHVy5i8rGj051ndhF7oKr3k
TXrxa0I7f9Bc12Irp9KA1q2mUBCVaoYM8ZLqIRPVsOflawbd5XwIR6RgthaF0U3bo2NEJxaVcbkT
BfRTlPBaR3bRlE1k5O3YZ+xPmZacxU6TPVr25G39yH0OBy1MK2d/A1DKueu1bG0o2bQiy76LtKRN
aHGbQZwAdiYju3PIbKSmGB+EyahCXHRx1SSjN0+L5Vwtm0OYkJ6tPM82sTfVD6ji0df1URxeM01w
b8aoQH9Ha7m/MsdtjYPxJqia/LcEcdtuSF3YzyJWa/QN7YPt+W8igAtmBVaw9rTkz9Piv0gsn3zY
yiuq/2JdZeI0aKmg1KLBRMsHMapNZ3z6412sxYVVGr0mWm4oSg/wRTidURzMG6FFiZ6WJzZexQKO
afUx0+LFIs1QNmpBoxbyEWSb3jdZ0t0YE4L0mCf2AzwtgpVae7qZtTyy0kJJS/BOkVqSnUsQ9tOi
JIrKTNWEhCdFyQAVtx9kyqqyzk5Um6fZ7L8i9B5Zfd3sHkN7FpENEPgPUos4FWUWygat7ITJudy4
iLXXSUWjMDWncr9cxKCcbZD8IhC1U9fVSCKc5oQmM5Fpr8vJWb4g7xDxFntjROxJZKFeThH4OlqG
imd93DOPCXcGZzg8Gu3JRLWKglPrV7WUFUVwQtDCRDv9onRtuQcJJkD+2gfgmr2l+2jQ6IME+aC0
TjaQZxdo0ApYI7zJPrmLkNQaSGstrbH1M/eBlnK2LZDftpz+dJT6x/mizLXb51w22S69yHbz2D4L
F1EBcNVzNn81tMK31Fpfjk+f3J6aHq9ecKi0InjEErINtEoYq9gXFsP2FrbItDO0ljhLQ3Gctb7Y
vSiNSXhEj9KYHHRsHivjJLUuOUCgPGilcg/mZJ9JiONJe1oQM3da1Vx3ILihERda7+wifAa7R80x
JTmWqirepb/ro1u6L052X2n19KB11DPDtiOGFQ4EWmVdaL11pZXXSzp51y5ibFKex2MzuxBR0JWM
96PbfQSpahyMehY3aJGiAuFpCdDJhPJqkHS/qS3GnXfzRQg+lgK1rXotCVHdet7iPyU0+3eujQo/
Ihr5jqIhvsW591JQRB851yGWia0XrxqExkmY3XPb8JHNPKo2TZXZZ5gnTFZtwS1thhRAuZvRto+y
u5lldxXBMFplZVOWawru56UnnmwIWJ+hKnZX8TzNz/48IY0nLK1+pPx8LEzCl8lFyG9L6nl/NfiM
G+6I6YSOWzHq2jM0oYefCSwJlDPlkQzrgJq36DLt4vUfukT+VpXIckKb3tMYKUJwBT5tCFYe0zIC
jPJSn6zyfmIe2gs0XFXswTtZomWn7C4HAEZer7sqUKlM/ccom1vLPcwDIel5YUY9e4tRv6X4QAla
oVzCJRsxa71NG1XCLi8ndUh75tpXk9t49xMb9iPWWB6RdOTWQ4AwiM8twS2naMmhGHWLQ4gJd39M
hhLYs7VlBJJ6xKvkQ50ZitkPFMNTaZvqRJaqsev8pAgPQd3B3HLC2yjrs0eFB1iumgGASYQdnt4e
3sIvlXLbLZbX/GBxcntRDHMQ4St4gVTBnXuFgB3/OidKVA7L2FOcVQwwR2cYyAefFgiMLO2/FanL
xMVx7fG6G9r2bsY3iRCd/HkKKEpROJsC6vzKpVb5ZGqzfd2Y8Rf2ZCDjY95fAwfNb0lG9X8zpwin
fpQFzoNBKfnJSDHy56Y8SuZOpHFg8hcXv3988f73GgMQaiCAKIcj5VW+xnEPLWC+kAP8gG8R/UWk
PvYaLYDiIPtqJGYC3rK37XblVfF4H9A++sg+4m+rC6QA5Sq+daKSgjVA1Sg8NhppkDKsclmMQiiy
aTHcTZJZFnTlyLiLL0wE+4JHuIASsgq763DhJ9h+vpAuUKdfyeVIHwA1PmZtNtqMA4vgiA4x31hp
xMNK1Gh9u1yICe2oAUf2BXY02z4p7JguvogRFlKgqUhwI4YdyTnMLQMfucBq0gSlRrOUgJkxnHc0
YcnVrKW5gcqycjSBqb/AmKTmMvkXRNOsaU3VBdyUXCBOvuY51Re0k9KUp+QCfDIm2E9eV2VHnjmA
UFTAOHFnzYninftbRzbml+CCkcKCQh/Z0nSpnk7eQ6CJU+gT5bq4YKigxoN9vcCphAU1xUlteTVr
dpVFyxqGlmtuZk22yjTjSmra1aS5V7UJAQtIT7cVUQEWy2qre1g6Hb0l4V9lBrawldQkrUkztdoL
XivXpK30At2CiQmAq6fm/5zOIPa3nctAcVUl9fJNl4TXeAeqjWN7r65meklN9yo158sBk5Btpgv+
a76gwEZNBUvQ25rHWLPCfHhBz4No4IdFFSgxOxS0LWdndl7liPy309Qx/wIgUxcYWd2gaC1KuzyE
CnPBKqWhrA6JE80PipjpYT3ZkfUy+CQwQhyonhm6dvfCh1O8Tibb/NLTbwtwPgFzqi64NMIBrK/+
BaIWXIBqUD6Dz6A9iw+4OQCuOZq91msK23ABstGORAWtKW1JmN6ZSx9/hmhzEwJNKiNobgNYt5Gm
/rqYO//e7XxyIzX9LfRz1KWCcIZbT9PhFPyPfQ2rtVqJZnBf/QtIztVMOfKfwcuR/YtmyLpg56w2
NomjD8ObtrOX7WiDXbKJKtovrug2S+VkNHdNKHoIO72+yb9FF8Jd3Hvym5egKFoNGoGXenQ0Q8Tm
r55bBrvhAsvj1wScVzX4uyNN0wsvYL3gAtmLGxK7iJp0k68VAN5ixUwRXKoRZSwtDqFrqAE/ZSBJ
ntA9RHs6pwb1ATi/BqkeLc3U0+b3nFYoVKIoH8OTunAAiwYkoLrQAQmHSz+3iryjFXJgWjdRLKCL
V5WNL0NTBlPDqk6j51pXfMLsytZEwkCzCXNNKcyretiFPi39OgsdXCfLp2pGqby2bOCGIbq7O6eu
0Txq7OF/quR/p0p2HI4bv6qSn74Vxbe2/fbtxzL597/6o0y2/kFE7J/hPmB6LKpSKl1LOgQ1/rNE
duD+KAt8DyRUxn56wPk/JbL7D8wTzNLxoOGG/puAVFdiFfm5RCbB1iOux7QcwnlgwP1cIkvOgHRu
RXFkD6WBvuckGibDlm0fyTaNKGWtKOPt8aqz53mdt/WMTwj7gAwDeahzN14FIiD9FIO1ddOyPT5N
qZluvdgEeB56Ldq3xtnmoTd9znHda6u+cF78sGCGUpnZuvfFuIa8gLgokF/7ouogq7ThXkCi2Hgq
rdekTDBjWbp+Pw9At+HUuyWxE1OLjoFpQVbozjTtw89uVauXgjHakdMYarXYo3Un0YhjaQKxEENW
aAJ1KOY4e7IjB37a0LqwD1jNy88R56W9PRjLqR0yH+ua7XmvgZIVw7WcbJtV3oThddnMaG6STl1N
yWI+ILW2N0Um74fe8q9NaC/oOMPwmfCzCGVIOhwWkF9MSGpC8BKz2TcyKA5jTHB648z3ZVWiIS1s
AhyhBVJeDBZQdP8UFvTXyym9M2hbsluhwCXeR20zNppVn9bisdEJfWPtmms6hS69hKk99u0Cn8ZY
rJObRsYJAE61TUk8W0dGsmxaEKzXtRfJaFsrQ+eBkhdEcqK7ZQQNBTTIxd6trHxn13hszKVdOLBR
x0l4bKu0t5+8KZ/e5rT3tu2INyOQKWSVlASWcfayHakrACKraX5w40S+9sHEnjQ/mzk2G6tykkM/
hPaec0jwcYB6s0uSAAZTTBrpdT/byXUocjgbqqLtMU1dvkXKOmwY3qlD6zXNrvZsyB2mThgTgrke
sl9gUI3/SiT7+Fs4zv5uMYtJEWyfw/RXjnvv4sbOtMD9AwNb1FOg0F8MD8cFumBhXhtlOpyVgSCp
RKEO8MWPaOnjldAlOYr9JVWngJS0W8cayutstD7g7a8gEzlufQD6l95PZU2fs3CGWxA1/tmtaTiA
t3Up2WPLyCXclD6eGUuRaQg01SWFCGfgeCLmYJcUNs6MBVvsLnIrtbaZtVLqlXZ+mDnuwxb0ocDZ
bo+JI7OZMQEiGuxNUuMjby0E9JO95HeGIQ6+qKm2gJ1eN579Uma1DK5qpHLRGff5Jw8CxkNeCtRH
yjKObdy7gb3POgdAL9XQWPhvENLreAuldbldhqm9w8uk8jdmAjjJSbhk1Nj1H5C0OnegIvX4Pkvl
kxu0gFj1cJ+SzT/hcLIxXl2m/1XkVQ/Vd1FArAUC1UUrYH8XDojvMgLaOqU8ERuqVQYga5AcsFDy
vedaiUCcYYEqoQwD8wvwHsQKptYtQKtFwoAUykbPgDLCui8uMgfGNTSD4oWYCEqS6CKHMLUw4iKR
UH6OXAL6FhbZacjiCp+wn7ySNkmhq4rBLCkIECnjO+5JzRz6hqCmgNrCvSbNwv+Yz5V4SS1pcaeY
GMKOnD/NYVUwq74r6KB/nSGapXsbolN1wN0gcVuR4JiuOgtL9rYQKZdcsrDxMPASa8QUkGYR7g3w
CZwl4z1rH1fs0kBn7/hoyDc5jiiH2adflLfye897/t4BT8maMDel7oyHcpLh1owK73ZCer2jZcH/
NLMBhKtAqrH2EGY/ZRoW3cAqZF4DmxjlHRlZ+8QFLM3pmDSW2Oe5p0u3EfCuQHz1jtyjLoz2BVOm
falR1QXMajKHLGpCbLlXk0ZaB1UldyVu1miVucAdtK8OwFavUdhd4tknBR1baEw2zyrEbCv04m0T
lo6xw3hkPnJghy1jt4tFm1MYK4jaxQ2zAYIxB+nddF49fGGGDaXbdvwzjQRnldUNw+bJDfddg9Oa
eVufMYPGj/RWz/UrexQxAo7r7UYZoBfEcM8g3qzNxxDX9m7CEfBBuGF777pGwOZQZMcslO1t2Slj
lxmzeRqQqr1BOBb0N6xNK73wyNIZHEB7m59TacWblun1l8Gqp5JesV3BcK6ns0Rmew2jhoiheqI4
G+fkGWCzdSK8FOE5wCTGwYTZwLJI8BNHVgWsAwF8MgfLnYejaBvhoGuzovqwoDg+4iMkRwjh5l4M
uahXiTWO64XcmPWYkXYrXeIdNg1YgTMTp2rrY91k6k1rZOT6j5PvipVt4XJjnhfdUWgQFLnAW3IT
P9x7fIBd1aZDtrJIC2ZpXNzP8Isa9kKO6y8DPYtrSy7WtwG2+E7QT9hi2rQOXls7GD+4nu2XIXqA
NtwlBDNuG3olN6k51h9p5tXXfdM1d0JY/hWn3IJk+CK5InQvprSLhpu0FMtaALjSXoZnSrz4anaj
6BMNcfMmCCyfF2k9TgI5FrZewQwvcwdv0hTl3Trmyb8TiZz2vu01L0rib2u9dENzobtvWgEZ3M2R
SuV+69+nXrScLbKCX8c2pH6bcnObzhDNIzP8FDQFFueC2JiskFBHjNnZxjjB1Mq0DPgNgUlKcllf
TwXRzI7Rxpne/evNZCB4pysG3QGG7AfDxl2x6UmqZGgmp61voG9oh8nz17Uw8YH7uLBIybE7jI1K
l6kgtiwCzHju1eIoZLzN0G1KrBQv9kTk1eSSsLSS9BzY3RBVQGgbvDmStHwSFbLlQdUIo6fWIxT7
/j/n+3/nfG/5tuJI/L9Pwa7KPm7/RCb6/ld/nO/VPxQCQnAeDo5nLXD85xiMpHitS0Wc61kOR3z+
rz/0jQ4h8kgPGZuB9/RtPZz6fQxm84I+kzFma7RsEAj9rTx4552+EUs4/TQM4UIzkCS0x5+P+MTY
jj0pQs0RyDIJlUliWA9Euy/XijV7V9aJwvFRSfO1NWTwJCMf/0heBCeD5ORTiwpmLTMJXJfT0J4o
oEErKzJoDajWnlSVo6GJKtr8Jfvq2gKKcGsVRv8taeAbTVGYfXRt8G9VrmLMHFCIS9PFMUDI2rBp
amCDVmhCPe5yGM1M471H9pDpLxTCWgL9wxyQb8B1EVAKvgY9r3yvEE6QLCHXrKojgqvpDo6mv0e5
46/trtOfi/f9wy1y9/2V/6vo87uSVnD7//7PO9nz5Xq+YxKKRg0nrfepE7YBPpPA8+o4GoSHT2H2
qsmA65jg2r+4kp5gvvtk0rEtqTCgI7B19Cf/YcK5gFYjGsIjm5pD0MZmooeeCo8S3u34EQeMu5+j
JHj42x+PXUaimuVmUojPf75oYtrgXtBgHXsPVcDK0IOs1rSl2PSTwAT9968mmBUzL1bIyN9XqKGv
xrjIE+yO5ijS66LJlx2Cb2iafeY//fpa1ruJsf7lMOZwEekwNIZA9vNHm3CORbj042MdTRkYyogz
7aau83KjGosRBBb9255z79XIJnpgWttVW1Ij27/9mRlaK2zjJkNryaLy89tgZi3nvEc3VQPuRm7S
zi35h0Hw5HuMI/7iYn++h4RpaU0YDQX6we/1zw1yUadrvIQG77Lcl6ppN53BE0ybMo2wksWcN2RB
aNxfXPfPTwm7IDkvyEU9hOHmu3UpDZMxDr0qORZjTfQ0ZffT6PTjuCpiTJq//mHfXYszEa/vazU5
P69lalryj8+JSwqKNUR+fIyptCDLzBLbjdnM55Boug+/vpZ+rR+eycu1BEgDl4Ov6Qrr3Y+X5B1K
PRRMx2VeRov9XeanLHaG3xkpb9P/Db+V/2KVeS8O158J+oryPRYZblf758/Ue1nbeOUU43Yl/BZN
D6q6lTsXECIHRzxGcZyDmoJahSsJGTUphnkYXf/6s767d/RnhWvLQqebQGBC3mnnkSjS3BAd72Fo
9bGQMMpVSHjBdeDM+akMFaJOz5n/Yj2/fIXvvmKbJQjDDgoThlXvfs6BFJ9yCSReJIaenxpMbSeO
/vNNBQt/3zgVEY+dUU6ciecplOtg7OfhOHrF9JXZUN28VRCaTwSOQnMyDXzH2OxPwZIY309V/+sv
9K/ep+CH0d06H2+K9+7rSYUTjIs0jINJeftKUrzbrIc68/mJMm/0DoWBEHE1J4ZE5lCO6bU52LiZ
HFLVjn1aume6+cERgJ1z4xteK3eAEMqE5rsvh/2vf8k/37XK5NukoYdsx/Pev1XTJzWMaROmLt8k
wi5l5pCi4Gu77a+v8+cnEckPPxlaPLRE8v3eGBs2XwpnaoDp5XLvxzq5pqAwOJOzIB5/fa33yzm3
pzLRE9nsjgIhkvax/PjYz6oVrTslLOckHG5CFQwbwKn9OuNRgWNbhetqghph9ZP8YuRFuEfY1/3F
F2uZQj+JP9+uipawJCGLQwFv592ukjWVYfNkBAdJx3A+ysxmMe38yamOYV8t9wa92VcRBTj/MKbC
JqyiJOS/65KEjDRxJiwwOPkkf9x18Jp7NA5JRSg4BBj4Amm+XNNxBIyOue9hyZzgtwG+2Ec1Z8s1
XHTC9vy68TTlNj3ZuRLnoTFZcNt8tB8EaVOPXlSZhw4m2lXEPIao5So2ADmMy/0cBk6/ypBd3+YM
7F+ygAznxeAY1xoVjEifaum3XBmiOhV5Deu3gJx+gG/oEt9DPY9/Xf5/9s5kO24ky7a/8lbNkQud
oRm8ifd0p7MTSYmcYDklET1ggBnar38bjHyZIUWUoiLHNcnKWhlBOAAzg9m95+zTLnuEmsYvRRPb
vSS0Wr+yuXKeBseRzWqM+hJAAF3y96LX7rApQXMkmA6z5AzWrySYk6XFavv0rUtYvGsVi3f8FYEN
qoJtI6JEE3bMkIZxhy3bc/fontgMES+pvgU+/sUqa/yXoBna4AEcM+ON2R/nu7wOuTyKCAO5i2Lt
NFXnv8xYFzdjHsZnf/l3FXJPiJaCA3uTDgokdloYjyTbTGe+M8Vz00zD7cfjjbxBb+0qMe+l0yQ5
rm6/SK4iKh/O0UbjcM5pi0EKmJMMv8XHaoXY4kQtgxUqsEbjtapzRmRtjhYn08KaD10qeXYTvmS1
bk0zecQg737uWhMOjE181t3SFV34x/ydgfCSM71X8jMbP31rTap7q6htpxhvX1jMK1fwUQCU6DxR
9QLoZtg829Kx07ciLu2dBQ/7QkGD6E8mTUG/OC3nezEg917rnOhrs2/G23Ry+2Tju1b6WniapQnW
EQIbE6GGs4zDctGsBR187PVEVlq6mUeLDYxV1vOO8FHGkl/q+UzFFl5TxNFrWmnVz/elMLBPLRqG
TZcomsYZN4AXIiN0Za0YYFtAevKSDLGJ4yhg9BIkOd61UTLWhw5eyA0cNuPRS3IemBm70zk2iuyY
B8U2nJGrj6073hJr2uyQdFgI2IDWNCoS68mo2/tYJ+mVSS35hIVoiWgu0g3FKfNsOdV87BrTI4VE
RI+x9re1u2AxvSo/T1xtTe/Qvy1nf5+ns8TRHo10BjPnJYD0uZJuCXh/omqck6FpGuOM9N4mb8gj
tjUcqQOS7oQnmqdqP4dpf5vG1XTMrHCXJIDjQf/X4DQcPEdGB2WQeJQViKTsWORBu8azXtACXyBQ
S0i2Fu4LqjXnTJHgth1RpxA7M276KXDRCdtkuTbpkxd55XZS0j4V8FPNjkgVqathT62B8M7ZWmj6
prcJJYmvVMQfVDK90cW9yM5Q24xo6A0UFbw2FKOvDDP40ixwO0IdZbGexoCvWift19Jxj5Q3LOSP
6U3ipcD2aAv1fXSqK0LbtKSrm7jTeEyKkgXYXfZIpT3deKnjnKnsNfdWWqij0YPFmGfvOvebKZAU
d9BPhcBIGjtW32Hoy8Nk1ShuqqiPkDvFTna0are2VpER+9edKPhBdQEmDdeDPT+J2XV241DA3tA9
nCNtWc0tGyU32QzeYh/zzeKppWD2hGxh+DTVgv1DreBSrYgVnc45rKctfXN/5+awvbIyba/GwoP1
0IQlF2UXfW5j8yEQw/DgD9O0deau2y7fH7jvtQRjRIm0vFMaabzPTCuuMO6xFbBzNETtxF4kD7Bs
5ZWn1h5VUpaiakCYT9QeRI/QP8iMo0/H+NuUbPN24Wyi+CY+Vq5baZe3ytTPfjHDFsJuduM2M42E
GPRuttEeXe0dZXaI81T/dlWWizuyndTO87v4syYY5+R040anEdl9cIigkQKdeXXoK5HEVaEvWfes
k1dV2CZHcOeIrOwBocjclwzMjL0DR4TCuC+m1t+WU4srHmCaWer+hWD54F27Iw0ur7LsR7sU/udx
IIJmb4qUxLRuGFcUANmPQYM7yHkOb0aj8dA84tdy6lquDd34gCyG8EDIj61X0ura79IOgq0csunY
aOfsl655DqMW2Z4bWte4KSq2MBW1bL8I74uoiWhZEXvI4T9LXMoUrfVokGC7tnQRHnmpsFQFciI+
wsRPwAJzv46zqe59eLtXY1OpTVDjnA88hgDdCWiqUSz2A3rUnQdxHBVE6j7lsIPvYq0c4KRWdhVl
jX3mCaYbB61E00fWvheCgR1WZ4/ywToqQ/subgpxwOPiXBPSgxdfArqLRGNtymCo94VJIHoxq+DS
LboOFppm3SusbutA11Rtc6AV+6SnRL+qBgxSRHKjqTBH56Yzg/rWnEFqmCTbeyupjKzaTrlRu0CS
+2Jf5JX/IoiRfuTW4hPY+qCGT+AWV5MRTt81x/Fr7QzdvXYN6BeODDGW4urkm+6GQ7vo88UNJ/Yl
LBk5ZdRb9bGwJs3s0vI8ZGVxJz2hbwM1jgenUUm4TsPgUI5zezUE0Jyw2wanGnncOeuqYO/Gffm2
BONCHZJh89mNRbPzvCx/D0WJLlv6GBPRnVJLArX27Cv5WvKnt21TY6IJxQzvQxGafjEx5sDQNRSE
QQl6h48rEdcNceIbN4PBTF+E9O0aT6ro0m1e2l8H8u42KSQCQkxCR22rOJ7OmNjqN4rY/XEeMzw/
Id9AbAjzfhLEVmA/03eW2au3rM1Zs5uCrwaLAN0jve5dgCviSZtd5auvQGgC6DxuNSbviQF/V6fE
oTGxdcUxSRvvtGWr8yikfZMOontCcNq/uW0avMRdSPrfAnpGWgShadHPEIHjl2sqItXB8NzpiOsQ
MXjp9Z8nTbyAmZdwwIIePHXWLP69IafF4pE1M9mTv9FFQ1XDbqKl6TU6/Co9HtwqM8/ukBbkeAx8
MzB0kdtZdJ2HmDuvk24FRWs8WNFAUksLmnqjXbtmOZvgagTke4KTI/j6SoSU2RGjsEvKIYGz+tCS
fiTq0dyFOZwByUdh75hSH+Wcdl8lZ6PFI1TA3it5Cm2Qvkb2MpSpKJnnxJc2XD88oAfPdKLnSdjO
xbCl8W5jgL6OAmCxoqKnYhHfvh/dMXyyyGle2Z1oXyPppmwnTUrxKn1iY0xuceQBns6bB88hv3uR
Xs0sr1ERMajKZ1NU5soENuX3Y77K/Gpew5bbudjugOlB8yULpFyNbE5AMhI7blUtMRWcsVcVeoR1
OKZveWEn1drgnIzgXNd8KhemjWHvOm/4Ticl3HOWd9dNa4e7nGQnAja9o63I1bPSngRZsYTZA7Kj
wWkQWM5wNrPROk2iBEFiEQLEH07qLtjbEz3fspyKPRz08RPN8YTGXRCfyXd/NyQt7mYGiej1vX1M
KexuFdWsY9pOxSE0KQ/YY08gjmy7vaSX+ZZrMkE44/PVYSN0hGrtQo9Pm105aCJn9EgLxxr3Ocyo
lcOGa82h2tvoYbwdPNNCtjp6B9GCEjLLnnD6RgL1IPzbZit4N1rKXOkik7tAq++6NeqtNOp5b3np
gmkPX9vJKHftJL2TltQOZuw/EMYxVxiX1HN3dZRM7FPCG0DWx9JoXoZyJswuOurae5JtdGbJpWBE
hsXJa+d3GuTPVoiG3a72kt00oneAlWY6IHqmSOlraKKCkNS5jbtNaFjiqV4olWZtv42hxcbKiFnk
E5t46VZvQtvcZZ3Eh+sPxJl4X8s+lCu7pKq9EggBtvHQdZ9nZ/46AkPxsg7rtV+kw3oKp/izKRWe
37YN8qPbStj/00QwTersrXnbN+mXkW77odPJtWiezKDvsMc34TZR6SffiZODj35w3TZ998Ww22A7
Qns59JxhrruuRXgG1Y9pTtdSOKn/xVNuha2q8SDNJUN7lTYe5dEhW44TZGaP+3qw2ELj1HWR2Xrz
Nbpho90l5fggsDl8I1AIWaghCwo6xNqrwEQLYw/OCQ8oZEoAxf14V9jt8vfsJs8u5F55A4ULiAmk
L2pGtD/kmCCparpwkExsNzt6hJApc/ZDB9/pfONGdxpZoDLqDP10SNHUUwNHTlis67azo5cgzqN3
FXlMQK5Ki0HgBG7ZinCQ2hBJzrEoZth3m5rlhTrT0tOY6i56IRXdQLLUcMaobQF+ex5vGr5xz0ET
TWcD3t8afL+x1VPjmTeZIdJ+q8OJY0fnsywNKnPWIEs5nQBP7b9nsz3cZt6ECs/K550Vt/kxyYfo
JS4NitwxRN4HSwm99VAzSupd4CEgE3rirJN+OfKGup7WiZAKT1DP1qEwPHMvLae9Ym/Pn4Y+ZkCO
54COSRGpkm/5nK+IcXj1itLepC3bP0Jk5Z1oiXMgtOkKZXSG0bxur+xc8SFVTnR0EkFRQHHIB0FH
jWDp1Hxcr5eusZ3wT19FnkPPBibg3vTd8svHPwLI0n4wPY79tZ+Fe1+I+YAMUl5Uia9pPbY2VYLA
GW6HmW2PwWGTXs9ceZ/CnIeJvlKAYdXN7qNQDCmVNspY0wfNqRsXZSphsKRJCGCJn1gmQ37EqVHR
eRbqc51qbiDN+IusIzNsim68E2lhfSk7k7dO2Cm/eRjbKyQM410+st+d4SId5rybz6OcJg24lPty
sWU9SsGxr+kTWa/FlDV7tmqc7buu8NtNn0dDDiGMqgjFSxYDNA24TDGC1G4v0D1EZlky/s3ZuKah
LS8U/9K9mWdUFIP5FLatAlVUhJqSTINllTbuXO80qnv3umi0eSOwRZ/qbKZDNguKV9GcHz/GnZFW
867PeAPOjPkEdDeBi1qRrdSPxvL7EqLlDCyUFEU4Zt0X3fJMio4um8X/y7sab2q/57FRpFwvAMiz
XVnVHvy33pJYPZ997Be35JIFCEHQEnkuI0C7Jn877Jc/WGTep9gODTxWfQAaEpe79mWwGSvf/FKa
/Cv4cNsrv1r+11rztCwPddTacvzp3POHtmAOQgF1zTDRxQkXMpBGopAqxn1isL22AN8xI5cDP1yv
6H22XIpKGaPJmfmjeHbqC6XECo0qQqcnjXniOrSG6NiTKn6JEnNEYpEwdYyEKew6Hb3JQUfHSFr1
JfeVvgobmu3EpfSFiXe2iKwHDgfcYWV7lL+iOM7ZAePg3YdVal9zbmk/63B5vCWMsWNX85h6VdsP
Q66RoCwT1lZ58q2cS3lBts6lx071Rwhk0RXKRgZkFxDoOaPLjk0qcrrh3wtbeHAsvm+dUERXW1Ar
pZZfK9JoSLCLSN/r2+hoat6O1hGTfWQGRt0UUrGoQmQqvd7GtTedHUrgZ1n20Us7QHRZz95snYrY
Ru7neNFRFA6/XHPyEZtqEYOYjqD4QVs02IhlFAyS0pyQgpKCQNC/zgMQF6sh7Bgl/my+xWYmL7Qi
DZwxiWRO1y2KnprTKVJp1sfQ5UkB0TceiV2O3v1IcsOhXsZgawIThC0XHdPYLiP2AdN8MPwu2MCb
4tgXeEn/PfA4J4O8s8YvCvDc69ijzVgpNuQtpVQZbxO2FXwZkclfW6qvbpJBd48pModvsnej97Qe
YegI3C8gjvkyuenQ7Cbhg54jNwTTX9hEL5lHCjDhyfhbNn5NgXtTyLSefis//y/F6S8oTjCUli7J
fy90+Jyqr3Wl0uoHIfNv/9b/Fzp4/whM8E30CgU0R/oZ/xY62P8IfhRB/Evo4PrEMzk0iuG9u7ZP
ZfNfQgfXxkDsLHVxzkDMGn7h3wA5LX21f1fZXZx2KBzQayNec23L+7kXbltmknci8U5hXLeHtqTV
L9imH0hJzue1bpW4/O4B/UkD7s8uuHS9aBQLE4HHT12onLuWuP3EyUH9tQFsl+7nkC8a+YJL5KWy
/qLt9WPr5Lcb9GmBo9MOnYC+14/dDBzDoO3piwE2TbxLFnIBJ8usRyUI3/v1rS0diZ+eJa+adw1P
jsbFz/3SNhmSuMst90TRUVxSP2sPiMFQMnp2bN0sS9Wzn2fWTRuJ8eHXl/6Tu2QkCUZDYMJq+Oip
/U7SMDR5P5mYHE/Kztwr7Jp8uYkcWbShcVX+hX7CQmT/840yApEB0cgMlrzcH5/pSLx36VNVPw01
iIqVL2mNrIbMLKh4aR8wfeVkMjmiXVcIttqkV19cq2Y/OhYUr0y7Cq//7u17bJLpv+EK8HxKAz/+
oMxKwNOTMXMKBpfbDUugfKaR8x//2bUsiEwOBgCs8u5PAyqGjFIk0+SeHDbiN51rqG8++V8PXWbL
l1/f1vIcfxxQnAXJXxPCR6f3W4vsd2811ZQPvZpEGQJs35Wtwm1n07v59UX+OHS4CKw4LA0fioaf
XqbJtguiUOGe5lzVpyxgb7gKPGmsrTnnC/vri/3UXFymI3UHkpltWss8wp+FKXSerX4GvXnKCFxE
os2Gg9qSobxV0SpJwykXF5dTxA15BOPDlGjnijae85sz57/vMf9xBCNtYNkzl6nqouL4ccBEtgV4
jALvaQz0wnisLGPVRGFwLamArU2K0+U2z+3Wo+DRTdbmY/JyNkn3rCDt4dcP5c/egEuENJmwvGny
9X78MXkRemOZSyZvH40PponZcyC2/uTKNtz+/UstAgCxqJ8c+6Pp+rsRRe5RW7d+45xS6k4PYRgz
ZY2CRBr2LLyJX1/sx6We5RspF2zJEHkMl/vD8KVOgrS+kcaR/icaTcNo5QskAfkykyZ311cTq8Ov
r/gz15NL+qQdLvBDxpn7B9GazGcXvgx2EDNq071LxZTOXKsIj6cn95CqiPfqiJnkzSCzH9OYKVWO
uj75BmbjDd6K5jA3fP4+VhDyfSW89tlOZ45emEQ2qVX/1UNCfPLDLBcIlbDfcGIE7+E4Hp/GH18/
p5rMHZf+jypMnNyLC7pe/NCxpfIO/XyJHIPWZtbS8SBJdPLAFghK/a1R0JfKoBavojLiRUYi1t9m
pwTAjDDXA2A2M69supNE5RKc0q84gCGbt3D0XpokGB8Kr2kPJuytb63pOVewovIW14vtXA121rzo
3q9PQew6R9QiqP2nPJvu0OIa7dbDlvKsIU5la3rTjXXgbM+fVkCHaEaHiZevC6SQDvCtlDCkomq4
BuV3YoeT6a5pUMit3N6Fu0q/FhMUCo2Z1p8lXxbA2bw3ojn0jnB76hNpdSVI8NaqkiPIQP0tx6n/
4kt2z8fSSqcHevDjnWFrA/oCjO301ZqQSKxoPXl5vhqCIXoGKsfY07l3gVfAaHczW1wmQmO/KYuU
maXsJy7llNtf5RzZ1Iz85gEEcLkXA80DH+w8NVIV9oIDhOALY00WvRCnYZIuImRoAMbaoZz6UCCL
eaYzme4jx1HfWoXa2aht61HPNs8HbL7/oKhxPdu9UN9k6PKeSm8In62xVd/yMrahHDgaqInC2roO
8Os8d3Lin8J7AZogqvgrIPesx1nz3DC74Db9+MpVfKmRqQOqI6YxabND7I7InyeM1sPGpcVP0Eo1
zf4xWTYmBppw2ihleG1m9viQEyI9bgvTMEBAVYV1A/OYUZM7prj4Hm1aylaZpEhP/YWEEzPyvaNc
1kuj9xu1Vy4Cnb092vwYSFx5uW0130WvTph/tRmTkFfOgXWTGGXBqxSlDtZRjbpg46Nll/80cliV
w1jGRRs+KxNp5h4XDSdwwxnvpBUspz24huNuKvguk99IaXu98OHOaAbmmHpwKS593YiLl3R0CFXV
hkupyGo/xc5sH+Z5wAhkx577WvU9LLo5nc5FgwG5USMN0IxIrmBnpVj9U8JtyLifuIwqRmq31Vwj
8KDKBox4JmaEYyO8Bh8szg16HfNUugmJ0IT6UGUSyqGyb7hA5efpMQ9NsYU/J+UxNxdlO2MyWdEl
q+61VEFFZkpXfq9Fq98Dd8ZWQ4LcDfloBItMY4YjrMtZmdZzwcI1mNBj0GhN8guQ6FaBXZk8Wm4+
xgtdVde1IgZuh2CJyishfOnGyuoKxmJX34RZbw04pFTyGjskwuCZkEsv3ts31RSd6ED5zT5Qg/ci
EcDtpkrOr1481BSCyngiC8SdXytyCLY4yQhjtXpeYxCJJYtjqF4JRPH1puqp81OMoq3PZlQBU26U
vWnb0tg27AFJ/bbLHZp+vSxMESZt4hq7nIZTlTfA5dpEcbztpu9RXA/bhEbj/RTW5Zc072nGT4Q9
yiqly0BvgrCC9uJrl/mBFGoTASRfd31r7Uq6XVlLDpQLoofl34lqiqkt/pGN5xdOraHZhb5DIg6a
2Zi0PDVKInpQ61HNsyYqCWk/rNwo4kKQO+hYdcRpBLVUa4hByQaOj7G1y7p7krnXSCL41K4T+bRG
wfK18DHAg0+E2BNa404ZkbMhrwRfdqTLe75KMwnTLO/Xntsgc4hN3qgf29k11ebqztSdvCtwbztr
WlS+vkyRtm4MO2NKwDMS47aWoG1O3hixwbadUTdrVlv9LW5BEq7rObTAl84MWayb4XPr4+fcBmiL
8XCkCV35JbKlX0H1LBBUCKN+IVqC+jQVorUPzuGgFSXsddCJKCUazK1PdVssf80apUKooVmCWI3Z
mMma1XbkHEWRmy2c18/WI9VTpn6XCMKwRjcbD8LK5YukZMJP8yGHE8pQFS82TVP2cwnmMsvBpI+j
BuFK+SpASMj3iboHXhAfdzcaYTqKmTt8p6Pb0N7JDfE59CLoHUmoDgUAfsqLY5yis7Ky5E31+pJJ
4WwFESHxmryARn0pZqMzPiExIVw+sJPgpm+zdO0Vab5NhqE5UFKed1OweIjCGN5+6LvDE7CB8sGL
5btdzF9G27Vuc21rHJWFDx4xxMvndtL+RtMn/jan6fAJEBtvjhmfbZseudLKjRGBrfokpXvfFMo/
egLeLVLTQoLP8FjH1zkGmOGAmM3EAllP50aBYPXmMTVW5J1hB/N4C9mazU74bFQ9iCm8M8V5bFv3
dk7n4rax3O6hTEkIa2tLfXV7o9jWtMve6tAjU9OTM1GFkQ0DSgVOus4THP4DbAPoI03BchGi18rK
wD2Sl/oWSWP4NOg4B/rQmec2jcVrPnikVbQFDWg3q4CUNGSp34TulJ7bUTj044eQzlofqwu5S/IE
8ADfXiroFEO0B7SkFZQaiyVvRy4Lfl5ECHYE4DPyx11SVMTR5VIeejKcPklil67NqaOCmJjg/Pp4
eOkK3XRbUyk3PY7wQQTQF5O2IvXLIL/xRlyA+zDp1GEJ1rzO/Ll+olNjhzTbO9p4tuGbxMcweG4G
vvDvaGzVuZMAuUY+hKcqU8CuCAGL1Kq2OF4kLG74NOCZLC3zyljHvd/fx3Y/4NLLInrIVFXhXYza
wUNbiGv4XSyjjjmFdMllXw0bDK1dhDmqts/an2axmoCCBkQ9kHMGtHP4XtOCjXbh0nGJZexeuW5j
b53Cmw9I6NIHVVrNU2dN6jkoJnfbjzPe12xEruATuuGaCdzNkQyADRQeH1RNNCffEIvwHdJLOTIi
u77YuDyqu37mnFIVs9+uBUapW9v0xycKo8ZZpBpAY+qgkwqgrPogdiqxa5SPn7y201Ah/Rjm94h4
is8ycPRXkib8b/RYvHRnSo9oESKcEUFlNf0CQMBO/T7ruUk3bTJP3cHX8l0kY3ynstLhK5cqfXSG
kYZWXVfNBktbM+H6alusnBWcKWJqt7bpRXQN48XCPU/jSJ+k9pOV6FwNGqKDYW24fv8l8Wharf14
zm5NTO/mikyI4pbkhUV5QsP4PjEc3tpvqCDgsgs4aEw+MEIfR4z/rYX+RS2Uo7Lr/O40trnoy//5
/mEXu7mU3//vf50vSl2+MuW+a61+Xw/957/5z3qoF/4DIxgOBk481JCoA/6rHuo7C+SQ0ExMFZ67
lAf+XQ9dSqVUQanvCHOJuOfA/k/jF3H10BRDDpoL4sHCPfR36qE/nsUFf9qiVMgWgBYNEpef/QGh
M4EVkIYEPlK8J3VMTy6oWbcCDuW/ezp/Ugj9syvZ5lKF8DkscRj/8dhXVG7lIvTkSvY80IKRr7Kq
xxWQ0e4vTsV/diWugTrK9W0MFsv//rtDf6w5TLUQwg96AIYXdeat6sGme838/LdvKcBa4GLd87it
n01zvV9YYd3OaAxV/p4X+XtkpO8Z//c/uYzA2+Tzxv/wjjQ2VZWIUQJuGMJtGDRE3GDnWudj+h88
OsZqiCmFOnlg/VxXjaVJHF3CHfUICq9HxJ/I7uzguq2yv7ipn6sADDw8jcRa8p6WIIifynB+j14X
vLg8sDXJV143PUzx+GwZ07PsaQ/++gku5a1/FxY/RjmqOwwL6OrBovzs7UPDUTM3a3kIG0XTik/1
IaPtT7JNekEXjlTKbZ2VxRb07w/FwKMug6WQorz38/Ty2rqzi6SSB9mk9acOLyPiMSN/NjL+26/v
cXlgf7hHgWHCofhvMqt/HPVzl3VTStD8wegociC5nLYgE6JPv77Kn8ytAFDNv66yFBp/N7cCxEm9
0RVcJRwFfc/xuS+H6kiiwn/06H53pZ/WiwFPWw1wkgFSdNPGG7PLjDZ7/T+YXh9exB8fHV2lBSiL
BYfi6M9OuhquSVDWsjzI3ibOzuwNBPVSj3ezW05k3ZvgPUOOW00oxMFsx3pDmA6kssatjn0jUMAB
txi3wUjkeFtXw1c/SWF9Zmy0FofkrvPzdyTWlHZnqz9LH70sEs6lVhXWDUmO/COgusutmQNy6/hi
HDhLlvfUQmwCjG1OyTA2X/uyn0B1j+IQLUereqJ9PGSM59wfvXitJlDZK/SxwaZv2G4B1Ky2HceQ
rUb//0kbmXs0ofR9bSJWeUt7/HbP4ioZZx90uj2VLZ/Ys+3kFiSZgIdBQcLvMWyqZ2XETedoNnek
qMrb2J7rjRYuINfeieC7WNgsx1VDIWfvRa3cNWY0brOGcgZFUGNdmtzdXLJwoc/Wa19XNhEJLC5J
nFZgIfkE4MSwdhqdBkWX0HKOLkSFfdbOlMtNdHLB0uIA08HhrTDtz2TSitMYW9lrDHj32RvofTTK
kS+NV9qfI+5dkvZLdU2Wbjfzm3rs8ogF2b06DjijFdtiCiwEHRXPasDtQmO/vEcboF8jHs0pyRp5
63XZu2nxTjtgFZ/xJr+Paog+aY+6xbAsjYmihgzStM53bWFSqBIhXO+7LPXGB3aybHkt7hbrSrrv
Y+pUbANgLsBqqWik47NacdxOb2JUsyiJ4uodKr51g1ydh9gVotrYxhAEq49hX6gYwbwZBdeI5SuO
uDyEqEvQ+7iI38pGxhR4bG4pJmH3NZxRAZQN4V6RSLJyU2iscJyZW6/Yp6T+yrPV9TLcEDjMVpPz
UAjhp+c4jLuE2pdnVu21gW7kc2BU4nGs8vKdOID6yD1O20qzctKe4uiLUumZbb71SNAy40e0qLXX
rSv6nJpH0te7bqTi1o7SWRH8xCvQ0ZgjdMdUBck9pohoZh7Vr6Zl2rnobFDF8ombpzDYa0f2gDSL
QSbPujLift8FVXYJBzDFCAL6M3gY0tnSEJnyRyNhaMP+y9zO+V7IThNHaLR2ussk9e8lYjpvVkQc
DEQ2j7n1NodSfbNn5hakDxoeMFPUE0dx+QLgTZw+KgTlWPNj285wjhTfU0JrBtp5Vs6bEEmcvzax
TQh5FFfbdlT2GvHgO1ET4TX5Cs6RH4K6LS6njTEpCn9J6SU3MWEvW9Jdwn0GVXfVOXz6UDEWpE62
yDioLH/K+hbtfgLk6HslQ3Gocg9ZIJUrSDtW90WqiTChskbaEXYMBFoL1RGuPJI4gKONoU2qVcU+
bOPvumv9TaIgnDb2Qdc9zqgphSjqkUsWoaXkU+jfJx2T0qr4WaZV9Ode04KJc+a5CywfsYaffw6Q
F53McNwhLCezYR6pi5ZDrnJQ7hlBhLpgULMq0mQo5LSpYGXfOmwqd43BrM870n56DF9QJLNpO7es
bmhGIUUv313pct92mV1SZZDWN2TiUtBEvXd6ikF1PFiPQCOd49gxonIW1NcujJC8FlO96StuX6iZ
aQQ7O7zVVTd8JZEXMWBMJus6cfPg3vLIp3PN4oKmPvioza29xPDvZ/JEVzbGp03k48dZCacL7qM6
b6+toWMl+9hpIaxuENeX3SbDfbku7a7eeAOXhi7bHlIVgMKxrOFrAhmN0xkh5SGBlYij7G2bFreO
1PUuGRxAUaqUt6pZ9tUUgU4FJXhW8iYh46a04HyBBl2lUUgjwYOW9LHq4tR60Tm56ObAatUvY0RQ
7brJI53eAIyMdz2mfdY4dhJ0mrS4yWKxU2jXqVm35Mo4MyuiruEQz179lI48oRmwGBJxjsk0cYd1
xxsmncNs20PM14CaVgzG3KsqXK5dea861h4jZvUYQiZ93uNv78O62znYUlYxLJ8bJ7LNt9Dq9AlE
J/vRursNgBZRPDL7fZbU4b4MY+Os2/TWwdv8xcgyEKJjos9RNn9OTWf4HORTsAkmUnfd2RKHmUbG
ltDD8lYabXRX5C9+05ab1CFDPF5SfXX6xHx+bnsT3TRc3G0Sl4jlTUfeupNCFk6lbKl5vBkCNq7t
89HDpudeGWmCD69i5YXrEj6bZWChPbKQBc68UuBLy97Cc5XczbyDHWcv9One6ENNd2kATJyvD6Ut
3HZfJSHsnERCeFeAcVfES7GYZRzywGCis6dZEpv54lcHNBVIkPIVxEe6AH0zExYlnbRcOTHyQApW
Q1OuSC58UiXBxkPj4Ib2tSnXYKaaIzkf3aazyskuNhE4Id87TYON3JGPT9Gy/pEsHj009oB5ClFi
YuzdtC+TI2EWTk8sZ0mK6dHt0bmtIq9zyPxgL96Syk3Op/+uJmqQq6DPy+9SeDTJ0ti/GgNfWki3
w1axu6GUSsGYdX0K/Bw7hG61voPKReRF5nYh+VBBnG21TFp3MzvdQmBVlnoNYPtpMsqLT0PmjAVO
HA+MFZtrOIDSn/pjVWT5Bg3omxt0+JWWBPiJMDBXGMnOpu6xYeHo74XIjMVbZ2BN8suRb7U97Zmn
trOqMyyBHXEeB7vp9HZsokueiHzrg5OnwILQlGQJ9KJoCm8I5qDZMVI13lSu3ZEYUzjzDdM1/hoX
vtWtcksZq8JHopoVhnGVUkEOdn5csr65Hss3DNcO5wi10tXghgUcJW4Y4PJAqTeYxF9ZrBfay4/7
eGgunP2BEAiHIrz70w5b/T/2zmw3biTbor9yf4AFDsHplcxkjpKl1GDZL4TkgfMUnPn1d1HuAmy5
2kK9NxpoGF1dZiaTjIhzzt5rL+R69q2a79FTs97oIyE7UY/W15GcEzqOltczOEa08wvnisyVa+ca
QXNngATzNPe9Qu2tex8JF6orm0A7OhQUu28LtUgn4YYldBVLPdKfOsmMNZWW3HOZ9xeQcFrw5xLj
t8rQVcFa6lwJZQ99jjdaBWZrZhGNdc5UkkNYGfYhGxQN+7KMq5Mi5uo9ccRvNc16QRvvNzQdwzDe
GsBLyQFHWFnOgoKc1WOVqDZJi0l5k8riGUaAu80wln5AjzQyxmfbwZWuWbtYH7Ug1nLFD7PcfK6W
hnZry77+5/th/NPngxXBdB+xBJ2k9Yb9VHPVU4KRGUffPi4KQRZwW3yvDFLrvLEbWwwnuP+YZTIx
T7041brrNbxrZSnXH2qNg3bCl+AoUx5h4jmbWafyJG+XGUo+9+aJ0a17LmUqz5mFOqDDdcB8sg9N
4qpZlY2JwnUr7CK8M4QqnpHVraRC/mtH4Kt9CwWNDTicp/xRTZL08+uuWJaq6/jjkjHu/vO9eKOn
oZLnt8JtAKPDskyc+28ejqgfQ2TTbbbvLMZCpgLsEu8Jzm5DPDXI9/fgtwYPW7gemOiTCWnojn/+
CL/V2WRKWo5OvPWK0vlNStPNMBnqREv2LvU2+LqoOmFPfW8Z+K1jwVVoVCAbQt4FF/bNb94n/RBa
JK/sLcHh2YpYuMraoveuu9QZVlYx9SYB+Rol8PD05y+or52CX8phSK88bfR/3BUL9bYcBtchBpmP
8V60YxTuc1G5ZwVO4eei52iMl8acP7iK6a5c5scM9DV+InPEODGYkd9VZQx6MpJE/TR4fIxt1NUc
Jwnv2nP+ds/MaNuvDWkZ3UEJWwrX10//v371e/1qnkUe1f+u3b2uZBf/3+YZE93zL+3qH//if9rV
rvWXCZ1MhUjDE4CQCaDMf3JYIeIAKsN+Bu3Y+Y+y9++4HvcvZFr0JsWKd4HYw+P8d7va/IsGH0QL
/jW0rqQP/5t2tbC5/k8PJ++/LcCgIKnTtbUj+raNLFwHzcdk6+eFBn60YDggWQAdO5G+gAGuFOjd
cMRsxiRE9HA2pu2yfFLACWrYe4i5G2rlHPLZt3ODqSyaG+Tw1UIWSVTuY2n0R/YAe8Mw3DpVfanc
YevlPFZGyqlLHG1161t3Awzah9SBie71VarstLrBqNamQOVbTib8fVqgN01SMtsLjV3akKzF5yYr
y4z2TKevLIOAdfoqmPab8HZcmg/A5DfswYiEyL3aNy0vPfqWjG6HddQEifR95m7iqPnao2na9EzJ
/YLxrg/Tcb4KwQ5vx44MrEH9EisW08u8xeyE7jdgRg4kkjn0ChncUc6XHwlTTLcteW2bhbz2fJIf
ZMYEjnq8e5Z6ZwSYRx2/Nmu5NwqL6xeraXhuxKYrHZdmd59cbGxbm0KDP1FnTCHHag6JTqoHSomU
7FJXxVOZLeR4JprX64xOhVobWABMYxMlTBKJaZhI2MbCnyX2Vay5bPJGcSHOj4UktHdQMIDCUh5j
4uKMTZvdF0akbvRQ3RGxqvlmPD+a3TCjwF2/RJ11m643wg2bGnNcU7G2udO/FK0L+3EqjjUz3RNy
EtzihAxWi01Qa14HJuo3XEmWQk49lEd6eXs3dI8dFEjfybArJEuokACDEdFQe5Mk7BqXcz9NAUnq
xKwMxXzA5ZreExSwHFrNGXB+4ltoJ80MdILyNu2kChLTTYtMECqTntlmwya6xUn4uZ4QQTaKc5jL
sECkABq6byXRF3m0i3HDgWSBl5rnyjZLm/uqtR6daTmn+mh70YDxUSEgYashsdjZdfG8mOnntOnE
Lq1C6Y8p0XWqS4AMW8Y3LKocowe8I6sWPG8nz0JmwJEyunWrlD5NhKhDj6itX63JjoZkDHmep3Xm
odFT7fNMeUaHo8UCnr0spDWQQeLUW4Ie5r1ZUskvS0m5mPMsJKBUNnZUi328COQD8TxRsfO/ZZp8
UtquWBuW4cYq8cu01dzQCeAXrNCLBlZKKmtopA9St6Irsk+KwHBe1rL6CKKp8c0aJzpyqKKlTUr4
KkbK5FIMGY0rak6PpuW8IyxO3q+c5w26yOyy2I7YtO1y1Xak9zhpNm5hnloBbrFiYzIq3pYTbaRO
V9SbBHvoVl2Qc2mtg8SGfNkNilwSSu3UOmi6DP0kcoa9rkeHzhz0U6uo/UbR4/qhNw3uInLfjU72
IiZZqnlzJMxGNavEb81UfaAAwuZK6CBvLjNxWpS272LaJfYvK+8yxZhvwrpXj1rXjqYH1ypO/FHJ
CDConXEzdYVFICFphwbTpoCP2p9RcdJYs5QzB4V8V2XWtSKyl2SwCOcqHbJiG2q13iGp2F64n7Sc
6SzHecpEXP1OwCFiM/J5jpArdC+1ujvVSQ49OFFCCShbhTQvkBAadFhGtY1dAjqWMbc2Ap0dKkv3
C022C4k6N6HW3+R47nF0JtpuTpRvhVjmIJfLSXb2ORn5/7d2uRst3K2MAUvKK6gKBQLozQwTjMas
4XiaSJ4bWj7AgJe7ttKnPQa3yIMkraBp7DsfhOK8JgGjsSobHqnIklezbgd9oT+7DQAUB6aKPxBL
fUf+c0QmBfrxWfFUXjWs3823AXQVKsk5vDZlauzUXNOOmEezIM31AfJrjfi1y2r6HYWzjw31Q5Xr
ny2rPaeRSA+tOT06Y2sD9+Ecls+GdeghBN+77kDiAyrQuiZbgmmWP4RJ549Rfq9r/ckWnbyuHUzW
lcSsWlX5VQ7ltVTlTR7TjwmNGG1g03yXslc3iQulxVz6aidEn9C9JRUbtjWMchJ8YTDDeoKM5e5z
Gg+tEZNl5Lj3s5j3VV5qpwV7cTDg/A46BzQ6WSfQYZflvhlEctNm1jnV2IQmJZyIBnJ5n7UoD2Rv
YtYsTPLtgPBYXZOciKM6RLIBt0fjyYs6IrzQoar0MBvrU55NT2PYo36Y7a+Mtwaa+Hkc9Ho37qZy
QsdbgsyxsUF/6PLhRiXU2WuY0vLBx6sano7fmXpNUvUFCWy1HZFaUGOMHgsa+MZY+di7NWZiZfpq
JDX5ziAGDs6wSNYaXNgzMvY9629yJAx63EWIbeBqKKbfSwcLKsG9u4R8owBNkhHodFv8SdTaLrLT
j+OQmIdFce7nrj21WUNCsRJ9N5TaPqLVCgMFWaUnaksLyGt1tpoo1KNTr/B3Uno9kp/CgBTeajM6
82KUL4T/lN2DSDD1ZTyzSuOW+2lUEkgraNWcanzs6PzbvIoAcFKiynj6CudDSFkyMpyIkeXyklUp
nldjT8gc9n7frgHLP8A3XGWTmMElHRZ6nBWrd4Zfvx7R6ZV6aF6QKdqW/FQhlVpoaWErsOlfVPQV
SORLcZ3EsD6IOZbyB8vvf8fr947XICipwf778foq+UJA4PMvzji6v+u/9LczDiObBsIXBKsJyvIX
BLD6l8DL45qCgwDnVotT799Ha+cvbT1yu9BeLDydayX499GazBDX5Gi9KgOoSW3z3xyttTeNHk7n
mmGsh2twrTgZ3lrjMNPy3OatdiprMaC2HIBETXu5+sZw45ZW4VXxXFTnNNOUkY4yOb24rWMM/a0L
/t5OhlLXNlgf1u6jiQ9tlqz2ZB2cIn0lhv3QcnOelu07RrS1GP6pYMUFwQd2uLUqdTky6PWf/9Qg
cdoeYhMP+4kT4nQhkU7xTbqg53mw1etRIWfznTYEfa/fLkkaytoSoyWxgknfdMU4PBq10lfRiaH/
GX80voB8oHUDNl9EjepljdLsNanWn9yRtGx0zWKwxd61qOsDM4q16gCaknndMtjscqUVMqbUO2u6
ccrENrYVgGPCCQWHNV3DHyDCErNSq4Vyy8iUFoyWhShUGwlPzzenvswC0tW514o1oMpf6PToRAE/
d2WNGDVtVjk58r8h2hIvsvb0ybfTvRHov0PRItcIp67t+yDkzIpQOtHvpWbwEIwGnS1p0GmcheLK
7asKn9y5LEGclqBzB6lHpgAzU+AEsUAmTU6Lfq9pCnPExG75bq3EWqFwCryJMFWssRSJM+FK0etP
6A0xJ1jgIuIP8Nv5RICJjQM9xXh6kI0ZL5QyCm4CnWTI9qRXCH6ulwykUgCMwqqfdKPHJdGttk07
gnLAtNo2h8siSx27Qq5PyPo0qHmG3nHnkhZ2L3t8NVUHWTs0cAdJIJwfWgqXzuv1vFH3ALa2hKfT
IJuWVUKsqCS+3YAuYmBfyZJNUowG3z/NSvMZiF342M+MFH6EQrgj8JsNMR+3MTNc+DCE4URb2G38
CpZASfYUj3QW92KBLbDlPho9sRSrtTsBPMcxz+ya5W4m/oFBDn4m7RQB5ouPy/qT2OvNcZvVSPbq
FHEbhdFlkncKIPlhGK9imHW3iqPGk8f8GaJSBKAJNDFx5tsWikru5S7zy1UOTpFbDXq+RaAabXJY
Uqmnj9N8b6H+vaa5w+ijSENBhILZV89R2plX8xxZjxggtOtxqAlaNbLoWWf2uGd2Ihw/0Uv7uYyy
4WNtAKUh35BHNh7x8Q9wSRw/TteWeZGHoJD0yULhzT7rPipw1bpbPEerFWOweWwGaXN7x6Sw5AfI
MqaB8D9Sytwv+sYAsDwLJ14MhnJCActUoLTlQEux+H1O577+xB+L9DvMTgxQhcoE0SLE2CeAzXxu
9ZKoUwZTaMf19ZfPMyhiWE1GfttsxHWwJV6hZl/VebkAGPBSZnU1hkGrAkV7WnXpF1oUvAgKu/e0
TzD3WrssV6sTRgFEB+GEXS4aUiQBJFNMN2iDmn2PWnQ6G2XPrbernqswg8b/o/G2uduJmE7UIq6B
s743aedj79flfbYsivKo9PbSkKskFUkOInaagJMny+9SMKV5SIRaZJeQ7O79VCiyQWtgGIcFwgPW
oLngXjKy4V4iH6ar+8P+hsRL7sPcySeaciFvDznHiPBfH+RsUvjhKsXlPbaG9aXopOBvmUaDNbQU
FR6yHjcjtCwntp4mSmz9Q0pYX+M7kfaaQY9HNLYcerPOyvkAahihjicvSqafpSbHCDpVj//KCJ0u
+yhZITTSfMLFlMRvlqXl0DpUiESxc0qErZ5p/E0qj9OxbfA3gaaS2nWK8Hv66PRhk30z7VLXGfHO
TRRuC3XQ9Q8F+8/SeHqfRtYhLHVQJuhxMdQeYt1gBIdXEPmMkkTq52RaWkgkkXNdwk5+MgcUzTRv
7uwhmkYfIGX/MK8WiGw1Q/BgtL6xGiSM1SqB7oXTWLEaKLRXL0VsF+aewao1niuRAqJApcIkJxDM
18g4qeoZDGKOY6OuHfWRpFrdNwr1M3p3TC4QHr1sNX0k8Uiep5bp0Uvehva3KTLwjhD1wWnaOoOG
beZtlsvp1qrs6LNpDOW2YJPa0FU1Lmjays+aoGzWS5Vprr0UnO07W964EYwzmwhrg7lRll8ldZQ/
6CnljKu2XbAoHRO2Ae8PyCrQQ8VYfxjypTibDBC3/Wjntyzr9efU7eO7QeQ3o61O6U6SWxsQrIKK
+dV6A7roLsI68DAWgvAPubp0XDYwmGHNAjjJzQIYUrBVmxH6cm5zAE4Go7pn06mfSrOo4026tGXg
JGr1Mbas9dYWCWPUV4MQHMLpurYmTHYMOjeEi7XfEwmaJO+F2OtLGgVjruvXZtTa5END68LJM3Mc
2KxMG/QORbVz8mZeRWRGdbDjSQ8iU7tNw6reqaT5bMi4rp/STDLcBdNhHfAKacN2LvAo0VgJ71yC
i3ZKu2SBCZvIV1JlcYJ5tii84645sWDPe7UsZ5j+mntYQMEA0kT+3emi95t+TvcxjYr7IRmWr8Tw
pCd4xBTJr86tnw6fNz8OPz+nC7yZH3AkcgycWA6vrtCZI745Es1FRNKi7MRRWiV7mK2s6BceW9a5
cloZHoIeK9abYuDPKoP5af/nD/DbaVJAceA/rzM8IujWD/jTmawhlMXBqxkep44+Ylauso3RYBcU
CpKPVB2qEzTM96zFb4Yzqx8WnTXwM+vVq/5WbykwCdgk1bnHVwNkQnXW+NiIOOT8+du9Gcm9XscC
68B5nbuLqvnXbwdgG3OAG4XEqK1HHFuVbBrlVH8yX+1K//5iq6ST2wkeA3HurxfD+tIqEafQo5Mj
jqqqWBxe9b9K0r/nl/79JM0M1AEoytMDXe6tULaBIFork2odjdWTjo+FCdfowkxcraytzWT9z1/t
H66nUQiRjAUoROD5f/PVHJqPZV6Y4BPj8PHHHoi3jC3LLFfVVJvM3N4/X/P3ZwSdncnXVMGL6+Zb
+3lVikad8sw69n0i9+OoGIdJG9/zOf/jVWzNpE/HwJLK5Ndvlof6WIakPhxxTsn9nJTJjpiu92bD
/3QVCkrI5aus+bdxqNWBaTQVvsursNlKVs8Wpvd//yuZBNeo+OhZVrC2//pdMkK5EzA75lFfXeaJ
jPlNhnlE8vpq2uvqaVjeKel+Xz5Y03mZ+VqgWrjsr5fElxjONBvFUalC60kDXIj6ceAo0ueM40ug
dviG24XF688Px+8vtgOK32DuqRrwPt5+VRc1DTRVUz9mPS9XWLFMdRZ69CW1nHcgHv/wFXk4mGVx
Bkcc/natsunocalCP04yLvy50KrT0iJAzMWqL1krOKK832O2/NP3A/Lj4BsxmaC/HZ8NdCyNmLDP
Y75a4csCUXKuOvGOQufdF+11SP1rXY7F34Y2xRjPdn5/01ZVo8rrjBiydR0v1QoTOBUI5QstZ3ld
pUjj0Q5wTJ5GznVI6+b2emiGKQyY8QuKiwo9YKS3X7FNGpw6lxJ5rZNZdf7O4/b7OsTs0rBXOwIG
Ae2tkwMj35jMRAEe9QKFCCE8Sf1pJZSt9myG5dCL36VgvJJ/3t4dhploTohUxaT8ZouOcvolIVvM
UXEUzrqTY6zOcJItvzqS+YMPA2593umpXzc9BAAs+yAZXjkhGI3xnzdRv6z0W5BC3axhX//zq/BP
92Q1JmEDMfjtXmUCP+3g4PHjBYaXeXy1sqcq4yUtQgvb5kaZeGOjvtfG+e3ZxLOzvg20cnhEgT39
+s43EG859M/LERyYeG7hNKTevNIp2Fipxv/87f7pYvSNDHQkLkvN210AsbSrRo07M1hCuZqWGWSA
1qHKMdWacvHPF/ttmeabOXCDmIOvZ7G3GJJijWxuQ3U+WrR/LY6vxGhgjY+pEv98IX1Vh/3yUOE2
wYvEjsCXs+iL/XoPcyNOJqu2RzZwDOY3KjVc7xPX3mUPIUzV9lSnA50QEQmU5CNsTyoS25AMjNdt
sGqmCz5e+gTKSLGEnG+BXoKBcY8XlVYWXS8jUPO1+wGCieJ4RBx205UVxvV/uxBbBJG5yJ7Y1/BW
vT2JJCU4dxvC51FfUIi+8mEKRLG7CAvq9s837bcHnUvxDIhV7oDF6u2a30Wq3g1TLI8St97B0SEj
ELMKZ1UBWnkCyfxu/3DdvX76lZDUsB7qvPpobPD3vf2VyqUwtEaa4mg1k/gGYms4ShG6j68NEctu
6eo0Sw54dpr0d1Y6/e0jgokaVZFlkSu9qnzYA359RESOhBglOyB8jU7SsiH00sra3WwtvaH74xQ6
L5aWZWKDjV1rr19BaaUho2SvdwyqPWDS80XtC7qIS7b2axppr+f6XvJngmyMgyyYeOx6/v4bu5sV
wk6rMSGGFoXBmoGOjfbWTFtUvOvjlStsBru5k6SaD0B+W0+32unGHCdaY22IPPOU0ThCId0MAC2c
CJHnlQntSm4grxa3I92Ga9glCjO+xLqpZk1ZdpWNT5gudrl4qt3o6pm2NDG5GH970l9B7Z67DOAj
8op6GTcMoRcK6CU5gmjXfDHkZk+2pBYz0/H6hvx1et/qMFbPxpKupkU8+DSP+lrLta8j8F6a4krK
++KCV6AZOkdZfDPME3+2sT9XB6uiRYko3w3jvTVkFCVls/BPl8b+z+ETFimdFzdfzzVNzbuGQ9uc
v9MtBxXMnE5SuM9ycrMDo6bpUk9LEd/gA8ircxY1Q3fbIq8vNgj2ebsrraizSwV8QdvIvtOaAMEl
0BMUOufIsqrsYtda+3VCZbrQ4U3N5Zthlb24ko22tqLGnJ95UonBCvjq5rM58nHvanyDKCEBrp0H
7uZAR4Opd5DA/ZwCq565PH0QOldgcmiEO8UMCB97EH8jw/oQz8W4ptJPKZCCiYH14jfZwq7lqghz
Gy/OjVb/UI6D2V00BliwNXhc4hvKRcQf2myPQP4Zrx2GQRLEsum7QfGXeuUYWTpLuLlEPEElLF18
VfaY2GcBTX88EMlMjEg3aQjWfyAenLpvl92EjkD3UD/SZURfO8l7rTRlvnMSkwesjHEvXiuJZG94
PQfQs+fpWyKLVkNsIXI7knZlzCe82ZPDZHyupu9ut4Q3DgnJNz9acGbe82GMeNLuxQrgScI4DuGz
ttgef7xWjPtI+lzfmdE2UpLJAd1KmvPwbrRJixEZsis2ZBAiXfalZfIUNY612klyk/uqY6JnRJq2
/Qvev3EIJqxHNz9GM5ojnkPTWA8Sr+HBTmXj49LStRMrac97dUr5Q4wMHfjX7c+2epqMMb0r+2za
zCM8Mu6mFIZvprYnlPy8pkWtMGnAr8+NFeFAWEbq6lFy25YNH0RT6Z0Eda63l3LRmukzkUkGlKLc
NrPs4lTu1F+ZU67dW2laCka2YTJ/cxQmGVvsmLq4nbWaLnA8czY2eP9Gu2A/ZgyAoz6mW8CzIpjm
YLwSnWF/5GCeEc0OS6ZCLpUDbCWyPAyRRfss4SakbrkmJc+5gU53Dct1PiUCP8mxUNWJVhsd8s6h
QUamejr+2PH/Nyd9d07KW/PT9vu7bT4py2/tWw0iMnf+rb8Hpe5flJkUDoxDV2/wzwhR+9X8rlrO
6yz0dYb696DU/Qt26CpapCVD6fazBtEAIerCw6WqIwKTv/lfDUrR+f66f6MYoQjWgduupaIKNPTX
LdRAdVt0olRPpapUcdP7mrAUkB9kxSUdAJltRt535c0GgSjBpNDWQcTTGd+mCWiOVyzoCQidaK8m
NEFuhSAsXT5OiPEEYHpOVxsYHi+Ro0cPxdTbaI4s8+MgRHfVqFF3A9WEcOqkSkl/BzhlE5TEP/QH
a3LrnZLG2V52aXmy02nZ4xa9zWVnvCijCOcT0yhSOoSld+chdUX5YGRhb5/bpVlUxEXW2K/5yEb/
NX0d3urtxGwMiq8Lm3+Z25ENv503hlQNvKJG/wm/1sisqSec6yozEnM9CxR2HWT8tneoyZAsGTqe
wm0NJ+xBi2eMQ8y/Fl8mKe1VYcEEs2XV3Fmi1w+t3cU7fUq/5pzLt4mdIJxSmyRFhqLrOwCK93Nm
ZDdWygRzz//FuJqxhBUbosCSfVcanfTwHhrbTlOeJ5KfPEdNi/HAbsFGUbrGtqH0xxDlxMOGPmFj
bhfKzAsJXeYV0riJKWZva4fedeGcdYsbPi6FY9/Va6qT7GbdOeByNpRN2tZmvkbRsTLbMkyfhlHG
WwXNqp8h4ece1IPX9FN5tNwqP3U17BCyzMZkPdmEzIbneTx1fRc5vhLV8RZB0XJpykgk6i6E/bbP
NNQfnaRbhKhmP5NvVW5oHhEOJMImDRxEMHtBHNJTvZCg6JH7vdy78HqE10WjnewFsUv5YyKdvnyI
CNkj3aFnj50URKK527Y7ZiOz2h7iCLYbltzcTLRncjigaWUwDTzTzOEEtsLXm1pcL/iUtpMaYtTF
d3mgd31x4tCCHE6kSpZVYwoEjKALQTKvH1tuh2Wyax0PHJGReK2pj9t8CQdfTk5Nao59n03mpjB1
Yu3klTk7KbIy6HVJtcYRAVUyM4RORXi0szIoOZk+KEp8O+FP8SSXCaIFORlW6E9EvULFt5MwCIf5
jm56e4C7FW8Xq0nPTaGoh9oUWdCFjX50Fdb7jOPstlWwzRVkpB0FraRgdKrkpOTzclAbXk3dyvUH
d9Y/lx2RWI0W2V4ad4ovunQISKbquqNpELnKqewFsmR+lImITg2Tic2yEB9ONNSO8ZnfiroPBGFf
GQPGTVIopR81iqtghkpjIo7jbyhPn7A8AxBn+gCbQiUnT0iUjOBAxg3eguhcruFSdEDrXZMud12i
tJ5GRrPHmCH0hUy1Gz59ekrNWQFOQ5/9gMCDSNbVhekQQoPMLh730HoQXLJBQqfv9lXTYE0z7xoj
v2ROcl60kHNpr/qpvtwjbNtVause7Wi8kO5xoFAh6kKdt1HK3Y/QFTqDeGgb2GnzdJXqyuS5APYD
WefddggXZMKheLTwHkL0JPRZK/JvuVClp5ejhWk+7u8SpbxyGk3z3Y5wh4ax8jQnzpWocbSmEHQ9
1XE14hw4Dag9DvZikiXD0WHk2apbDYAcIxjOPcQMxW6/d2T+ZbEBzXHId48Wy+Wxl0zMJlSk17Hb
pXssCIR32Yl2G8XN7ZC2W1IBN85SldcTORTP+bqaZX1oIyBMW+VU17q4JHpjHQGQxT4/GEeaqXZx
IsZPqtJynNGn73FXkBBnt5QokAM9uMGzbzK4PGIKMbYty/ptZ6DzihbLPWSpfQktecsYXA1YJkg0
SpXR9pHkdR9ZV/qNPtjhAG+sS69THcx/02XdTuWHCtSq6ZlomfEFHbMLjEpF3aB0pBQVn9qInDhG
cngqi6Bsmtib0tr2iGS4kCXA6oJLDPxJGqQGKHwYaAQriuQ6M2J2hyb0MUJD7E+7e2SlVqAXS3g3
Zoj0lEb6ALjSB2QtD2bkMjlShud2cZ+sSD/oPWLmWuvroMhzNO36GLTEiVRWunP1FDp82ohrXYua
3ejILyUs+y0RFe1e7fT7OrQzHuCMQUIR58PJbEb1OtaMC6K/c97Gj1amLx4oMuJWADiy0m4xxX8m
S4rRqzD9bF1La8W5cVpj1ybpdJn46TBRDlHjs4w6n7Mw0p5y07E20kB8FykIKokRJxBhIFElO1Id
d4E5NPqJNGPHI1Q4YWzuklSUzbmzw+e5HOKq23d1ehySMNt1uUoouaugBR8UskOy3F9CFzsebkDK
QtGLL0Lh9wI4pzjXM3lrt3EhFCph2Vzl/ZpeNg4k2qRm/FJPlvBHvQenhfywHPMHTQz7Mqyu3GFh
Y01djPiyuxvog+JmKr6g79u7zvxEFGm+Hfg+CAeqzBemnZwG+JiITbRAxCE5lxEZHdeTKXKwpyH5
Oj1V2MlMzCiYkRZ7bR8Zn4hQqy90j7LSUxjO1lvi2XG3FkZ5EykDOsZKxpbfsa/VyVjuibdLN8Rh
10HZ1/1ZR9mJykOneEH5SlSa8hAr47o9jyRuWsjhHfN6hJMDwy0vP6hRPUwbAb4ySqDKpv2lTNG6
u/gCjtNgPIhJrV8UOSjRPizQRgQmms0Wwac2Sk+Iah727LP6dujcL4Uy3GgxGLBOjN2lNcubsVQU
Ckjltpjj/gMonI8tqQBBP1nVsVmsj04r8vspIaZEQfxC43IgZyJvPrO8iv2IG/U5XTS5RQclDwYB
TNu0GuKdlWOecJw68wvoaAAwhk9r4tq2VB3lKkKt9AhCAtrk0Drfrd6MNj1jfM+Mjfy5cuz5zh5h
tmW988nITDSuTmE/2vaSbBRypXwQCul9GZEhNY00T12bgAXDAKwxifUl4gdLPWMysoDwCRZkl48X
UcFsi/RrLbMXgOf2xXXL4aPRDkj7+/ga6ISJsZgtG/+Bhh81kSKmKJbCI7g6P2EmrfZp3xPo05bR
labn+y4LM18x7XrLgKO6II7ABwC2oL9VGsPZL7bVfFQWd19183RPXrMINDchfMddsuRcdt3XJnO+
sDrnQYNkcUMN1z/gxzhZJdlVtYujnjjQZAtggA2C4noD4ZFcDJT2xF5VqY7SAkAfCTwNauR28eBM
zudCkNs3Vtq0sePmC1Gjmt/DTtdu6nrQ7lggWwRjvZGTdNuNMZFWZYSuohAZm1erlJ8aJoenyJrN
gLyy5HH1zM+YqHNntQ3Pxl0RG9oLDRXrBSkvcuSlw7wRxjjnaZtv6XtlgQ6wAq0TnnfII0e7X7CE
IMguDR3JLqgw3tsS4N0xBrJacPIA2ZAMUYyOWaMveZJoJIIM+vydq3AQ1a44aPlFOTxKdzlg4v3K
GMvatVrzQhMFDAozMygM0SpQqUi0mkzXY6Pc8csdzVSADKWa3eRVlXqT6D8PnYA1sNTkWNZYDMwc
lIAE+Qj9r9rH4jVqsAYY6mj53kBs4MHDxWetjttQGtdpnBpIhSy5y2vLOSVxgZSwY+aUkWg4L3GQ
D428gCwVO1V7AeHJoQlNxDYtwgc6T4WXk2oYKsKAF1LXm9aU+MbTEGnBXG7tJt8vJc9eAQTDY7im
+RVwaYhKA5lGeAYqmZgeIsrBaxucmUsWfx7d7kzEthuoDre5cOsH7KnVFlAZ6qCkOKEJnzep5iCk
mzgeom8TOWCTmn0xrw5VJS4uApOdFRlf8rJ/QFljfoBtedsV1Cp6Z85EeNJfkHW3qcVM1lJtyitF
TkMgF0V/ZPBG9Deozoepa2mi6Cnb3awIBlRS8YwKfUjMUNXT04ruWrE8gFdBFYVWy0/gC37NpLbR
JnuBIsGTToCKN6uigCvihA+2lp8BO4hrKWDN9E35nQMwNNC43WrI3f1YyXR+0gG5YxsHS94XD1Kk
ySYHBRPAE3K3grhXDt4OQEUlzQkEZoGZoSEFkHWba8sJX9RWRhs3m3Agj9l028zIId3W0vw5tzn5
aNjE1Tq9Lqe5v9bVyi+qBqJuK9e+iTpfwyg4KppDkq5VGb49DMhDXHs8M/n9WlFz5JrySXeW56i2
drbW9mdK3ZmbkaGuWQ6hkw1blGm7PP6uOA1pWFarEuiS1vsmkzdNYpzIMGSJjBsHSG2iBnVNiYug
ztgZ3bDTK1OjY5We4LWziaYqUBnnwbRjwzOS5Xmy+y9hH71UVcbzUxm3fXdlV+FDNSydR0kVfVaI
yUZNmx+6ZFn8yLDPi+s8OTVYDtetdhkbpKdHTn0dhjpkgVIl6VPU/8/eee3YjaRZ91XmBVigN8Bg
Lg55vEkrZaZuCKmUognaCPqn/xdVpe5W9bQpYG5+oG8aqJYyU3nOYcRn9l77IUe2H2oq18Ouhxe5
EX6iQ9MgGI4o+vvebYmlE+ROci3kMb8ut0GLMKZJIab66ij5BH+aZfpuCSziJLbPm9QyFQE7NnAd
jH3lW4GWv95mmVHeuLYIx51qq6DIA0AfmamsHkaklYdBmwBY567Y55mWyLAxpZ6GNciVN+zkSPUY
gNLoNO2HsV8tPEM6HKmsBSSptNrbQWXvyNROzgCI3J2s+udZLgnriuAu8Pv8vso045uTqf68pBnM
asuXB7OY17ijeN45oy2f7QrEgi/Nz/Tx+ZWYJ5r8RL+DOzCExBMkF4upXdijYr8yNibSepmmvUWg
ckRaWr0bPFvbdWw2IsCpFAEVyGXiDaME7SDMIXZ2YDCTiPmGxopLv4NmgMS4ya2tmRbxnYtU+OAV
8xe/ZBRfmh7C3YJXjML2WuFvOsh8PhKZhnRxHG5I8NYw7xQxqgg+QSrIotb30H6WAJZxHVeUQnKJ
RsG3VwFME56dBGQwH9dy3NlmXjEdMEP2KPkurfXiSO149MoKtXZRDjuOKwdnE5FDonSqbQFFKsc2
T0PlP/a5BsgUI+m1tab8bQB2TTVt6+LKdc1NBNm8uc0qOFcK51sjchtzIvaLXpShxtgb0KrZAhJS
OvbtIjsoYRuhlHhbUBPq50603UnV1rd26a8zSqjN2l+YS3YzON2305KU97nkbcTWxfpZmFujKMZQ
Q1m2cclIiwSa7vNo5/eZicBR1OU1cb2PtQ/UlBq7DaeGjz/Zp7vK0PfJyMyj6Bz6GYyTu16wVdAQ
byJ+7N6XukFN2F1nZvjQXmOm3Ba64JZey7TIkyX0fjN2ZHnFpBG7lgrRF3MqO3p8SOsCTbhoQMNO
82nkSQ170jI3et9xRjqGjCgCvwxe/iXznKNvt/cT6usjkd5mRBt55oj+2MRDtbP7aUu7xSeZSX/Y
DQraBmzy22L05t6fRkYpCxcvc1+U28YjPJ6jn/fbZQC837YAjGh2luqltTVGJ+M4+ph/jGfOzkdz
TmZ+I2K2hDvSffkjUABawk7TN8vSbHqmApERZ+Mp9ZlhO3b1perq4CFPNN5I39m3Y4svarKWD6gq
7r0l6KKpMczIUvquUw4hfFLmbkixrEVQk+cNTU7+XMbpu2+0N7WYZ+G7ny3DZDL+uTMI6uz8b3KY
G1rdDLKOQTypKoOozavQAC0ewZH41nSSRAFNfEpbLd226/h/hRoJE8B3sfgr7T8PkqiqmAekxkLp
Ahwpr/N7mXJAh6qX7hQ2ADLvyp6ET426njizhETEEYcchLhZ8pe4yRG9E/OlN+22UlMl8Tt67Pbd
c1MaZ3BeoZtP7G8mUfQ7JjmocIre2YjF8Fpu6Lnt4YQtONNA7wQbbBLEShYtSxBOtY5gbEM6mN5S
whc2E1V596zBVFFQ0VF87qQmRhlarNnqs0ufALC/NXuQXXZgtOam4jVy4oa5Q6/N+qXHBvNFickT
HYStQDG1+G3l/H89s9+/1ysBVv33+o1/pbjgnEu7//n5P9Vv/5281+sE/Kf/AJCWdfND/y7nx3cF
2PlHnNX6N//dP/wdRfuvpvEQ+FAI/GPX0p18T+qfPUu/fcnvo3gcK78gTWLejbsGYcHKof2BAzBt
UAFETCEKQ0vH3/qrZ8n9xXRXxxKOHA/Hv4n44q+eJbgWCLus7wt3Vw/+zCgecc4fJvFU3mBRyBpb
d9nM5P8wiReqxw7SB9l9LgLaZz5NOjWnTIR7F5Dvaz/Y6JzUvi5A2u1gWODB4gnI3FDELKWJhrRc
AzeeICxXdawyrceUJM5ienF8KJB66MJu4hmpBNni1NP3ZCPrX4HXjjpWUlVlfiiN1Kfq7I0aRHuN
rc8f9nVgkwCRtvmpBCb+zUpA12wC1fpfNHOV47vI2TxhUxzXyYJd0CseYcvEe/Ijl8gKCv1OiKwe
QmyAfc9oC0j6Zikaya7KsrUPnq598Sc3ZYrKnUvj5d1I4MuOFET5hcl3dvQGp/80Eja7xXeP+x7o
VfooPV+kkaqn+X7omWFEjTmWcms1/MYbv186nxDgomEhm6bnNsZRNGQAPUjj+5IxuvqgMBbnN4c5
MrrMxrvLpA4Uac4mjMoFzVcInGidOAVTQLGvdxn9sNN1VcQ7Mb/GMyAqTQ+A+s1A856QRsXBBgM4
/Sh8u+GYuXF6XsZperUpopy9y4DgmFTWsA2YAlehbuQMOzxwuAhuM6t5YR8uwyRpcxX68GRPmqrA
qWsO+13asgWeHE6hnoGCzUciXzLuQ4+ye4lyRykMDpzVb10/t+49v4lJfy6GcopYM05RpvcUFDpa
nZKNyjdP4lCHVSkOKrP73ZhYeFXaDDxXnXoP7WJPWLhQRUYm5qIH4UJ3mGsGT3rZGg+YacZtNZDj
HNsk6G6kdNyvYxMYEdCH/gboglsonesyxUcK+RDOaKU1F5vAxvmqV6CfmpMp7NFvwFBVikR7Xghc
puUAWPbeFm1aHxfuAeLDLRxZ1YbO1JWbngH+ZYyJeso2aUUylWBoRx8bgfHLqKsJ3uXWMAbvqSRo
gmQSjf3RR8BiXotNWenRjE6QNhM+eRkye/QUe/ZE1acVLxBc3CYhKrP15gY1vSe8TeHPpXYZHEKG
wtif6htEv+wyVF16duNq/ExoBVeQUCPoDeRc83FK5tShPDYrCTjA1VM2HbA0Dyj1GGh0ZHSAIlsS
rQO5Wnq7KskyVtszaIKUQFcMFTIuebJjn6bHamZKIpnX/Rg2cTMMl4X08BaCJqEZdcq7GTXwU41Q
rzS5kH1SBck9yvhMhbLsS++KnmK8FcrR91IwzE8TKyFT2rC1Icw9BLWF5mU3Dff2sBtiePG4SMiY
jcrCH19N4g72hBu0ycnW1SP7iXx5CHrtV+YoFc8UmWZTCIxkdm5dbSms/21K6EjSz/XrFNe6vfHn
PiV20zfxfceNJMhVtzG+rFuL7sBJND/ZbYBpzXTwZ4dZUWA6KnSGRsfvkFmrbuS3UbM/OL3rX9jD
qeVpECY2s1GsTkMJnynyG80gw03p1yXOzQe7GlcwnB3k5TZPOM2cXq9YTbX5fpks/8SobhaRP2rT
dPkuj/YsVaGSYRK19/1YbQsjiUHE8l7V8P2XPDIX23rQmlkfdlZPYLsb5Oa5dmlpcQLgc9KyZvXO
rWqIZrGzSMefx/ss7CT/Ilsv/5zrnfbBksXwpvRpkFtZ2zbPmj0NkZYv1rY0XK07wjohH8XqGeS7
qUrkmb9g04ZqDbItgErNDB/JRx5zspXmmChrbc9pgEMwiMQTjxQF2YSroxtwZcJWZABawsAbxAGx
JWNC1eLAObrWVdPDx8O38Iyex/o4jMuLzUcYh853F2FQ6ebB9UfvwWV7FiVdPDPqStsj4Sbs26ql
M7eF5sAsrFcnWhUr+0Zuc08kifRK4zrKur4SJsDU3G9r67XtpleUiEOwIXwA3Y6R4dEKh0HvFPvV
HOVESUl2W2ZDPZYUejIkTXpKHowJPR8CVZsd1nwoLa8jpicEaoo5AXfO6N9sX/yOaPu/rpTwRMta
1d+6n2uj7/XOXwun/5/qKRObxT+rp27vX+RnJX4GLP32Rb9XVIHzC1A/aP+IG39YvX9UVCtgycHp
4fpoFVaVwl9M4BZ8JZSjvut9V1L/rQlc/zMFFHuzPxRQpC3qKC2pEXB8O/zDfpYy8CBp+pqzfLHK
JRjS6yKkadJDWXabz9UFQ6Y9NyVbX/qZtGfiA/VVjM+OL92jWrr4qSj9eNlU/POv0sjdO1Mq9zIh
C2IbjbaPh62gVzctyfKEM/nVVmV5k77X5tFgBv2OiOHsZqJ+DgXrXYaY0Ei2DYLvkM2RdSMMzYEV
rbc7ffDLeyH06r4bx/4xAGTLrAGt3Uc25eNp9RX1mwm/06veEoHW66mGlg7V0WOR+uUjZKOPEJWg
9OAIZrDlcQG0zvKoG4V8XF12O4vw1Lsl7qatNlrdSTQBtRlW3xBO9gTHxmZBnIm2eO5ZPH32vLIF
AlvHbL4XVFfACtU9cv/0pSXShsuD7LrISgZzF6QelkKnTR+dyc23g24PCZVQNV1kMpoXv1UfyiJD
yWSQv8nqY0CGCdB0ea66XnAJTV/ERFraxhoEWzRyTy6gpQBCVI2jPmEGH5lo8x5+KERe3vxxSHda
ly4nWSK6obCw8PcOvreKvJhu52QU3JuByg9akdwxOMl3KEUEggiODUVJf9DHerxMadVfKs2AMGeU
uDI5GuenuWv7nUCEGHbs6e58Jr6H2Wyrq9fq48VW1XwgtdX6nNsWZUJgdE+A9IqJ2Y0mtsTXsSST
KTKKsrH7KwIxfdcanhZxxlYPkIutp262uzfEPcW32VT6sznAQHHFVN0BddGIyPTw6+ndK69VM4ft
VAX3rfLLV0tmw87wmyqqOlPfjpVAmaw7GpoMOX1tR6XujK5BpDl1UwgcFVJyzgdnvWCD4Ff2+b0M
W2mwP9UgexThxAh8a7tV+gCjSCedIGg7rC7lQmxFzdQIYTyTbvvzYA7++btJii6ludnSSMK+0hkb
mAs2Y5VMu8nQYCsPWpBfuPTsQ5E0/kGH0PieV0l+T3Fe8ZlKljvh5E0DRjbWfmXsCcskTpQRbNrR
ZceKU6s/V5nr0Q+m6SkTsthgF86jVef2ysRRf5FTPl3cQOjb1Fb9NfMaZ0Kh2Q4PUkuWN+p606HM
aqZzQ4n2HNjCufNbeyP9JtkPg1fdZxhBH80hNbfCsToAqwMkJD6TlUc92CIHTPFiR67qPHol1m/j
JvPd+MgsNz6aLKuOwGpUsWG5z+wzntoJ1DYl2keOkeZ+Jp/nUCWtvh360tlmWqNfvdSoxj0g8ib0
2szfSvRBd2VSJncytc3IbV3rU5EVAUpehvcvKk7BGU1+Pz+5rrCSEIirBtnbSA+OG5enfhmqinod
Km44aK0z7CqKEezJuH3YeAExv2lMfT96RtXS8rl13IR228acJFmzREtZfy3gTvqb3i2nq7V45cxb
42QCp/mgfUwGBR8zx/FF6pGWTDgxyJsjsgi89m5iukGfCOPtwSx040WquOpDxk+yaXeFWzv6dIVn
508Zb1wC+8zcSXjLZRAm40w3iL6mV/pTzFxsdj8kXtl0j52V9gOCDcxX1WlpoIkRUO2jkWgiezDF
+CTzKfF/tRMRpxV6rEIfnQ8lUsbW2/oNC4yd1vdd/nX2msagaOMtklxcDAv+Uwf8q7mKpVvczv94
rnJ7Hz5//bkK+O1L/jJX4aq3bK5dYpwDzFjMNX5UAesM44em0eTex0TrwXZ08CasNMbfBymWwx85
LrmhPpEV/sqF+TFH+t0ezAiKARUTqP/FLvz3kkby+NYfg6AREw6QjHXQ8jdun7SjzK5kY129WHkf
59F2jrNlICxylmLtBQlvYOxZn1wjaA1m2y0r6IXNOPL7Yt+bqr04sd6brzA7xK32CskIgS0/GrKm
5djopT1/tAZ7eO0EMOwumTlPGqxfYTD4XIdNlzNWddMKzP84G4+9peq3aoiHuwXVPO2TVo2wmhfp
oTGEtrXL2P4ePJkznJSCmYLXzN3eRYBfb5qUC43BAEpm4Pukadrz7Lm7dPLH5EDI9dJH4BfIuOgL
aI0sR8TX1tPaO3LghpLhcTndxXGtmEUjYdQj6u6ZHEa0BN6xnqW97BhKT82eZ5U/tVYj/wl/4nzf
Egc4HyFVoJooSbHVTj7/QBwk8UIyBw9yaT2YLKoeApq7xyUXw10LkYwwyaKL8OL4BPmpGnL6KL1D
GZAhG+Z2vSQHdMrTPdWNqCISKxB6XS1hfgCr2nkLuDLySbr2EBtO1u/L2GQltvc57pKdJzEzQoWE
qlfpoSB592aBBKiMEFardrSVUZNi0SQtoo8cI1gFXS77bfylmsIGKDAIfBTy+4zMd7J4mG4CmFgA
aqHIZLBpatbDO449H84cbCForkC88/guNmaNRpmsvjF0FC5VXsx+8LoLHI0hjbgHSG846Go04rMp
2QtFra2G9YPjLYdlwpGw06Yc/KMgLLYYTl3X941+M+Yy7yxknkrRj5F2MppIZV+TODXN5Y3Dda7k
125su5KpMwCNIn74z4H3fRz9Lw48GLGrg/kfH3gv76r7r48ZLqAq++nc+/0rfz/3PO8XXPNY7rhz
kWnb1l/nyb75i+uYmM85QdYDcR0a/zgG9V9WTxtYWTBXaxNEE/PjGPR+Wb1bnJIrfXadOf+ZY9D9
ng32t84sn/QknBHAPg3sZ6jPfz4Gk9nG/JLD+FBAH861XzmMCMxGnRHa2mzpV+Oe6C3jUZGgDmUB
90Y2sb7XjfFA6iShmDGKasgXgXxilKdtAmAhHzO/K/Yp/id23KhuzvXktDvKjE6gwUudo4pRi+1I
cIqBOWn2SJa17xTIJoTjRkPAIMZpyunQxvap8gUzBDknxFxwYnwwKgU7dXBgUwZu/hqM40dDFTHA
VYqJD0s3QPIci3mHeE2POjvvH4i5NU5gmkntmCq14la1YggXLW4fnbnNLnyJ0URS94Z9U2sPWdzk
iizDfDxIAqCvyzhXm0lZ+ssi5XDOyYR8Zr5r7aDVpWtn4babYFl/c1SFamuWbkaOeF5AbHIGhpPj
XD4lqQMe1ZqYHSr+mO7OOAdG9qEWtQNLrxuuvj3v/KHoQq0lfSkZau4IZq/dk+C4vOdgsR5ivLWU
uK60jV09k2tgF762IJ1lrMw82N6aiIc27twWEf9mwUnd2SEs63JNy/SoUK2XXpASZ2TpxbNnc2/0
6R3wyaFjjMsMMvKohdkvj/aGtIDFvnSI1WJylpkB+S5yhLjsDsFYAQEkTCHfNIxtthpCBxJEZ/IM
pKoc3g+nvzDYO3S5/pZhAop6fpctMR4f42rWT8EoP8zQd8Ng1qtPcsznE9kSHixjP41I2t0mRudE
RZ4kj8quLKx0HgRJqsD2VlRcyrzKZeoRIlG7uJiUey8sLY601BveYhmbD/CN863DSvwyL807WqwE
BOe8uNu4zZL7hfyo0xQUBDq4VmjRGF8KV8RIQNw4gn4cPxhW98rQtwodyv5jSkGP9KDTi+FhwsHU
fmYapz7pY9t/Q9FvPLhl45zzpLWehLvevg5dJMP2FlHhUPKSjch8r72pfxqZ2d20xiReeNTf7ar8
5I1jDdTYqdrjkDPQK4CU3qFoYTtbytl/88lheCbhtg5xsBZbt42LPlzKvi8Put07+Q6nAr1bUY3j
p5RFih4ZM1nrjF9bcLcil8Zm4V3eOl5XbrO1sXsgFAkFu57ql2aNSUbzOscPQ2Pej47xtqjgTWfH
iDw4AJqmk6wWuFlDPiwaNbkfuP73emK6L07sPydx866bPcIRLvNmi1pEPzjFMPh3aQHluQp8PEmp
ax4SzpxHvgMrDEulNwVtkwJxhECBXpoPM+PRsE/UaF6JJ16SvR9PkqZSNm8lPVP/iA8BJbaudrnW
x6xxqnojW9Fc58EaIhY0067XA1htVnoUYhnaBzKO/PLQo1ILCDue87OApsQ1r+ie8PjVzlVBFN16
Vp0eU8Rs27ZB4Oh6mhYZqMVebFnOzqZbsLpA108AIe2FXyD8cMlhcuKZMAB9Hneg58ieAqvxCq9r
jsq8Hc8+/bpd4Z1sSFjqNygyuc9l7jywUcAS4oph41L2hISQ2FAyy/aUC4sRM1f9frBVFg5GmVzR
w4y8AvkCx7TQnaPT+fI6MSr+iOo07YtzTyoVg3gqlk2W1P4Wv01J7NPZnadXM57cqJbKPE5LvGwd
/tYZ4UJ9NQqrzVj2axPe5xrxeORgZvSOAtgDJ5VsH8hKsZ59Bw6wC4A3Sh0jHcO5WeZ9rMU16N5C
iDeW8P3Gnrzx7Nho+TkgPhUCyVo69PhiHEBhO2b2a5DtcCO0ff4GCgy10OB5O1jgqNq8rOn3U6x+
tWO3jVwvpdtN3cpYgeb9MS6BFdXsWy5Z0X/iYnF3ODhQDC9MuDZFXGvLpmvGEaRwmXW/mphciq3H
nOpil3GwGxLjKfFc/2BppX7OWCSFsvLzfeFRj6aLPKiG1SUQS39befUcGpUG3Jha8ajPmGPjQKRH
d4T17GKHOrvdqJNiLv2danSTfbwRnKfKQwFnFsjblzn0VOLt2Wxh/ohl9q3P5h4TFHv7Df0sAkqD
8PnAMttjGxgMU/JEtJE+WffSqNGGTiYSeh7Ra9ok2S3DVhmKAs3DvIA+d4C3n5g/xbuxb89TWba0
H5P66tRyChMCcLd5UeDqtcj7XXo7Pcol+AKhvTwmjvzaBgkUKzF+IUCDlGVjNlC/ct0YkrRzUgkO
ACStqIyJzDbix05V1s0q4Y77/eA8QLgr0SqoWzLnj72utIcxze8nXtdTPDkmT2Nxo2NfdpMrmOZM
tBFIfrChQhdnzWiLgJ2cM0AwlvY0f7Cx/2zGntf1se2xdp2WvJuRACk9qbcmNyduiWwCZ8xAbE39
tmGr61vk/AujnTholqcy0wPtdVTmNEeZ5/lLxMaHkSHFOt0Rov6CbaXXGcZ8wMHyhEXHQ1QyLJQy
ShT2bQDEzcfKMWCBkb5Tb3Rk5O8z8ltgYSAl7sza1NKoyeXyYjX99IKscjp5HSpfBI04UGdtJKWv
JHYQX64YTrorRo7+ouI1GNLuMJf6ssVJTNar0NzPc+7nrJ17BPWolknANL3y0V/6DCMmWhTLcraM
vccdTojkKwoQba+60blXs9/iz2mNnbUa2jZlxfEKwIwXSMxYjlM9ST7ac9xEXl5iOmoEQT5BadmH
TC6senTIhZuxxka64XYjc7a2GwvFUV+mW4B6OKA35tzDJeHm0neO4m5jEZf6jEE9krmgpKWnGcdJ
Ei2+Gvqjns79mcmgdtTa1qXwo98V7Fzt4M6AN0/k0RoNvRMO5ABkWAtaGqt3cTG3+hsA8JR9b67n
D34q28c8yEcFuptUpRpJAlaGGBeNr7uHFX2Je0xMg77RZ+mpjSfn7qVAVRHFKjAuZb56VvGgzK+L
lcFMV87e6uK+hVXPNpuVFd7ZVmQxq1ULHn+mjUjliEnYInMvb/a8BqdQAbXwFF2GsTYQwZc4Jkow
afQYx0Rv+QKNoV2xxBfkyWUwBF85vBeYnYpUhMD4YnsCPLHnED7DOxq3ULr1GS+QhFY+dpjLsIA5
ZtgRlciMzU3Lu4pBrYGaIu23qNCujTM2O0S83WXsEYa5qc9At7J850EV5N9tUfivKm9XbglJsE4I
wFv0a+SNfAVPAPaamvsDkzLvHNtp5YYZpFdaS0qzCPtHElxLggZCc/Zeu9JSL0gM2Akmjr0rtCWB
kOToR2nOCxKoPHffAEYOY6h8OGWZhbiwhGJ/LfJ5fjdZo4UQsY3PnKfZKUN8R26E7b4OjOKJtWcv
DTe6zSCpdzoQ9aSDXw/FDz+LUVtbxx0rAsk8gR80C/bBVPZbZxqG8+INI9rB1WXlCXxP1TiFuYMy
uBZN+nluRwQLKL3Q3md1t5ptGrltzYHcvZqAdCvu2q1GJODOHHTvK0zL6dKobLn57dI8NSOZ0sRp
1vm3ujPUM4vK4jXB5JhEDGiDEwFp8QlQFMLbJm53Hp/Xs94m7oO1dGM46gAKzUXnByyOtoGA22zn
yjOo/XV36zhxHxJRlgqO5rLakYTj7InNqo4TlupNExTjM644a6fpcts1bc5MRaabPC+HWw6N68wh
MUQ8gDws3oAEcODks4TM0EW3uGbL3CV+FNFnKAa8onWpeNbRR5+bjBqlKPWWAqorfk2F6yyoSNNx
m7W9+23o6vErU1tQ6g1BpFf8opO1G6Vd7/7T//87/T9BZCsq6h/3/7f38b+u71P2a/1ztsz3L/sx
9NTXNSamXotobvcnX7ehB6w+AVyzkvoNjv2X5t/y+CLc4IEPJg7d2Lqh/NH8G79YbBZYl0IZ1E3A
QX+m+Xf+QOnRyRqzGcITW8s0FRb3H7RkLTt0oBxVfpGoEOfPdm07UHpsr7O3Os17FWysce3QOCVq
VWrHmuAHR67ZcNUBwIm+h6Y8f5VW0rMB0hsnnFgcLNRIrvfeysKLWOCQMNEeqi5B0YRRqBhn+0lj
neT3ENV6rFXqa+FVbHf0GeOus2WGlafI+TOt82hX+gEneeN22EyfrO+Zyy7CLP0NwkGRzfQ32oqJ
QOhclafM18aQQD9tYw6lQxGF0N0RU3pxB/Yf/lNqesvq3dVBASIuRloLGzWvmlI9K6YkxtZnjVfo
L1nrdUu/r5rBR0xB3hi2d+KvBOJbvSVtRsmd1zbzvWMWFRjiecz5UnfWlk8NLUP2H/78+7/5AK7A
9n/+AJ7epXqf//AArl/2Y/pm/QJJ3iXk2qao+k1h8PvWwXN+cfh/IBr8RbH5Y/jGQ7YuB0CrBySR
/fT8+b8EfDv2EIHJo6P/uR0Ez/TPWgQbBwukJzj4vm96UPH+8ACaLXRtC1HyIRi0zAJFa7F2TWop
zpDLnfOky3Z4ShwVn2o9S/vjkFXdQ9qQwrMXiJEF8voBTx10BujkMZVm3Euw1s2UsA0gfvIB356O
Op7UlCRoyU6etJFMXiO1mBXE8fNkMrFxq+FzYcxhwrd6HtrYeepEvTwoGTzXTYJxoGqETadexGpF
CSvG4/ly7VmY0C/kPpNBbDV0ZZ3+GoAvhi6tZeZjVY3ipCQq9JogafwQfOFIl71lFDndiOdDg64Z
xmO8MBIpsRp9U6bEzdTUFoGCzE7kEao0Hml7Es1na8DTuIwqIP5ZoQBdX6jvxEDppV94/zNIOYqv
puNiLSvk4u/RtgeMTsr+uGBVCKE38IXKoYvAF7kK/90yKIOXIV/aJKwKX3/1ym65us0QhIxtQUno
8CS6UckjAfD8dMMfR7Im0HGrrAvAdddWz4o4QKSKftNEha+sBTeHT86O2STaW99bzpPfAbveuExQ
L9JXgb5n1FJ8nEWBn2RIeuNVliuqXkw6343R1nTnN4X2bUnHIJysNj6JdEq/aiQY3Rr2qfvv/z61
/qv4ZEvGL/zv0cTpUG2qchlCz/Wqccccp9r3/TxgCmwW2Bm8yMqfO2RaNOobr8vMS+IbaMM2fSfE
eIHLk6ZQsg2xHNh4S4t2HSj53losBPg5Cx1IBrU4LXZ9HKTdAcrOh37XZQlQBugL7s5oZh8/n7CX
Q9+VfBYwlZ7yXqmIn46dUikn26JMc55AvRcfJbT6J7IU5te2SdXFR9T7nIPf2+Eykm7EcMQ6VZCz
z3Frpy/5jJ+/gJV/1hrebN/NMYmIjvDtAdtsmFO6bZ3FVNXe0QN7Q4m3znRw3K8G8eVtqcZ579sq
2KMktL6NLk71MJZlWcNbhsQaJWaeiV2AIC+9iaLmewU9aVlujZORkSh7vAyIs6Sv3HaJUI9xGczX
bBlFaJEMEC2dHl9Ll/gIQiRGf290gUFCemp9JBBQ7EsfotJGuBhviDXKSn8vDF09dbX96nQFfjNH
f2FXNRM8O7SIW3LMmDCpoVaXSbx0oTJcd5f5CxAEjyQZ5j/VKYlZk+LY9CVGpqK+V+5ChLFmMTCZ
5/LeyWzj1Cdc4ZhykGbjVFitrh0Nt72cUrsVxUaYoxWOhWN9mAzCpBxGsBNzDCgF48Tu0Qb0G1Ym
ZFIAWYijK5hxW7PuGOLoxBmH/ai0fdtY6tojJLpD0CTOiCSc+85JMDGn5JRBelJ6z9y+IHjZ1wL7
UsB36qNx0r3XYdGya2wYya+zzHMuDXSbM2/90gQiqiC60cYaRI2R+wisK9T5ms8L0RI+4kgSTA9J
XbZPLU6OfDsORrrt0wH8hiaq5cPkMEFY8ja9DVYjTws1Pth9Z96bLWXV1pq1mv6Z9k/bMhtGD8/g
HTcTrGpctxV+vZGDghy3YtSjwXXn8xizxUyBp78E/P4WKCh2dkeG0KtIeEnkqY/BXGizu0KkRl8A
7FjJVhu97ZnZpl4NeY14mlAWZvrseomO0KrA8ILQPT8PXU4Y2SDXVPHcxI9tuYDXCXef9rT8VcgC
gaxVOhTS3MxjHbfejfG/9iwEnq5Nb6YLneVEFJRXFV0TYpaRLE8F1v8KkGs9cpibLiqUSLl9/Pb9
ZGlFF3+jPROnouYJRZFtYMBen6KGmMSnaeGMkmPpR66mc6wOqztw483cMBKB635KOJ6Zp5o2j8No
PhrO+oO6VE5RZSr+JcUgliuWgQGh96gF1Y312HzDkVnPUV0vhDP01XKVwALP/+lX/r1ySQ/+Zbl0
+Fw2Ks3k+88V0/ev/FExsXk0DERrvy8kf1RLJtUS8GgA67hiiedhTfijXELfSUivg/dl1Xk6lvGX
dsVmw0kz4COx8OgzTN36M+3KH7oVG24P38iF5YsEhMnQypj8G8EGRrcpwQu5wFbH1mctaPUJzfv4
NzXk/6ILYef6E6jy+w9hvwpbmt/z7xjFXT1wwQQ+d5gA0YcHYIlYLXkh91q3/ec/CinL3/2otf3y
aLw83fkjmfj/sXdeS5YbWbL9lfsDoCGg8Xr0Oal1Zb2EZWVVAQEdUAHg6+9CNdlGsmd6Zt77iaTR
UkPs2O6+vC6xjGUJI8M0KkzWhcqvHIcYpagbEuggU08l8ezjtPge6uhc/w9f/l9+nQxAYKZjdF/B
H+3v/heQI5FvAkefWMY8O2X4Fqlu9+9/wlU7/ou2vH6JdYiGiozxMfjbeNu21jzYUuiTL8wzMskr
67x6O3Ds3diL5ir95/T/X/zlGN3/9ct5qPa+B9kUpLvNhfjnC4SOeS+YmDNOnnH1JclLQZFpbJWX
3MctV4zeiyeNBviV6J7XnUt8GQwse8tNyWKrZWMr1SZ0ElyIaRblZwgHlNujXsaES3+V3nddzF7W
0aIxmzKNURFj50zy1v3mZHSzjV3/s/LWca7tbeeVrCwExznmyQt1xL1N9RDvQKm5u4Hl4eucrTJH
kBhEcidsSQrouHwO/CJ5U3NIfKps0XyT2r/z+yp/DNbo04g6taFOJLkdxkrwYqWXo45YheJ51gdC
TssZx98NUV4yCWX50yNoVSvvE1DMQ9+SazFeRDeoPX1NRqJM8bp/snw+Z8lMv8ubRR9zzVTVIsj4
XWZ+tGmMwz9L75oZ4JuilnTvOWz1sMwGtxPsjm1sBfKCB+c1tIS8ZClVgLqDLaTGEcimFT+juavd
LLLsdol18txTe7dlKtqSjEroGElI8Bs5nhZVyH1GK8VN1dFulxImkvDjr/yEbfvegADiiGLmJD7j
CQTBpOjSedYhL54Us9jWQXy7bmguglHXCCkO1dS2wYtXhdZbmo/tXVUDGdtH0+Q81yIfr4pWDSdc
b1ic2xbNDq58eiVL3d6QnfP3TqXzQ0kz4oZRNLvXNXIRDaNizwbPOYyqsF+9OqdefNQTUVzlDO+D
QtZPtvYsrinLSZ5Vqpd9pWqBdoiXItUBwBmj1qIMq5XXrKDbh2ap2nuKIa8leLd3vUT9swed40QI
VtyIyQ1OJZtNAB60Bg59NR05ML6neeujDCgIClnoTtRWq/jBDpLsSBl4e0OEqL4finnndMN8k0yY
YrdxU9gHdjn6vQ58jMCKONMG/UMd29gbrpTEekSXBMmwsCM26II3ln0oNrFIvmYDshgf9jaNBH5K
ufrizEMz5y8ATTB2jzQCe6A/rvoOH71KKbgch8Q80DIkjo6r7JMAMY1I0ntnv+n0FWWzKwU08es7
tNbI4Yp2sFyze7YfXKnnj86ijpaqIuz4SUYRcRI4R3eKSSWTMKkIw8PkzJmDdtrWfLUkXw8psWUR
fXJgqcsmnS+TFcl3JrGKcFYSHxMpzdWE+kP7MZmpILbSI5K45N4v2Rh55GM8OWDd9nPWXkFhLouT
iuuJFcJBZkH8WsMmwditqlW0/HCl+xaLBbtC39uPpLTskzO6X6HjXVuoxU/5mnLCcr8aYJZL79UD
LZlsvtlY9TtpxpxYP0VAwZLdWJ2G1oC6vwM6+10lEWoijRAIGzIZz9JCyROW/TDNHLemOjkhhJMF
ixtzXHI+bYKO+tIKKyw3XWesXaNbilmd2v3oRjp26rQJ9t100E3iPvs+cn4l8rY6V+HY3Q9W437w
3I7OqjQUhIoUL/hqiE5TUu2oxc1yK4uc056L4wX5MCqueSAtZzHF+Pgc/72tDapSHK2VpbLe0n/C
kttOOVxWx5QXwKYc7bHfJAk846IU1W1XRudidF7yMiVEKgX4gqi9eG1kAZTDySFzK7pJZP5DTjEL
C93tw8HxPgbba/AvuuNdQ54i3viozjseCcGdmvGBA/gvzkHpUOAc4V+uzWK+EENyN0xDa99LjLhB
ZJMbCEDGlP2M8ZG/CaPtZxkuHkpAFuzwLYmtKMoMW4JfuEe27T0yJNeXmILpOwZH6y7XmAg6spl5
G2avfurDjIoVABXWnSsUc0LXp4iAKmZw9cMScuBxldHE9ZYRT39knVgCBQT4w89QuIQ/xpi/OzuX
jHR/FK5FxeLIyaHct46HvjzOQKhzj3VlEKenQdWrlWrwT37v+3eBEvkptZLka+TvS8rpjsWcrhpD
Or0Inlw7hxwz0Yi5eHZpq9r6tsAyYPW58+TpYB8AmX7r59z7OpFzvQ3aYHlDCN5xoIXcmDVtezuI
pgfyQ8kqLozs5NHDtAGaae14ef7E7ORspG7zQ5DI7lwktcHI4vLM0FMdBlck/zGM7pyiG/4xV/zH
hf0/mBIdD4T6n6aif2HN3qXqr3LEPz7g99k+sn8j+AQzhJWnj8i6Tuq/z/eR91uE21owrLt/2LP/
mO/FbzF589XBiF2awRg27B9yRPTbGqPCPkhOnQ+n8+hvFux/a8n+++wdErtn6epz5TM4giX76/wm
jZWQ8PX98wgoTe6cbMkf07VRiRTXuHVnn9M3Y8qBVvPlIOC20w8ERSbu7OnFr6Lm3Quy7s12q+4t
mTjm/+k3+V/Ml+vx4s/DLN+dY/Pj8w060ORXfO+fp8uYTQt07dg7Z6NXf/ipRwLKTqsVWsnAp7Hi
HuPGhkTR1KxL//3XJvn2t68OHpg9MVJSgCk0+GUj/fNXx+8LympQ+kzM8UupJbwaM6j4Jo85kO9Q
JcNrRmOUYXcViScvhj6bterrtFTL9/CXmoyTx70kBRb2nKZGMH+r7tzqOngIf6nRoCT9s1wlatG4
zYEcPRQ1CGA4wUuejN7YlXcpRkHCK2INFkda4+tgkb4bhoXoSDSgaW5cijHpEAmcd14BvH66jNB1
F9VX4Sqot3UxPLJmqTAwrnq71a/ae6JBzWxhxWdbBH77zeLFAakvfB6mBeOGt2jk7DBoKiBTU7K3
0lXhb1exf7ZKuc0JMRF3X70AS2hGkLuSzGuTVsDKVtdA9ctAYK1eAlpSKWJf/QXQB9hIK5sVz4b3
HhYE/gDBiSXWfIC4FhynmK2l5Tm83/Du6kfyzdmD3ZHU3+H3Q4KqbZxWRF9b2KNTvDcDqazD6E4R
KRpupUeE+4R92i/rxOKl/bMgPA8OIzTDmRo05GmWa/3jxA4v3QrXdBD/A2EfSppOo00l+xxPjB80
gp15sqyUqZbUcpIox4DXwoaFXQXXRwO25+QjAFubAuTZxvj+lzCbo31KC999XrXToUsgKmwGkgqg
W1ZnSWJP4sCs3OLbZWE3F451xDaHGSV1xgMUdEKK47jjTo1huWFeWRz8dgAfsbQsq7klwh35kYZ9
cwICu+zjosEEo9qaqLfTJ8BaMswKW5zzE76Z1ULDGlxcSSuaLpiE5aubOaBMTQowFFZ6+sMz9ngn
fhlyVBWWP1BLVqrVQgkAxxGYvcyh2NdQF313g1styHbce09pYmXuLXCfwSdKJrHOP+HsUVOz0WEF
TkIyTSbbbJKclSLSeN+rLJWKcF+bHR0bCT2HgLDiOVPYAhvQ+qN90+m4VR8M+AX+x2r0nDvYCfKy
DMvaHORm45cAxxNdu75Tf0D87Qd8YwNghlBoq/+s5JAVuzbuNdMdG16172E0WXti+/PNOItqRlLE
q7QfRmtRT7Nbz/OJQwQ6piUrZpW6asuEFoM0aVYMKNIoczDbfZbfFfQHk9snFIuUV0FfXbcpPZdM
wW790dVUK4h2xkVNoVl9nilqe8QZsT4MwSEQJVHVXbYM4a0z0PVBZC/mq7XrzzaniD6tXITZa8Qm
+ulxI771KsiIy9FybO2nhL2LrhFEoO4379SC1u+GNCuWHp88+S413MjwI4bJ2lAtMHyzQTnZ8BBb
376NpaHZonGa+qPtitjfEVxnZbk+ymN+ciDPGdyOPvulg1j9eDspZ3ktOkpi8UUYFwY3jkFgTMuO
N4GYP/xhoGj4EgFb4x95An+F62gWtNYT1FnM+KXCmak6lCi/+hjmvuTSaemCqdsluNWd4DvmWF9b
BzP04LZJ24EcJrl5N1cpXc7gpkDYdSKbHjCsOXcebZrtRsmouGv9AuhzlZBw2wGoHqmQCRmPmXHT
8ppG0jDjkbgYrl0yn+eKVdsI5ZmsIiATvCQ7yqDDr9aIHkEis83jLUbr1fyIgGxvhnSO2k2qQ/Ne
C6umV3RmikPsqDcSIM05cSayiqarv3Wif0EnC85jHGf+qjeYhyEo3GJngfEcj1G6Rh1FpEqSyDUB
Ps/P5EGgHNyk7oh/ybLIOqeAAZ+dfJiofk0H/xO7esCOAUDRoTb5PnOwW24L4U/XXkGsh9B0iguS
bqtNr0G1TZrUHSfqFsyCVfTnmEwK0clOsprmPUM3ihvPO+iPBTKLLkNnC/6cw81QOwSZ5z6s5iPe
rZmn3xhkLUsSvEqQf73DtPqXutXJ9Os9+p/B8X8eHGMmin+u0/51cMyLD0zIfwmyMG2uH/T78Bh7
v3ks6ZkE8Z6sYjrT2e/DIyVPOFaCIGRD/MuUwv/6fXj85WWh4ipc29+Z9/4YHF22zD71fcT80NOZ
Ov8vgyNulb9OR5hpsMs4jI98B8Jd59C/zGbtmEfVFAh98XqLnCqs1h75iQ1YHz34zAH12Y+JqW0w
cy94TFqKP17S3ge8z8hLwGXiAbAAfitjJY/WQIr6GUxOccXiQGX3fVC1X5Fnwnd/CapLKhIY9yZz
dvHayaNtpcoLawfOQXk87voxq66zRlvE+dKm5pk/NPSIzAImHfpssqQOIOnRtPH7qGYItLRXU1Dd
6xmXnZmG6H6m64HFGCkN7kC8OC4GlmobE6TmvdRb6ZehLbryVLc1kbemG/LguvfttE8OFo4xakao
k8SMDX8/cmG8pF4QhQcOpEtzi9jDj5vS2RyiFs10g5xY2hAa38PMtFmVVpiFItqgHBkT3ciHsJS3
kbPIwWxkwe8T0+VcDgaCtB/bhmwH7dhbQdmN/WlM0Zlln6d0y8H8Z4vHZrUCngNbeIBDOqOCE+jY
VJEDaG7qY48VQxot2mPXmDXess2DMYGkijDnpGSuWfPVS/Z9kfPc+UTwy2T20czZZ7KlBSlwdPJJ
trfI9tbZBlZ7T7GT3CzwaCFeeXh7urQ6p5Y1HhMii084c3G5uh3g+ZEc9oMooI0HcTN/hA0BAVMM
xZZkSope3bFLjcr8usWVcaw7r4TB2g/HvBp1v9FVHWyKsRjO0ThtwwF6bFlW9c6F03TnOzF86bSY
dgE55Z3XM69kQVKfgInLh7Y05ZusrB4uELSTzWKNzV2RBS/QDJMHFtjdPdzC8KFo8vGdfOS0S2KW
qm2TTg9cD/VhHmvFm3GS94CD5rccLwgNVgMAdRk6cgdBMLyN41y+ps3knqY0sO6sCVL+pmst7PFh
617LQBa0ZlBXvxNhm8+vzYpeDWURvOhAVE/djKF6A80vmbZ+BgpyqwC4TNt6ZrlctYTdNnEPpHkY
qv5sGNCPpsiTVxfjxlW8hFT6CcyuzyDtyJpiMSW0PxDf/ymMh4eYOCYxfRBt1R6037KZURDuOc+F
59b4zxkrvS4bPHfjweS8FnPDAi1TSwG4px3GuyFJnCsxTfXJ8xiA+wzSNypt1z4wsVevLUC/4wim
8ptx0jeh23HbF1F04S9dwmAimzsTALhZ5mJ6kEGXXkCBts8JFoAvg7uUEGfN5HxmdWtfWUvFq1xr
N7yYYooPXtb8QAeQJ+EjxKZTjs4L9fApzqPhix1kxdvMgPXmml75W19H+ZvGPwenkzsssPr2aIfC
2UOd7Q+qCa5MDUARX0xxzCA331Vx5V/MBNCTrFKe0SJexdadwJMAoRlDHMcAW91XNGax1myYNWtW
nlzFsEdTP5rIgfRWt4PKPu9rMzRbI3ER8HvpNyFbLJjwNhjMzuAiiqsdB2nn1aOC6Y5814ta2qes
scLvk1/jx2UpD//BN8BaCDIv2TOBXu+qhLZxbfdMWZyw5S5UyTn2uvBmNq3m1hi6p4V+9Z3f2vVn
MEAUaMxS34M7W75pU7d6IyDMoTaY5irJEu+FnnBAixr9eGNKDa1yiZMbzxHDew9TsqoLgsF5CbA3
F9Cvsgl9nf7uj46yvx8FOPltN+pr0kdmdRxPO8In7heHyZ7cR+hAXjRmvnYmQiweCEymld6xuOO8
lECtnqxDy3SVEuOJQJdlhLW2TS/ifTFM4nbsFFVglLfYpFZKQ0u0AwXisTYevVJ5YtynsZfRNwra
gC8NaqAD7VdJMcv8+REIUXRdj5X/May19tDE4KnNveA5N9jEshP6cuBvRikrU+PBg4iFeKa+rbsN
EwowNjjRzY5uSrZsnWLlXjLhbppZRNeWcOCLqQ6PivHrbW9Pn2DJq0dhgjWALQHCQd/YJhmLOB+O
y7HX3nRt9avxhrDyp1e3/s/a8r6rRjvXgt1vv501h/Yizva6zeBalVZ+YzAU38Runl+nNvUGHKo/
UxsdVNuMcN40vdR2+wT5wd5GJEm2leQEoTARHRSrpaOtlvhBi7bGq+2k7tbDpnRKLKjt+ZgAPFVy
11atwGDpe8eM0MiB+/0zW6roUTvkplMGxeckxI4h0ra5mCxnDdpKv7jxa3QVv6tGKFV2crIMFRr4
t2jv8ISoH7hyy11lx+ZezTXhl6kDdepQVndH+iN6TQJipHyHCCKmqciBNJwWi9wv70tpQVB35vos
AKlsbTZJO3Ip6tpqKUIJqgrM2TANO2+Y+nenRaMrIiBiY5h/7TvxLdNw8xdej9e0dSTQPzqT3nsR
EmPV1fluKolTEsfvfgpINvuBeN5TZgf+HumNzrqEzYcXUQwBKUg+qVF0tyx/+qOJXc13odo7xA9X
7LMlXstmnJJ+iza1zma4ooQl3foVlSzENr9q3DoHbEf5d9p78OsvNn/XKPoK2PFHm6vu7HIu2dpE
GHba598kMa3N7PvBCeGZ6FNWUH2owLU6vRLXS2Nln3EWQTcsUuuIsczCCiSLh6wv3AvuDnWAXaBp
DUpA6qOfnlyv7g7hxORlmdo/5k46Xima+riPpkbvekG0zp7xMcEqGPcuFMnP3jeK4pfiGQ0L9P2c
BiczupDe/JvFM82p8gBA2k3sHGrhf2q7eRiGiNEBDBCnReoOW5s0smt9EdCaNmmKOqbyhQmjwLSf
2/Vt2LQP4do50OnjYsoBMmFu1p3BY8QCHKTfkhygP9CHgYF0E6jK2XiAZrqlSA7SK27c0rIe424y
xyIY4pM3Z6Ri3PIBe9E9fNT0gMWNyAzk921QzPgsB7GDE1WQ5AHM3VPTt/PI5oGCHVjojy7gbit0
76x+gvMaW+Fz7znqBMO2xk4tfmgZYGCjUXCjoPORhyJmgF4EVrxyhwfjiPhTlbPehxaXH2D2UwC8
4iGwYHjTwZcShx7YyMXNcJ7KNkbSTyxKV5foUgJmLZT/1ZPhy3/OUv8bpw0ml7X+7L8/Sz3VQ5/+
v+0Hu0xV/eVE9fuH/mG1iX7z+VQhdAAb+8V6PPpjG+/+5vpU9P7p4PTHecr/zYFehiaKE8bjHMBJ
548zFegUrDE+DkrOVqAGvP/TmepXG/ef990s/W2qWkM+Z0AYwv6beWPA0Vq1maqxp4QshmJ8C2YL
fjk+ptjpD0HleAOLkCx6iJVLxtMBlHBrAto9RvBjwNLdQTxnUrlvTFrzPU7K6omMoPwae2K6p8iL
2zw0i39qWshOvI3xgilrrHfYlcFHmgmqKMzqCTku5fTnXsPpwJwpaooKCs93wR/pQu91rNg0tDSM
iW3Oq2gi+JdRQlAyMWzCePYOudV5dynLnPs8ld6auxytva0pdgYTyWqRs2tFcttNnRTlocMMWM/B
jYNE32x7R7rngYrsi1ki9xxPyq4oQNDjuw15EIR1KfsffBXBPpouAyKkQ9W5jL1EpPjExbxnbeee
WUAGLcebnmY44mn+SVH6FO7dxS5/Kv7gJ1/6E3hOgr97sSj5fQl8DXhOmO6tWSyOWJBIujePIe6t
Mnb+CPZqupeTSu/MIKvnhgX7XY/ber4CQ5X4vLAcGzBtGkYdsmshJFQ1jZFvSZvoAbb1vNdBwy8y
E5IyITCqctp42RTS8LA0tF5H0b0scA6S421tsaP+x4NqW5j6EEbEtn3m9akpmzu46/G9j+eMsyr8
v1PH7+8wsl4kVq948qapuU4HHuNTOlLfqfyqfhJCRw+Wx9WSsXeFAxD5OJ0SCjVkK54l6smZanL3
YhV0nyJK1Hc5NnjrafHKmWBuJi4MFoZmjHzwCII6fncCN0NB1CDcA03d+hukFP3esmZ6a2yS4VS5
aD9YN0v0qlsl3K0+xRkcmTl+mKC6bubZi58cqNe0ri0IDPHEaWnro+cTp+4o+cB14Ox6ZIcP6jyY
AzsRXzeNGyaHYbbxRExZpU4y1P1yxnTtzEclB+vakRYxO8P+fO8S7qWHpcMo259TP/dZ5BvS7SzY
fYYtvA33TWSRTxVtELxUYvZuUoYYcuDAfBlmIlKrCyOzaBf3mOA2AIFhZZlp5o3FL6I9zb6qo3fN
VhNNJeZ8juzvSv4+q1QC92PQZh+FUXRI6CBm9y5rDDWXPmgG+1wg5Kg3ojhxf2FpAyO94vL5EsrE
emLC7+AEy5uwLHmrj333luryVsZuck2Xh4o/M3xJowPvsKw965KUdkh3H6CgF99FR1DLjKsV7CfF
LHN+sAP+s3fpJdBLYl4VA+rOitP6BplI7zsgYNkgOIEDb2MnmTmCjgquodcgoDrmxO1t0SfkSt7/
LcuFwXfLBiEKegekCdLk+cQOpHe65Ltf8T2cZlglw5ozGnYzRfNXFgWJ53qw6RCKK/qCo+ue8wyK
nuiYk+vpQkv0sA/h6uy9HlowG+8jmFnru7/wpCkk1DxJkW4ksuOsYLnOAIluOTA/9UuHlykxq87h
v4p2NeYPkKwXAuF3JrIfKapzMJAv/Nk6fCyJRwnRWHAaiJqAiaPqSGb61ZVdNd2PbA5vCVfKd7R1
c5qMLp6qALJCRj81Gwpgc17RjfdikO5B15xDjErnoxcst0pHmAA8u9+maVccZsFJfi3z3QoCxORa
27rZ5dHyXkuOd6Am7pamvelNLtnOp+MWG0171BJweIbv94bZ29wFHXsKxcqZNa4+Ql2O9krO8lAj
JHEA8DvyvJgIl7qGiT2O1iUrlbiCbT9uhjD5um7SdwnFvnTvzNUO/mVNvU3dvmFFMie7TPoXYIQ9
F4axjkk7/RzaoDjOaTbv+9aI51E48ivdUuT3J5l6ZySJEuwAXtPzELCkPrml519VWpGujVnXAHeq
1bEZcu8SgXnZTpYVPgxNSu3bwqspKzvFSOsxEI7BEhJJ1SD0MCurbB9p1TPyafkaa59b1i+pLq4p
naJuRX+jB63mNA4U60tDjxW79JEOQuVEh7Lr42O9jM17A5nqjWHd2vfjwEGD4s9btl31FQHXFlRt
GT24/I+bLpisu24l8yWaUy6AMeb3DmmixRAzbThs5OLiT1lyHedlFG+SytfboldUo+aOW6M2Q8zd
eYbzm4+1aDuyFL11OYJuoADDd7DgWx+ppoiOYRPmdCEkKFINBxTNbvO1b+yOJRQNxjs1cCK33fYx
kFn9MBFjuHUzoFsRTi00Yi4DjyzJ5HTbSaTeyXFIjI+dZwFYDrMfLouxH0PZltQkAVPdcjI2VLl4
wXypVi/vNps1/ERowS81ZL9HUA/Rd3CGyb7BxX+tpfPViuGoqCr5gvMAa84Mtavz/JfK860b7ikM
8i7QjJFsCbeSli9J6x0nN/sqg4FOLu0fl5ruKEgX+APU/GUe53jXF7WzC8P2Q5f4n0bXPhOhQekW
TvMjkeEIGsWqd07kZqfRgSdCz9TsUaIpxX1BJn4PsTt/qERwWyUobASRhn0JZZOKHPDw/dakrQGy
As8BPkIv9+QHvw9Z+kzHDKMU84Va8MAYdyxOIQ1IOyhxnKCpbwCw6ut1mKEnqPcQUahgcvdpJdWH
k+fPlhOwQ8SS9JWgojrVKgp/tKJ9JAL5E1viJmrp7ePk8F4BbeQg16vjlNvhJZ7lgvFxYCnq4u5L
Fppr4+ECE1Ty7GyaPelHuNbJ6J6yaS7P7tgAruTQkwXiRcEJooZQS45WwdoZTUTGoSpri5PySLas
udT99OQtaXegc6Ni7blaM7Ple8/8ue3doX4CfT7SG7fwu5YlJBSQZCNrGQIWc9WVh2nAStha0adM
nC8CwNy7rX33Dl8JcXzi71r0XFf+Z+mUVK0uQ7dvUtVcNdVYA19wfoSlIakjvncR3Hf2zUUDtaMz
p6ghUkLrqEcgmozIGAXpkYklfBTWDCalMNnBZnq8c6pQ3reyvrT80SlvOSq2QOlM1yuVcFyiIkqA
/U3ODpavuHWb7IW8WfAop3Q4NkZBVAgp9H0c0pXDA28hHEmFs9DdeLzSr0HtBMQqltc+U8d12KSZ
5Q5FMIFBFV+heP6EPXrSDrXeqWXfSdPdLYXa4Cwj4NHRtdqUX9sCiMbSTc+mG+4b0bOWq26Y1igD
XhkjRQ8NcJ4B40pclVtcw6wDIxDDO99VPubZ0POvsThE10GpwWKiVMIBwNZq0eR1D9wk/0/E4n+V
SHU5vnFG++8Pfs8/po/uz9GK3z/iDwXN/Y3wGVXdIoZq/Y9c6T8VtADgm+OEzCqYJaO1deSPEx99
JPApndAJPG8FvuF6//3E5/i/wc3Gw+8RiPhHKOP/Yr/CtPU3GW0NBDgcPByOpZw9nTWx8KeEBfeL
NWJ0ts8Gv8jbaHnhpivmz2hyCnqJLPbeFgyRqazzx9BEN13XYIYYM/0ENu1J221HGSyJwjWkcYPj
1TrP0g3kcayz9H6otPUxhHiZYwq29cmLZMiF7NOwcF+F/uw+eJ7KnZLVdyHCM1SYyLklq2bXLx11
fFherXypXQKGYCBv0BXskCg3UMQJ1lU89qW3kZKg54FaL0hubKDbVr8UUdWjN4QVZyCaDKcAQDbS
Vr8PU9vrDrCqnAZ3bqLoCVpx0TZVlc48x3tV0pZ5gRHEqnxOOtpSllrU7MQ8OZEtdcLZP2PHpBIK
NosKs2c5WxacOhHmo96ltV9/ZJWMvifAR8IdycSpI79FUH0MtlEXKpuMVQsvu+db6Ohwq52ryHaX
bjtg9LySmeCNZiDbd4cRnw4FdDWWnh3tx6cyqZv3qVJY1gsqwLEDT9HeEIt4n0eSIpGbpFC61VOC
gYU/1pDdaB5gp8wxr1mNnJUhXW6AYyWn3CQ4gnSZpG/gRTh6zlSqhNF0U3vtVYqq9NYlZUVNenfv
gpqg8WOkr3BMgs9+kgbiiQEHxQDo4CbJJ/ecTPnrNPbVZo5FdoloL0oUeQFX5sMTgX/QApzTjpyP
Xi0XjBfPX3PswhRt0qmOqLuP46Jeg8L5yWKlv1o6quriPLldMESgIPbvddldyrGuTnmP6YVOj91E
XfOmmxFUmsYmcamX+zQh1Jk7+SvhPgWF1ar3tFT+YMMXkNBc5L2Jke9Y9ILOGTC3da7c5Txdj97o
/cJW3TnEDXeUBIJZYnPPgxzXgxyK9ibqjbNf0zxnxFlFwGCh/MyiEnPpdPQNLWA8lqOvvkWpRqdh
JbFvtG89JqBl0EGTH7iR6jvf6p94d09PNIIUR7vBmgKNWZ0oJA4QFOxggyMIEAnZ10NP1uXMcyE9
tK0TH5LS562VWvFxDMyP2s/LMwfZeof0Rxg2GRRW90l9q9nHbkeKzvdJwuI4tkEO1TV8vq4iQuEv
FLb69lhgKqcVMHKmZ+HT0NoW+atVyPNCVnZTdg2Rkt5682dpb9x8yi6p9vEMNZ76uQbWv+Jt5t3Z
b7LcADlDjgm8DWfh/Loc8+EqCHru+KGNNGL8YsFlCYigjxF5v00NWgt/UzbybpvLycLfbA+PbFBM
+FR4eXMf2A79azBv1W1DqOjAwBvtZYhdD3f2kD13YCRRQASwOJXVzqUaYLKyZ+/5alxYKHPS9J9D
od2tLcfxHqqq2I4jl0USr82xREDm77rhobpPwCBesABVJ6c3s0E24dIizjEH9rTVfLergdH0P4XW
WKITUqAHGreH9Cfg75h7zcSaw5itG3MLsbh773yuFhD0HpFMMYIgS6u4PKLDN4gbFvg8h/Wtzmkx
mTO6JtOap8REwLi2OTP4nA1Wo3jC4lu7e8Sz4si8pDZ0U36ZMPa+wk6bbovMIn2Qv9GcB52syOt9
SbFeb2nvNrOdfEfENCOHq77LLmp3ymnUa9lm6DeYRNWN084wIkvMbLtFlOKeBdYLOlzOHjl2WWp4
RX0RMdaJ0B2vR3Zoj54bW085at+HU/pql+SkoZYyhjMwJCm3MZKps5d1NR049Nk3AbVHEDZ7Tn19
39Mwk9Z7Pg+GT8uej+1616KJBg9k1d2D1D7dA7pIMduP9zgV1F7NHW3FVL2QP2GxraMl2swyqB4w
Cr1XQ+2fvLGMP1unewjpJTQgm/CBulH/Jfi1PrfJ9FLAe6amJcK/wLl70+Ni/ynpVtlnVm9dzRgh
QW2ysK/sJd43NYShOYnWvb/geRDNtwot5W6x7PFmVjG0gXkAZVKxuZ86AOhj6MB08pzkmMYe9e3G
ibZxlg2bRrTHmYpLnsH9TTzw1Fpc0GcYV7gS+6k6U/3iQwAEGJAI8zhEAJTyiJVgvaod/GzxSdM8
ac06Prf2KDlZTzZbxLj8nFflxMZsuB1WNaXpAMlRvonEAkUG5JHKSJZF+QxVuIh3Xa/PkP5xlVjN
z0mHL6UK6/0SIxPZ3f9n78yW5Eaya/sr1/SONjgAx3DN9BJzREZOkckkky+wJLOIGXA4Znz9XQiW
1CS7LkvSs0xmpVaryIjA4H78nL3XVgmGYoIeDMepOH2M8Q6i5Hgysvp9Me1SbnaM2PN8NQ/LqdPy
ynuLyoR5Kje2NKd0NyxTo3mZHxGrDLFfofNFoYItP8JVTowOKP0szZHAZax3tft5XiZS5TKbirP2
s1Vl2Y1UIU5HIPkEaqKFg8cgzjwDDWAwRltDln1DzhbsRjV/jtTiVb8OwUgUCm/DSoT0UtIlBDKI
vhRKDGszb/VDmFnhOl7maLjcejZ3i3m1GaGlk984cf7htEm+yyUFQz86Hwsklvh5mvol9/mrZo1i
BPZb+013DiHzTYp6g0V05S1DPQwh6WNgVepoXsd9WctlYArYFaG5YTGtWLWT/iMuTTaM1n5KEhzr
fUTzKR191nU3yb8g9rUQJDNs7JzC3aW9BwEMys6uSefibAkLMu00O+venr40Mei3HunUagj4DkOc
ZVuTQ/NLY1ozyNOm4oLOBK6sYo+QWC6Y4uv3bZa+8tpnLU2d0scdRxjhYJvTEzLuI7kKZGDmQfTY
NfnwINswffVS90m67rBm5H7nWFVzsCF7AwaNU7VFyceFprfrfKBLCVtHcraYCE1z5tC1FpcfbNWu
H5jfL6PkxO1pgEeVRfNtLGmxcZ+XKWx134uZTKt59A7eKP3PQ9aYr6hEv6YqbO9n0wYivMS+HlLV
2veycHua4OlYsrIqombJ71wHVh/QzwaiOyqzuNR+IC/DxLx2zappUGJYylpLp8m/EYoOfpEXNeKe
QnJZeIza3SslJK8MKNvqwCGXtApG9+6GoKMnBbVx7bXmGdNx+olEEPMLuQ2nfIhDktOqOFrXkf2e
u42kDZdYX1FdoF+aHbInVkbSjUd1lTgkWZzCWZfT+NVcxBDqKotYBBLhIpXoYyPfE+HygITsBpxm
6216toPxIIw55XF2e+89hKq4jq3Guw9amXyUSju3okvkBt1QvpVEwK1VpYgF1TU95aq1q4u2HWBi
E5fibsxINcc0CVEYYXbHvFL7bbFhcIDAZJGaREIDjV0kKHg5iJzhe+1b7Rr7FHFosa+9PPnIapZ9
ZIvrPuVAGp6ytA0PZuolR1MOVLxh7Z7qsseJmhhNCBIPWPlLZCXpdNMbEzLtOdanwLB4IWITCaki
zeIE5oZA9GIUGUHQpdqg8oLOYKLaaYkO+0gmdvcu1dAf/KYKbqo0be+dKNYfKlsS4ew1FaR8uwYs
WEjURVRX80uAY5OocImoBf0OK+yacxLu2jlQ9sJFVlO/hXLYZjfwt4ti6y/ypiH0Z/dTlC3Sp94f
2Vn9zgl4ETUCKcgTdP6dzHHvXDuLX3tvcA2Kle4pn8tJbNCSGbd5OSavIcjenQ59LJ3FPOZ0/Etz
gyg+Ikndwb2GcBWVlxmOoHX5Vw9jwfKqi+AJa0VJEVZ3X8pFLwazON25LdHG+qoou4rL2qIvngGv
kuFtetZ+WFRo6aJHwz0Zb6oIiKEy5pwRjFZyNyw6NoZhWm/kzCAn7ZNs26cCpEg5Q/Cw0vLQeWP0
YCk7nC6+l+rqfoxi8gkCLDI1WbI+CkiKhYIW6bRoc78zuSg3kwXRlXn14DxVf+K7yG8D8N8c0iDG
ggcYDNhXPjrG2m1gYKEvJE4VyC/r6EgSOqWTax/aGOMo5tyiA0odKe+gM97FLwG53hvTSMPojFGY
fBoeYZ1u8SAMpO51vVpn5Jqw+uBaPiN6VIcO/8ZlrFvOAgjt97MkDrJvJ+NEb1UdNc/kpmvt5KxS
/Muh1XnfCvLUvprl0jDXMB3T/Vio5yYLwuQVFjqRicjr6TK6YIyaeV6SXnz/D3g50cElsgUWIBOf
dZ1o72VOB3ObuKzO26DJs11jNfObSWF9M0xqYVPmgPyVua/4a/GN1u2jUon6FI9OcRkGIUkzIX/Y
IsRwI2OBrUPEhb2NMgRaWGGpDupF4p7hqtHkJ9w5Tl1sEOM6HxqqyC2TC7hHpUi3EXsdxTkyr9HS
7bbLvSO93n5TcXC/tFES7HRmWm8SH+IBT7tahYzOVnmFzsFLqnifRECTdSX9s50ULre3iYcveYBC
EinWvT3GwTuxofc93wRFqmkxFrAWpmpeU0p10TnjSDuuROAswyS33qlglNuakQRwIFIzVijW4GGG
8EaDnG08HMnzBYKssKt6xcFIQhuJCDtJOYB3ZaxGF8wwjQlJh23vqtBBOBN4xn1rz9NFDRgeGVXe
jhm9dEkuJgD4wci3mBzjP5RyndswTBIW2jpinIVJJmtY+DsFRSfHx4pzCPlQ1vZsOsP0GLdmcNeP
EbJ2Wp2HzE3weBMpuDKbqjolpnjwfcTyTdOMIAoWsZnHVLisJjKcFBPLu4zMvPVYmNlW5KGzSvPA
fkWd6a1w7pQML5O4eDVU84pkEKJx7+8dOQqTRKL+3RzZWH2iKY5TgZ9DcPCEJiRb0rvKaBGdMhtK
vQgf15y/AS2Ltz13a2WV4yd4xTdxhM18rjGv5J+alLT03OrMaosdHI/MaNtbQlMs8OEB9vukkW8Z
+tBVgW1+Tc0M12VxvOYYStnzIpJBzyi7Sp6WxtsLM/Ng0DjJOY+i7IH+g2luOgcR8rbHy3bXtNTb
qQm4sl7aP6PfqGNQ1zkorn4+MPs3/xhKjmgpMKgDQD3IPkZtoRTy6Ago/bWNx/bkFVgsTOxcpH8T
NBlP6sjQq2YDNrITw9H+cc7iaBcxuOW8Rik2lQm2gTktjmVHWjNgsmb6yHABI1Y/3NqoBV4opZ4T
qLRrT7feTewiTajHmcIRqHc44BpexZ2hN2XffQ5EfTuIyYbpYL2UpGWDUydmUbnaXw/S9j/GoyhW
Nii2DYrAfo2sUD4TQi6ZcmfWTTnF58QoX1vlkf3VxE/aJd+WlRTOEtVRGSlsSJX1asc4kO2+dN4b
9HsbM9IkcBrFy4jj8ptShTHvotKHpE/Xg+J7VGC4Zhcs8NRiPa+iVGxa5Yefexi7/QpmKt7pYBou
NQpIRmZ+yDSHBsQAt9eZEop/2uVOPiK3gr50KVmwSJKzZUWwCQpY4OM6bkFJ8w64ZqZPtMFXw5xg
SIOGusSKK+82S6W6712HJoHIAFRZc0a4tmsht932fi6aLZFy6s6CRwkLWPH/IlHlmxVZFyetWDz8
JD5hecxOk2RzxcH2NcxUB0HCyMh3cpeJBKDijczH05x4Ga+6eNFsSVhKEEB31tILVCUt7aDzVp5w
GfTIlipvycK1JJVw1FgsCe6o++FA0unB6+vP5BWciBMGD5AoJjuRcRsGzF7nXNZb5IQnJRD+k2Hn
bb3MzU9K0v5D49WssSvXaOZGax06NUF0/WOQNu8mbOkNGHvJ0L98rJ0lUq2YvGPpIIb1jDbec3ah
gTgXxv1gOR8T4TQ3BEiQQqPdZB3lNj53U0XbpCrEYUw5nGnZNUeIlyadixbWdCbfGQwGjx0opUMa
InyLq+lzFjFztlpiJADiYrdu7S+h7MXT4Mts447M3dfI34c/ZOP1T6x9iNRc2JseRKmTBlLhkw68
FqHh3OZ45+mzgKDbajPLgPaXt06bE0o72063sZIhYKYdiYJxgxlnp4XvIYK52mXJpN6IxKleJQ7f
BVIyz19R7zFvgC1ovFVuoe89MzcOKRueRrvtjQCuU30mytlaAzBN4w1eOEYrpD/bxTR9oc7i1YpU
8ZYwWbmvBjsk8zPuvhqJ+w3pwaRWAQTNU00b+nEenXAtE28o1yoxhw/+KLsHy4qd+U6PfqVWg1dU
e7qgBWLd1laLTBjOXIW7klF/Mm4UmiO9RmKgEFVbkMPN0LgTiZb9WrIZHMjveZ4i+YEKQT7VoFRw
mk7tgfcAIYlumNIF/svgA63ALGo9RSbDpSa2733RhG/FWBrgA0N/LTwLmULOId24GSyKmjNIxGZV
t318Qw3RjrvI1dUasZTbnZyS9WfltmDJYE4M49IkIj13oBdGTVO4YlVyuKG8Gyol14Sy6RetnPqm
rn0fyTFQE3xgJj2+SaXhemJdeCVNN7DvmEWZzz1/gbvxCacjygO+Gq9xSNOIBnXMlHhqbu1OdWeP
p6dem2pATFqXCZJOpfSGDYusVd1FVEzT0K6E1S4U8XaphFhlXovM9T47OibaKOvS9qB8MrxrY6wp
Wn2yklbREpvi+Pb4JDsFQac0mZStOIb53AkjeMmvwosYhfemjEIC4+ipTRd46YRT2bxo27ledLte
w8F7tNiiKUELtelt9W2gvN4yIniEzIZVrnHNk0IuRQpMB1cnCevHMeqtj2lKBY4JkAV71lI8NHVF
2DNyLP/SSM1+ylpWPeTYKj4aTtKdbBLJuxU5n/6tnoz2Ywaq8M4k2XFvKaicHF4b+7GRvncJjJDj
ixZhcGMYsfVlAsd0ahu/f7Ism2boaHW8pVXJsroqpI9clFBEhCpAcngpB4cdixgvtGq2DqL0jg7/
EgNOokJ+kwprkrvWHSR3uiAvp9VRSiBX80CcGI5Fd1Ig6WhDPZtQY04prHF4lPH0LSf/9jUUDYXa
7LY+uVxC38UBgrdVlCb1x86V1W4w2HWjymEz45HacNhJtmbUpHtloDtZ0Rq90eHoHfvBbLcKQMtZ
ibIk08cT5rkCiPsBQ3CL53FMig0KJ2ftaidkOWmNR5XV6k5Og38oMD1tm35W+6Fhxm0rKEOEPwzt
rZ8X9ie6t0T94Ax9NqnvzrqqB2g1VP+0Mz26NEZ8QdLRr/0gIpGYWQbo9aa47drgq9ELQeZLgU0i
li3xZbO4DXpeDSzCMbNd+1jFwn/A3jUeh0n2J9fwQNtjYsFcw6mjo2Jc02/WpwZP9C1K5+wM1+sL
PEVYPeGEyNyf3qKpIAXZIYo+9FPaioKgiU2tpxcMPuHOI9J+qywSlw0e9H3cg9/rNay9rKno2VRZ
OVk02kCB2aPYuGg6V62sqGXNWb8mOaAOjgrzgXh2F+uzYIzrexV9YBHkQF2k1eeXUcZAkGI2G7Dn
CEmIKsnOMOk3g2R8Q49VUGlU8U4gz1kF1XxHmhf/vRk+NvY43Q9tSR+4z16CxvpkRyzW0ii3iUN6
CJ2St6DEaIDDLdkMQxxtGoOcNsBH1c4SmXMYnGJP5vRl9vG9wniW66DDBBURwomhAq5mWn8Ey5M+
uBHCMMM6UFi1+x5z+WdjZAxiobO2TZzp5kyFPNYGAhv8riukHG9FkNaPQ1c/orbLp5VZ+WztYjkI
xrlx72MAXaN/iI816dFnpzfeHcPrbiuLCHTN+r9KGIPR6AmcT+3ArD0qxnOv1HjUef2/3s//2tha
mtZvSeYvf+iiKtufBtff/8x/CJXFPxzPJiWRm3wFgPyTG+LZuEIdzwQfKr6rmP9zcO2Q14gO2WIW
CqfcwTD0n4NruICexRjc51nzhSkd778jVV6wID8IlS1QfQL4IN+QD1lm5D9PrX0B9gzxozz4Pufp
Io7J/I0AB/wwyv8v4D98V9j8Rog5RFhyJX6xmIYdFn0bWNmhS0vc9AR7cIAlzP7zgkV9KFzM9zmc
Cr2Bbqlef//Zy/368Sc6y4dj8fKRD3Ci5GL//BNjN89BrfnBIXKCKmO9agb6esioIcdmFzaY6i0K
ChXQXWK+0sxT8sdotHjsgPrYmxzJ52rqUKi0lPVruzbqU5dVMRK0dKlx8pC59qQRNbEk3HaNF14K
AFib/8GP8BAVCJyhkgfplytoaoItICwz5JixsY8EPe4Ko0Ds6w3Th9oGnRKKzGMNLiD6CnNUrxSu
/kZW2D7XbRIsAmlrfKjo0nAQnNHbBIzZej/DiR70GSOdQTwXSdcSSDG36AUKVHC//w08sv9yH2hs
BDiMfTzNS3DpjwKJxrG7bvKGACC+GkiMm0mUYqNAa5d++/0n/Qs6kTtOv9lG3QGgH0nIz5/ESaBZ
BhvBobcj8zARybFvXb8+6dauH02JWvr3n/fLS3R9wgLQMtixnWUgtTyBP0g/LNGUJZY2Pi9K9CMr
SrOaOygXv/+Uv7h+jikcW3LoxcLg/HL9ApLWccsZ/kFbQ7JHzfBN2UFyyBr/+fcftAhmfr1T0hJL
SuKyLvzLopBG6GwGnsGDNXMun70GplnAMzNN3LipsJc2TOxC+qra7IJwwj8rguA2DoL4Swyb9qaQ
sn7UQA8xmvWoqZRYLIE9XtFDtDCJqhx6QcKz+aGPcFLDIzUdPDfpgC7ZifiQUS3YLh+XT2O5zcfB
nZPD73+k7S/X64elz+EJMQVLg2d51DSBRBv0411bmBjka+nxMGAUo+UDgctbWFy0qrJdtfC5XEBd
kIYhdi3sLh7e9ADhrNv1zER3tGj0nbrivlrAX7Vbmh+FlSV3EinbZ2+AD8b4bqvFYD2JoKiJzRty
epQUX8+WmQW7GKYIhnd4Y3FUWlT9MMjwpIu0jz6znGUHt4VTFnWWxGoGu4zdJT4UMOK2duQmB1yu
E3Y8aGcxkqR9Y1f+M36/9Jga9A1K8slxW0fh1xj7zLoAR30ESNffqxxy26pf6GqFD2etD/HUqd6i
dHVUt3YRBufrVmC6zrDIv5Butc4XbhsHe+NeYvh+n6ZpUfXDd4uy1t7L0KFyT13sejNHmg0VpgM3
wDafVdcUH70ozr4pEVcojcxgYhqlUW2StGTanAji8ZMH6WjjLfQ5KLn5MZ3S8Qyp2r13F0pd6ydL
kkaRDPe07FASp7l8MwHbGQvhLgZ1ZyzMO3RPBp6xBL6Rp09FwQAxd0WNTTo4jr1R3hHfDfF2LDm6
RZrukOGV6EfS83I9UTamam0vHD5kMxDroETKGIK2M8bmERRqcXZCCH7GFeYnYPbcic7AlzottD+T
/YWjLgRAWCH+sZsd+01jkH6Amtcwtja7YF17jf2cOTuYBjwRC1mwq237rVpog1lsGRubpj+hv1R2
HziIkpqTYZ7rQ8gndFSjwwC+MI7tRyuEHsra1h/R6U6ryRhbf6Vj693W3HOaa+px0vltEsL4xbuQ
YfjPOzo0sBPjoiXsw+RoaJHoZEYOXdhgjJ7Q1txiD/gcLxTGeOExhguZMdXuR7q3yBbKkm5Nk66N
hePYEl+4s7Vm3jx2A8ADeI9VP0N+NIlS69LaWLULF9JbCJH+wooUxdV1WC3+AUiStFfL9bTQJY2F
M6lAP+xiIH1rHFJgKLW5ICnZjLwN21C2SyLfBVk5JKiRIjiWummMG4lennhNKJeaieFbyqkK1Ezj
wX26AjFNK1X3RDpyh0QjIGZOwjkyrM8PYuFpehWvi2vA0cyg7dG367Zw6mOGwXG9ot8SrkczLb/q
3ok+paHo3l2vmT7ZvR5OBW2GY9YHoAcj5ZzxUYK+aXEAoFPujx26s3tjomMPP5ThKEByrxFHXF/e
XG9E7RbbwozQ4hvz+MHpzXJnL9U9gYRqi3QE+uGEpgq7SbIXbl2eEzrf9AnoM8iK/zMtuwyvhjvW
18bhxq26aW+4mJTqxszgbPYT0UZ6qO6Ig8k34cJTm/sJdVKFskVhgd0kETuHmCFkkReotnSErS2/
WJ88t7W2AyYTOO7mdIOWvfmI5MG5t3hR7ybYrN2GFFL0iSZiij+gow04mkyObXCwvsZMycD9J97L
latUSk88Gyb1BcOT+J6EBKqTnpKvqmBbuFEA4ynMx7pedQLS3Gi62SXH1PEpTe1sk5nzsMHLNj4Y
UmHIyIR9HEDu0xkLupeqbbC/0Dl4n43YPOSpw9qj+ZEgOsmfyCtgUwgfD9Nkqzs7nsOT12h2rsHG
BwadPWMoXaptoHt+OaSPexRew0Z2trXFgGQRsOFE97On6Jcz+uLPWEEOBIr2IbGaNt8k64ih6PuW
n2S4IsKP4wHeQTsgt3YQy3vBwsC8CaeEaq2Z8a+brwOvC0/UKnKtQjdAypXrU+/yvAqbTgU1cP+S
9Jp1vbLqUzqBx1hR2xAxaxb1HuKFvGGQZ1wmPiDeGAzTEe0zWyShK5afh1DSgwba1l5MDy4t9J/u
ok0cPcR7iE9oG28akkX29H+rfZNanP+pF+0bOZoY3VkUhO5sUP81vUe0d8cis9x1n6dgjOww3lZl
90ynFFBG2xKBmQ1yiwATUXgZYAaIo36vVT/Fey6/l33Vjl/HZ90UNbkSE111lDt48wk6MzfaxgFx
DpgAK1ZW8swWmIkT36HhGov5eN3e/xdW9DewIjh7DifM/7/O+uMbhkLMF1X585n1+sf+PLMK4f4j
WA5NrgQ/z/Cf0ug/xNaW8w/PRm690Mn/eVwlj8tEyASqXLoO/lG+wp86a06yUG8EIV4C7pyD//e/
c1z9uQbmFWG0/T3wG5H1NcLrp5ptrua6M5oOBRx5O/O6xKH2CM8HQyJOr+bzDxfm4Xsp+H8Y7jxU
Sdk2//5vP5fB1w+DigSjk9QTl5/7S1kfydHJvbh1HmNjUq+lU1nPU9sHL1mC8INRj6leUUs7b0Gf
6r+pTv/yo7ENm75PyhcX9efaNDEyMbYMxB/ngKNciTkr2PbT4I1br3PFs01/Du2uqSFokAZOmf37
X/7zAWr55Z4FMQQfrY9ykQLx548HO034SZrbjzlgC6RpRt/SEm+7WZ2Savm4kZ3wb443Fs/ID/X4
nx/Ko+IgoHGF9+spqlTQ/yKoBY+SjMJn4h3tI3HgM6GDyJtfVMsxw0lsPrwTnW72cdu1765ioc0h
Ztjrmg1or7wI6kiDaSvczvPsvEHWZ3LFcMgUN/2SLLxJ4A6AIVaiYP6CCNz+m8Pgcmz457Hi+89w
adhI15LAvX49pvmDb3ejF1uP1Ig8K12ODzfvSCD1m1E8E7xW3YwZ+9fv79jPeQh/fmrA6+HhOCd7
65c7huPQS0epxWMKXvQZQUGCJKmMv5npyFxAzONFOkrcITlEtT7FlBi///x/fTE9W3Au9Vwz4Ln5
9V2BpFdmxJCS6U3SxCVZXhgmk1Bb+lrc/f6jxF88KLbgvI0jjA8kt+nnpzOcvLY0zU48OvQ1LtSR
AM1BcFDuhbbdvI+Z47z1pru8nSa+aeUNvCxG6o0PeKaNv7ndf/XDbeLMbCk8ibD3l0XCcowqqAl3
fezYTOu1AwuqOjMc4ryblNnf9QD+6iVZOoK8l/yPJ62lFfFDq0GolHQ/u7cedcNQg/l6Pq8dKPU3
nWdWN2iVHeboTcVELOEpD/JZ3BU9dT7WJ9zMaEzm6sZw+/ESoR6OoH1Y2HipaLeidceHOO4pK0Cb
8ZYxpxmHUxCbWBn/5gb+xfLiWdw/uhkSr9r1ZP7Dj0jzKOx8fA6PYZia9W72tIbzxHMztoV61bow
1rk/sO5NXMCCGeAWHEeOpWsK6oOaCviGSeZweJ2HGbmACM3m3dfmePn99/yrr0n7A4eQw5eVv0Ic
DMZWPfQb8YhjnwtyvcxCafUqyOUgXlz/3ZO97KA/rR2uKXmq2XNp/uJm+vUTi5YoLeD1zeOg7OpG
toV8C1EJ8Q+bQ1tngkHStksWZJiEoaZ+T7EVwmsKnhI4rmpll1P7blfUzqnJCmAavASJ7bBwLs/E
9RI17BruSiRxcG56D3ctrbQzoXN4JZjk3C2e6++Wt6/j/43+qP5iG+UX/Pqz+CXcZ0psx6Lz9yub
evazwKuTKXqsWEjX9BBmvUk9I72v7ZyRcol8dVinXo9U0ZLUt+ukB6G2C+II8UvO322upxH4vpVa
CLmL1tv1xDS0B3pQkFtKESFQMUKJ4hQXEMptk9ikD+hHonZjelUF1jeiUl47gRc3G9MyeTPSZiAZ
oIhd0FaLvt/xVfkIlC2+8ZsiPXNYqu76lCob25AmhUtZObwcwnkB7U75VzNrxAajDQNNkoGJLZ4g
/79PEvjFqZ3icpO07N8nM5AFEF47VQ/grkkQQSRG8g7IHxLkPTCj0JA8Q710ZZ4OGzv0vKcgqGH7
k21DRpu2+rpnYhppxlpuMOk1xzT/S22gWliXRdNmhxnfMbasrnMIsoNEYBxDSNhnK+pQe6o+PEHl
DgAR9AKZLtg//WgMWPVWqWxLiQrZytBxx5FSDx5BY2i0AicON346BC8R7IkXlfGMkF21RCJXWLvq
IsbrRGkQbD3RQi4pKinf8HNQJhA6LpDfLQtxr3ibm2Tij01ek8eb0KZZ7kNCQmUm0tw7I2nKOnZm
wYCS2K2y4/Byol2bTre03eoz/R1f7KKpKmIUBslI9HSUEEmWBe1XOkYuhhSOqmCzYJ8GdhFh/3Yg
MgfMmWs8XoNpzp9E4ycnC7UqGFifsXRbVUgm6mYPDzPcMbKsPhdBIz9VtiGxhav4nQdl/CMijwxf
NF25jdlxe2gzteUesKLcFMLr1zxY13ZHWI4j/gposCu/at+dGtEYoSCRejYkQQo3fek3WOnLMg+K
Z68PAcjxAORT5W0Kj+DCbNVOhPGgoHBkEFr8b2TslkTp4CSGiFeAPCYwLn4mAvXJiHvX5utmKePB
qZ4KwgkAau/zWUJYyzKudAkA5saM6B2z2hvOW+0PTASQq2MAJwsv/zAaDXdsCls2BQ7IpGp4AesK
E9Nkn0w8lRAlBZupUzKuWTNMgQ+vG+6sS88ATl5aGWvT1P5mCAYerzJCL9dkPUt24iCMJ1u+Xc+T
67yFkrTHKDGpV2EIshoVg3wbwzl4GWiOvzfzAiPoXBYeh3XIc4pgW+gY4VnNG+qDErX56/G/L50q
ZFk3lHXhSwfGAbdZUd1kZWY91+YiaMYzEJzbtmd9ZjnDFpE7AQRoIVr+mwhqAXEqCYWPhbUF5JTH
+HjnSy6OttipV1C5+Dc0gJs7BBQsMbgC/DNggeAceNV4saTLpv69G7GskdRw/jmkAXXjpbVGOek3
7zXhMx1tTUc8N023wJqXb1sg+UxRxjkMXSg7iWmRyfRQX2uRLEc3dl8iMj1EUS/uupk70jtUhpPF
GAbFf7CF8jtduoTjhp2nFiwgpjfA9JYG/FI9ThbXnowIfhSvJJ+UkRzzjqdyvKTLf2Kwgsomgk5G
f6mXb1fOHmja5l3l7LZ1ENWvIOKofsekmS7XQmEmoGM6IXd036yR+j5tcm5tzZcZLT99J9/X41ow
MjhW9SIFiXml3So0iabDSXXmMeLeWcu3Lauajaep9AHY9XgxU5MivIJss5UiU68YAtnNpwxM0DYk
U/HNbWYoRn3l4u+oG803x7hJBUXDaBrPtaHRiF4LHOR9Admlafv+/fBjL6XPlAZ0P3M5kY3kYMVJ
kQkioLsd5OSfY3x/b7HHzGLPtsMXpOWYzivfKIcU/IAIv0BG4sPL6yskaKCPu37USxnEztNu9PDo
OwNBy0HDPVIwCnG7Ne8B9ka9BbXA2lYtRxVoPLTWJpiELAP20eVO30Ez8o78nOoGn4V7wSqBu8eI
c74tri59GAZ2XOyY1OX4du9MvBGYdZyOvxmDywgNj47grRrAACIiCTkDCrfkqWVs4dtbxmx8GWDi
MBqRCfNP4Qd4SBPvOc1o7W9b6Lp72wp4RtD0yjeQjFxT0EP8/usikOX2eJmSkquSZ0lwdhfcEjla
vHDu8vHF0Ppr4DmUY9jAXgmUhMsYcVcp9+sDOQrcVRAl/ga74HIdBkrQoEzCFyOexodxitw3XBS8
r2aOjcBKcE9uIskbr3XDN7k+ieB/BErwhCVACmr0rdCkjFLT1lHzEEAuH45+tdygtHZYmiwSHA+F
FgH4m3lEksVxtIE/AYh3ZfkLtsoaouJpMlP5ZqepeLYMnzMAQgu2JtgzzwPAQNpr1kKdYp0P6OIn
gXp1I8WLXothfLj+QnYiauQGAzLtUxqI1wPvPBjqdYah/AxqFw0tSzepuRxpn2nni2fkZ9yWdqnS
ZhIS8u8V43XbnGaTJ0rlhn20/ZjfPhMmdC4tRg7g22nddx0nmeWq0U0bAzreAmA7syNeepdfkSWh
86aQ6JNzHDNZzLOS14pMCnii9mzvMCVB+5FNxHIESC9ZW47P6hg3GoRuzCPf8YCH4yVOQtcm8dOr
SRyQ6FslUa3yMmoIwAjLnQx1rTblG/05nhr+7eClHE2OrXnnHDN4OdWWgL8hx0rs8qcZoFn1E03c
gUcE6CjOnmVzgQO0rH2jRbZVFQkWeUqRaDmSI62ccbPwTFwvwPe1aDm496nFurAsrMAj2XGuzy4y
OLa1sVX6MHrJ9IVRfPh4fT4dhMZ7aEfdHkCHk916nc8j4pudPjgy609xNGma3NcHAkOJ/0156PLX
he71wUhLeKVYD95o64rn61PhjhkvBRY4cecC19qLuhR3qVy6DVmzkPTBWQoQ2JJB75p0dGPt1RZN
CC0B7IId5AcZQ8HTh34yX2uHicl+ohDSG86e4k44/AQeOfHMXKkCU5pHvFleWLPDeNYi31c8NF1a
sdrbibhnZjk/clLnoTahl3brdmDRvq6ATtbC64RBxMVGSrts3ySgkpSF4YNmEBsQFvLInoY1MiMW
hSrSfbirDT9guULGMPPAtbxmdj3xudirx0sxOdpdKY5qL8E4UfhJxFCMO3skcIMFFXyTOnrE1EAt
ND/1gPHHQ0uEXnwvmpSwBFLgxR2eS76F9Fs+Aec6T7spwlk/t7KjCImMLHgxB5WQDI/ofserMjw4
qJifOn8s7i1bfo2N0FhnyIoPpATg3NSs7EMWpd8iDHsrzwKzYmNEz8gUtHmBR7bHNFHsSFOCJryl
5RlQoUzuS5ZOXOdEcUMrCeIAJnlq78ySxIFVVINWifuxOCZKpbe20wixZtcsjpzsx0OJ+ApoiFIl
RkmGv8GYUy+41shiSJG5JD5YWPjGsWnNU70s/idMODQiacxTU3VOxQkmL/OjUVl0YeiydaDWyOZ5
ilKkkGtdKP5ZB4KLZMt5fKADOOB4BXDEBI91qe6pcYqlpKtjf7xkEaAaJiXGugMFfHM9KGc5q+xg
B7yqQVwzSjU1Xy+cPZpNeCyHDTmNfNPxupmEMev2DN4sw/JOWhZyQhVs02UPF/iHXkI/5Am6Hgwj
0nLVKWcUugDVWdMqd/RCkMOjPmC2Ds5JEDnHQQXiLhpl8CKMtnmH/uNvsHwRr8DjZO9K12L/RMzL
01pErFYzpr/nJadrfV03gzRjcQzYMLdTXfJO5Eu9qcL/x96ZNaeNBHH8q7jyjgt06yGpWt8n643t
9SYvlAwKDOgAHeb49PsbYTkMYOxYqq2traXyEoR7Rj0zPTPd//6361yFCXlORK1wX01nxvjbiIzL
gzjD7iUTllAWMHlEh6yHRgzzuKSGOFgsSO465G43ONOACPrGk9VMyY7NWXFZg7QOcwSZXmN5wpjg
I2mwM4fg8I1z21407XMubLPsLOV+QzZbnpwSXcpPoLUgKRk4FIHm0aJ1R+I9LjvTxSrh50El9rDB
tkF6JzeJ0GJjsZ7m1t0AjzW5nECZxuSutJNFX5qD4shswlRo9bUZaeJR2Dwhomw7x9Y8005oeXA3
SPLZ/WxgLa4GZCfck304OkpZIVhnbjsLamFrEuNvheQUzY1x4yZpgGoGoe5GzrGeUMNQ65uNbj7W
zd7QzRc++ShP8EDMUo7b0wBsqTWH+XucNq9aHMoo4+1M/5IsJgmh4Q746skkGkLRFhNZNPWZaAsb
9uf+0BIP4Tjr31J5ESBjHlIUcZSazVM4B+dtVx937gcNYj4x5Puk0EVNkXJSjtz+zSJqcGMNmv0p
lZszUtMOqMdsLXFd/0d43orwUFcXn/OOCA93YiI8Snhn+TdleKdp7DdNyqJauIqBwNj4LMvwTqvF
I3lOAe6whB0+U+kUiMSmplM/yzZw8uo4ecoQT3PfBUOIk8chZGETGfqVEM8amAqcnilRThD3ElDC
qkof2YpzkGIJLZiZJtN2Hvb6aQAU9nFFG9v8UYo3Cr/aWgNrrvJkpgfheEYDzpAMcGAXueuJp7Zw
OZi84ZUv3N4/gwHSh+c4RMPYwiHw3HQhzsEfBGZgtK6HJvwOw/FB2NAoCA2vgaONJub3dDjrO90B
bHMZvoyxllIzJuYmI6ILvF6TftjDm+HYfWBAELC79mkn6csFGOW+oNy0CK/yxEgbxiXu7sV5kLqU
xb1zhoTwLRzTnbv5JDsZasK8SIF73wwn8RC6hmFnEmWHBFmw/HpCkFZ7shrgXiCRdskaCMLJYHQ7
cWFsw+FEoTE7PqITwBBI4gTaBr/lRdIai/s5cY3LoDOBWQ+cQTClMIegzMWlTXGQIxM4d9tpQdb5
HaQGFCuNfkjOcKYlkGmbhv47WObx4nKYkdJyO+VybkTH+lO/4+JvIZoOSQ60FolIl3GK/4zVeH4R
WWPmuCBU/iP3k/lXP83J5ywJquTTImh5B2lEJmCh/sUf7Ra05xdC37BDJnCslYX30qeiL7tEBB5d
znv+508UuIE0ywIS6nLQ4UOkJ4gBui0fN1otl1I34POICWJh+BQNrujoNS3sfsGlOnf/RnmDbpxH
mRwGTq5K3BwT9T4drElY0YELsRkgRIztUge6qgOX0DqBNUt3jaUKlg3+8zrweuwqRyLNEtHNVjcX
ahpZDJyyIRXj8gszAVA7CVSaAZHrVi3Y5j5bVdO0YOopPhhtGvw3aYF4L0NXTQvNfcdlOQBMXX7W
1oNtw1lHeMi2m0stsAe/VwvvUNWLfTkciKBXWBbhp9tsy2s/KJfU5vPn5XTe+/xJrhnlh9LQLNv+
aXi+KNOtGOiVh+XAF+08//nzC242rbRVvlX55ZnwEw+E2rx4MH/uZtsLMU+/Bd6jp5b1koGscu5v
tY8v4/+G4HTklXKkTlqEGMv/V5BLrZ9YZc2HToAD1E/Vff6kKHZlwu7scDLyolTlZ4Rcm+lZVfKh
F4gfcRIJRR3LvaWy7DiIE6+nFPUFTIPpqC45ivxuJrq5YgltDs7VhR/5gTf1Er+UJOeH40hIVdVu
l9Z7L/6xxzEyDx9VtYP5qmEWgupMRE8ZzxZAGC4ZVft/6sdJX+1yi12BHbGq5DM0LkQpp1iROlX3
yi8+viTPe5QGLMUUcg27VYMJOSdCEsUiVUVz5C+/qNDlqCe8NSsCKKGG8TuPp+q0ICGMq2zVwbvc
tE3A9WpYL5f0LO+O5mUXi/GzgB2VX3xcyVcxiPQNNbuaU8PcuPZEpFgPmSxYQ5+vPQrgelGvfHup
Dq1p1DGE116aet1BnvpZpsxp6ncYdahEdAei76lnd64XNazwa8FeQCqzMrOBpsoa51Vn9rVIU/kP
wqNSWKF00EE1SY/JvF8TXUvHyYldsyFaC5blsqmPL5y2/5gAKlC1rZHAVYfoJ0/dt/DFSP9T1WFs
+9O9My8cpwOhbuvIl5TUdci/8JPUn5eyilkCyVVNwq/9megq2xiXvjp2dKmZb3EyWuu3vE9WVgpF
NLZXktJ0S2JK62ngyButr33dkrDMquKpQa5q3GC21CB2R7Hi190+77rW/J741B4tu1hMQYMbe/nF
x9f8jQ+pBmkv3to1AfSNvHNX1fTXQdzz987Tjb3NtmSyeFXxt2+WNKuo92UDmxNRVkyr4Tx4h/b9
NPWVI4VOaloNlvFV1v+KKrnPvEE5cnIi6oal1bDX72B7qNjhPwU3m7XprZuUqSvf4uOrZ3fGT8V+
P/hptre18/jraph8DyLtxmTLKWZFtwoMcdWF+fB6oGynVrZ5ml58kZv+p9LbvO3PVOea/EU38L3k
y98AAAD//w==</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lumMod val="95000"/>
              </a:sysClr>
            </a:solidFill>
            <a:latin typeface="Calibri"/>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5">
  <cs:axisTitle>
    <cs:lnRef idx="0"/>
    <cs:fillRef idx="0"/>
    <cs:effectRef idx="0"/>
    <cs:fontRef idx="minor">
      <a:schemeClr val="lt1"/>
    </cs:fontRef>
    <cs:defRPr sz="900" b="1" kern="1200"/>
  </cs:axisTitle>
  <cs:categoryAxis>
    <cs:lnRef idx="0"/>
    <cs:fillRef idx="0"/>
    <cs:effectRef idx="0"/>
    <cs:fontRef idx="minor">
      <a:schemeClr val="lt1"/>
    </cs:fontRef>
    <cs:spPr>
      <a:ln w="12700">
        <a:solidFill>
          <a:schemeClr val="lt1"/>
        </a:solidFill>
      </a:ln>
    </cs:spPr>
    <cs:defRPr sz="900" b="1" kern="1200"/>
  </cs:categoryAxis>
  <cs:chartArea>
    <cs:lnRef idx="0">
      <cs:styleClr val="0"/>
    </cs:lnRef>
    <cs:fillRef idx="0">
      <cs:styleClr val="0"/>
    </cs:fillRef>
    <cs:effectRef idx="0"/>
    <cs:fontRef idx="minor">
      <a:schemeClr val="tx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pattFill prst="ltUpDiag">
        <a:fgClr>
          <a:schemeClr val="phClr"/>
        </a:fgClr>
        <a:bgClr>
          <a:schemeClr val="phClr">
            <a:lumMod val="60000"/>
            <a:lumOff val="40000"/>
          </a:schemeClr>
        </a:bgClr>
      </a:pattFill>
      <a:ln w="19050">
        <a:solidFill>
          <a:schemeClr val="lt1">
            <a:alpha val="70000"/>
          </a:schemeClr>
        </a:solidFill>
      </a:ln>
    </cs:spPr>
  </cs:dataPoint>
  <cs:dataPoint3D>
    <cs:lnRef idx="0"/>
    <cs:fillRef idx="0">
      <cs:styleClr val="auto"/>
    </cs:fillRef>
    <cs:effectRef idx="0"/>
    <cs:fontRef idx="minor">
      <a:schemeClr val="tx1"/>
    </cs:fontRef>
    <cs:spPr>
      <a:pattFill prst="ltUpDiag">
        <a:fgClr>
          <a:schemeClr val="phClr"/>
        </a:fgClr>
        <a:bgClr>
          <a:schemeClr val="phClr">
            <a:lumMod val="60000"/>
            <a:lumOff val="40000"/>
          </a:schemeClr>
        </a:bgClr>
      </a:pattFill>
      <a:ln w="19050">
        <a:solidFill>
          <a:schemeClr val="lt1">
            <a:alpha val="70000"/>
          </a:schemeClr>
        </a:solidFill>
      </a:ln>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lt1">
            <a:alpha val="24000"/>
          </a:schemeClr>
        </a:solidFill>
        <a:round/>
      </a:ln>
    </cs:spPr>
  </cs:gridlineMajor>
  <cs:gridlineMinor>
    <cs:lnRef idx="0"/>
    <cs:fillRef idx="0"/>
    <cs:effectRef idx="0"/>
    <cs:fontRef idx="minor">
      <a:schemeClr val="tx1"/>
    </cs:fontRef>
    <cs:spPr>
      <a:ln>
        <a:solidFill>
          <a:schemeClr val="lt1">
            <a:alpha val="24000"/>
            <a:lumOff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styleClr val="auto"/>
    </cs:lnRef>
    <cs:fillRef idx="0"/>
    <cs:effectRef idx="0"/>
    <cs:fontRef idx="minor">
      <a:schemeClr val="tx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spPr>
      <a:ln>
        <a:solidFill>
          <a:schemeClr val="lt1">
            <a:alpha val="50000"/>
          </a:schemeClr>
        </a:solidFill>
        <a:round/>
      </a:ln>
    </cs:spPr>
    <cs:defRPr sz="900" b="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_rels/drawing6.xml.rels><?xml version="1.0" encoding="UTF-8" standalone="yes"?>
<Relationships xmlns="http://schemas.openxmlformats.org/package/2006/relationships"><Relationship Id="rId8" Type="http://schemas.microsoft.com/office/2014/relationships/chartEx" Target="../charts/chartEx3.xml"/><Relationship Id="rId3" Type="http://schemas.openxmlformats.org/officeDocument/2006/relationships/chart" Target="../charts/chart1.xml"/><Relationship Id="rId7" Type="http://schemas.openxmlformats.org/officeDocument/2006/relationships/chart" Target="../charts/chart3.xml"/><Relationship Id="rId2" Type="http://schemas.openxmlformats.org/officeDocument/2006/relationships/image" Target="../media/image7.svg"/><Relationship Id="rId1" Type="http://schemas.openxmlformats.org/officeDocument/2006/relationships/image" Target="../media/image6.png"/><Relationship Id="rId6" Type="http://schemas.microsoft.com/office/2014/relationships/chartEx" Target="../charts/chartEx2.xml"/><Relationship Id="rId5" Type="http://schemas.openxmlformats.org/officeDocument/2006/relationships/chart" Target="../charts/chart2.xml"/><Relationship Id="rId4" Type="http://schemas.microsoft.com/office/2014/relationships/chartEx" Target="../charts/chartEx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6351</xdr:rowOff>
    </xdr:from>
    <xdr:ext cx="8667750" cy="920750"/>
    <xdr:sp macro="" textlink="">
      <xdr:nvSpPr>
        <xdr:cNvPr id="2" name="Rectangle 1">
          <a:extLst>
            <a:ext uri="{FF2B5EF4-FFF2-40B4-BE49-F238E27FC236}">
              <a16:creationId xmlns:a16="http://schemas.microsoft.com/office/drawing/2014/main" id="{89A47723-45FE-F399-1DBB-B19845DE4B5E}"/>
            </a:ext>
          </a:extLst>
        </xdr:cNvPr>
        <xdr:cNvSpPr/>
      </xdr:nvSpPr>
      <xdr:spPr>
        <a:xfrm>
          <a:off x="0" y="6351"/>
          <a:ext cx="8667750" cy="920750"/>
        </a:xfrm>
        <a:prstGeom prst="rect">
          <a:avLst/>
        </a:prstGeom>
        <a:solidFill>
          <a:schemeClr val="accent2">
            <a:lumMod val="60000"/>
            <a:lumOff val="40000"/>
          </a:schemeClr>
        </a:solidFill>
        <a:ln>
          <a:solidFill>
            <a:schemeClr val="tx1"/>
          </a:solidFill>
        </a:ln>
      </xdr:spPr>
      <xdr:txBody>
        <a:bodyPr wrap="square" lIns="91440" tIns="45720" rIns="91440" bIns="45720">
          <a:noAutofit/>
        </a:bodyPr>
        <a:lstStyle/>
        <a:p>
          <a:pPr algn="ctr"/>
          <a:r>
            <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Introduction</a:t>
          </a:r>
        </a:p>
      </xdr:txBody>
    </xdr:sp>
    <xdr:clientData/>
  </xdr:oneCellAnchor>
  <xdr:twoCellAnchor editAs="oneCell">
    <xdr:from>
      <xdr:col>1</xdr:col>
      <xdr:colOff>6350</xdr:colOff>
      <xdr:row>5</xdr:row>
      <xdr:rowOff>12700</xdr:rowOff>
    </xdr:from>
    <xdr:to>
      <xdr:col>2</xdr:col>
      <xdr:colOff>12700</xdr:colOff>
      <xdr:row>13</xdr:row>
      <xdr:rowOff>184150</xdr:rowOff>
    </xdr:to>
    <xdr:pic macro="[0]!Intro_Univ">
      <xdr:nvPicPr>
        <xdr:cNvPr id="4" name="Picture 3">
          <a:extLst>
            <a:ext uri="{FF2B5EF4-FFF2-40B4-BE49-F238E27FC236}">
              <a16:creationId xmlns:a16="http://schemas.microsoft.com/office/drawing/2014/main" id="{9B7008EA-CA8E-3B99-B1B7-AFC99E6F2E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48500" y="933450"/>
          <a:ext cx="1625600" cy="1708150"/>
        </a:xfrm>
        <a:prstGeom prst="rect">
          <a:avLst/>
        </a:prstGeom>
      </xdr:spPr>
    </xdr:pic>
    <xdr:clientData/>
  </xdr:twoCellAnchor>
  <xdr:twoCellAnchor>
    <xdr:from>
      <xdr:col>0</xdr:col>
      <xdr:colOff>5537200</xdr:colOff>
      <xdr:row>7</xdr:row>
      <xdr:rowOff>69850</xdr:rowOff>
    </xdr:from>
    <xdr:to>
      <xdr:col>0</xdr:col>
      <xdr:colOff>6896100</xdr:colOff>
      <xdr:row>13</xdr:row>
      <xdr:rowOff>171450</xdr:rowOff>
    </xdr:to>
    <xdr:sp macro="" textlink="">
      <xdr:nvSpPr>
        <xdr:cNvPr id="5" name="Flowchart: Sequential Access Storage 4">
          <a:extLst>
            <a:ext uri="{FF2B5EF4-FFF2-40B4-BE49-F238E27FC236}">
              <a16:creationId xmlns:a16="http://schemas.microsoft.com/office/drawing/2014/main" id="{B12C1D9D-C035-D0EC-812D-CEECD38D29C7}"/>
            </a:ext>
          </a:extLst>
        </xdr:cNvPr>
        <xdr:cNvSpPr/>
      </xdr:nvSpPr>
      <xdr:spPr>
        <a:xfrm>
          <a:off x="5537200" y="1422400"/>
          <a:ext cx="1358900" cy="1206500"/>
        </a:xfrm>
        <a:prstGeom prst="flowChartMagneticTap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Click th</a:t>
          </a:r>
          <a:r>
            <a:rPr lang="en-US" sz="1100" kern="1200" baseline="0"/>
            <a:t>e Image</a:t>
          </a:r>
          <a:r>
            <a:rPr lang="en-US" sz="1100" kern="1200"/>
            <a:t> to Select</a:t>
          </a:r>
          <a:r>
            <a:rPr lang="en-US" sz="1100" kern="1200" baseline="0"/>
            <a:t> Universities.</a:t>
          </a:r>
          <a:endParaRPr lang="en-US"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342900</xdr:colOff>
      <xdr:row>2</xdr:row>
      <xdr:rowOff>120650</xdr:rowOff>
    </xdr:from>
    <xdr:to>
      <xdr:col>5</xdr:col>
      <xdr:colOff>749300</xdr:colOff>
      <xdr:row>7</xdr:row>
      <xdr:rowOff>82550</xdr:rowOff>
    </xdr:to>
    <xdr:sp macro="" textlink="">
      <xdr:nvSpPr>
        <xdr:cNvPr id="2" name="TextBox 1">
          <a:extLst>
            <a:ext uri="{FF2B5EF4-FFF2-40B4-BE49-F238E27FC236}">
              <a16:creationId xmlns:a16="http://schemas.microsoft.com/office/drawing/2014/main" id="{391AF0F0-3927-4BB8-B806-9AC6C798A24D}"/>
            </a:ext>
          </a:extLst>
        </xdr:cNvPr>
        <xdr:cNvSpPr txBox="1"/>
      </xdr:nvSpPr>
      <xdr:spPr>
        <a:xfrm>
          <a:off x="3346450" y="488950"/>
          <a:ext cx="3225800" cy="882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Min-Max</a:t>
          </a:r>
          <a:r>
            <a:rPr lang="en-US" sz="1100" kern="1200" baseline="0"/>
            <a:t> Normalization. We normalized the Total Safety Score mentioned in Column B.</a:t>
          </a:r>
          <a:br>
            <a:rPr lang="en-US" sz="1100" kern="1200" baseline="0"/>
          </a:br>
          <a:br>
            <a:rPr lang="en-US" sz="1100" kern="1200" baseline="0"/>
          </a:br>
          <a:r>
            <a:rPr lang="en-US" sz="1100" kern="1200" baseline="0"/>
            <a:t>Higher the safety score, the better it is. </a:t>
          </a:r>
        </a:p>
        <a:p>
          <a:endParaRPr lang="en-US" sz="1100" kern="1200" baseline="0"/>
        </a:p>
        <a:p>
          <a:endParaRPr lang="en-US" sz="1100" kern="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258536</xdr:colOff>
      <xdr:row>5</xdr:row>
      <xdr:rowOff>121557</xdr:rowOff>
    </xdr:from>
    <xdr:to>
      <xdr:col>8</xdr:col>
      <xdr:colOff>304800</xdr:colOff>
      <xdr:row>11</xdr:row>
      <xdr:rowOff>70758</xdr:rowOff>
    </xdr:to>
    <xdr:sp macro="" textlink="">
      <xdr:nvSpPr>
        <xdr:cNvPr id="2" name="TextBox 1">
          <a:extLst>
            <a:ext uri="{FF2B5EF4-FFF2-40B4-BE49-F238E27FC236}">
              <a16:creationId xmlns:a16="http://schemas.microsoft.com/office/drawing/2014/main" id="{98728033-9FCA-4891-B60B-2BC50721A2A7}"/>
            </a:ext>
          </a:extLst>
        </xdr:cNvPr>
        <xdr:cNvSpPr txBox="1"/>
      </xdr:nvSpPr>
      <xdr:spPr>
        <a:xfrm>
          <a:off x="5423807" y="1101271"/>
          <a:ext cx="2348593" cy="1124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The data in</a:t>
          </a:r>
          <a:r>
            <a:rPr lang="en-US" sz="1100" kern="1200" baseline="0"/>
            <a:t> Column B is normalized and placed in Column E.</a:t>
          </a:r>
          <a:endParaRPr lang="en-US"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423332</xdr:colOff>
      <xdr:row>0</xdr:row>
      <xdr:rowOff>505</xdr:rowOff>
    </xdr:from>
    <xdr:to>
      <xdr:col>9</xdr:col>
      <xdr:colOff>565453</xdr:colOff>
      <xdr:row>1</xdr:row>
      <xdr:rowOff>102307</xdr:rowOff>
    </xdr:to>
    <xdr:sp macro="" textlink="">
      <xdr:nvSpPr>
        <xdr:cNvPr id="2" name="TextBox 1">
          <a:extLst>
            <a:ext uri="{FF2B5EF4-FFF2-40B4-BE49-F238E27FC236}">
              <a16:creationId xmlns:a16="http://schemas.microsoft.com/office/drawing/2014/main" id="{85C2FF5A-BF83-36ED-00EB-87F2A813FC87}"/>
            </a:ext>
          </a:extLst>
        </xdr:cNvPr>
        <xdr:cNvSpPr txBox="1"/>
      </xdr:nvSpPr>
      <xdr:spPr>
        <a:xfrm>
          <a:off x="8741832" y="505"/>
          <a:ext cx="142121" cy="29230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2000" kern="1200"/>
        </a:p>
      </xdr:txBody>
    </xdr:sp>
    <xdr:clientData/>
  </xdr:twoCellAnchor>
  <xdr:twoCellAnchor editAs="oneCell">
    <xdr:from>
      <xdr:col>5</xdr:col>
      <xdr:colOff>366211</xdr:colOff>
      <xdr:row>7</xdr:row>
      <xdr:rowOff>9665</xdr:rowOff>
    </xdr:from>
    <xdr:to>
      <xdr:col>6</xdr:col>
      <xdr:colOff>452088</xdr:colOff>
      <xdr:row>11</xdr:row>
      <xdr:rowOff>154806</xdr:rowOff>
    </xdr:to>
    <xdr:pic macro="[0]!Selection_to_Uni_analysis">
      <xdr:nvPicPr>
        <xdr:cNvPr id="5" name="Graphic 4" descr="Schoolhouse with solid fill">
          <a:extLst>
            <a:ext uri="{FF2B5EF4-FFF2-40B4-BE49-F238E27FC236}">
              <a16:creationId xmlns:a16="http://schemas.microsoft.com/office/drawing/2014/main" id="{D6165532-8322-6757-D52E-CB97C91DAD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143331" y="1334882"/>
          <a:ext cx="852018" cy="902408"/>
        </a:xfrm>
        <a:prstGeom prst="rect">
          <a:avLst/>
        </a:prstGeom>
      </xdr:spPr>
    </xdr:pic>
    <xdr:clientData/>
  </xdr:twoCellAnchor>
  <xdr:oneCellAnchor>
    <xdr:from>
      <xdr:col>7</xdr:col>
      <xdr:colOff>412542</xdr:colOff>
      <xdr:row>4</xdr:row>
      <xdr:rowOff>44477</xdr:rowOff>
    </xdr:from>
    <xdr:ext cx="184731" cy="937629"/>
    <xdr:sp macro="" textlink="">
      <xdr:nvSpPr>
        <xdr:cNvPr id="4" name="Rectangle 3">
          <a:extLst>
            <a:ext uri="{FF2B5EF4-FFF2-40B4-BE49-F238E27FC236}">
              <a16:creationId xmlns:a16="http://schemas.microsoft.com/office/drawing/2014/main" id="{D9B2A5C0-6B7B-2E02-C97C-A481C6DBBAEE}"/>
            </a:ext>
          </a:extLst>
        </xdr:cNvPr>
        <xdr:cNvSpPr/>
      </xdr:nvSpPr>
      <xdr:spPr>
        <a:xfrm>
          <a:off x="7644486" y="806477"/>
          <a:ext cx="184731" cy="937629"/>
        </a:xfrm>
        <a:prstGeom prst="rect">
          <a:avLst/>
        </a:prstGeom>
        <a:noFill/>
      </xdr:spPr>
      <xdr:txBody>
        <a:bodyPr wrap="none" lIns="91440" tIns="45720" rIns="91440" bIns="4572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5400">
            <a:effectLst/>
          </a:endParaRPr>
        </a:p>
      </xdr:txBody>
    </xdr:sp>
    <xdr:clientData/>
  </xdr:oneCellAnchor>
  <xdr:oneCellAnchor>
    <xdr:from>
      <xdr:col>1</xdr:col>
      <xdr:colOff>14791</xdr:colOff>
      <xdr:row>0</xdr:row>
      <xdr:rowOff>51533</xdr:rowOff>
    </xdr:from>
    <xdr:ext cx="7475054" cy="477633"/>
    <xdr:sp macro="" textlink="">
      <xdr:nvSpPr>
        <xdr:cNvPr id="6" name="Rectangle 5">
          <a:extLst>
            <a:ext uri="{FF2B5EF4-FFF2-40B4-BE49-F238E27FC236}">
              <a16:creationId xmlns:a16="http://schemas.microsoft.com/office/drawing/2014/main" id="{F4CD999F-5522-7CD4-994C-D05979A9448D}"/>
            </a:ext>
          </a:extLst>
        </xdr:cNvPr>
        <xdr:cNvSpPr/>
      </xdr:nvSpPr>
      <xdr:spPr>
        <a:xfrm>
          <a:off x="612322" y="51533"/>
          <a:ext cx="7475054" cy="477633"/>
        </a:xfrm>
        <a:prstGeom prst="rect">
          <a:avLst/>
        </a:prstGeom>
        <a:noFill/>
      </xdr:spPr>
      <xdr:txBody>
        <a:bodyPr wrap="square" lIns="91440" tIns="45720" rIns="91440" bIns="45720">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cap="none" spc="0">
              <a:ln w="0"/>
              <a:solidFill>
                <a:schemeClr val="accent1"/>
              </a:solidFill>
              <a:effectLst>
                <a:outerShdw blurRad="38100" dist="25400" dir="5400000" algn="ctr" rotWithShape="0">
                  <a:srgbClr val="6E747A">
                    <a:alpha val="43000"/>
                  </a:srgbClr>
                </a:outerShdw>
              </a:effectLst>
              <a:latin typeface="+mn-lt"/>
              <a:ea typeface="+mn-ea"/>
              <a:cs typeface="+mn-cs"/>
            </a:rPr>
            <a:t>PLEASE ENTER THE NAME OF THE UNIVERSITIES</a:t>
          </a:r>
          <a:r>
            <a:rPr lang="en-GB" sz="1600" b="1" cap="none" spc="0" baseline="0">
              <a:ln w="0"/>
              <a:solidFill>
                <a:schemeClr val="accent1"/>
              </a:solidFill>
              <a:effectLst>
                <a:outerShdw blurRad="38100" dist="25400" dir="5400000" algn="ctr" rotWithShape="0">
                  <a:srgbClr val="6E747A">
                    <a:alpha val="43000"/>
                  </a:srgbClr>
                </a:outerShdw>
              </a:effectLst>
              <a:latin typeface="+mn-lt"/>
              <a:ea typeface="+mn-ea"/>
              <a:cs typeface="+mn-cs"/>
            </a:rPr>
            <a:t> YOU HAVE RECEIVED ADMIT FROM.</a:t>
          </a:r>
          <a:endParaRPr lang="en-US" sz="2400" b="1"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editAs="oneCell">
    <xdr:from>
      <xdr:col>6</xdr:col>
      <xdr:colOff>399338</xdr:colOff>
      <xdr:row>14</xdr:row>
      <xdr:rowOff>5915</xdr:rowOff>
    </xdr:from>
    <xdr:to>
      <xdr:col>6</xdr:col>
      <xdr:colOff>745433</xdr:colOff>
      <xdr:row>15</xdr:row>
      <xdr:rowOff>189315</xdr:rowOff>
    </xdr:to>
    <xdr:pic macro="[0]!Clear_sheet">
      <xdr:nvPicPr>
        <xdr:cNvPr id="7" name="Graphic 6" descr="Eraser outline">
          <a:extLst>
            <a:ext uri="{FF2B5EF4-FFF2-40B4-BE49-F238E27FC236}">
              <a16:creationId xmlns:a16="http://schemas.microsoft.com/office/drawing/2014/main" id="{83FEE62D-62A3-1829-EA4D-832DBE38C0B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942599" y="2656350"/>
          <a:ext cx="346095" cy="37271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1201963</xdr:colOff>
      <xdr:row>14</xdr:row>
      <xdr:rowOff>22251</xdr:rowOff>
    </xdr:from>
    <xdr:ext cx="15064241" cy="1229605"/>
    <xdr:sp macro="" textlink="">
      <xdr:nvSpPr>
        <xdr:cNvPr id="2" name="Rectangle 1">
          <a:extLst>
            <a:ext uri="{FF2B5EF4-FFF2-40B4-BE49-F238E27FC236}">
              <a16:creationId xmlns:a16="http://schemas.microsoft.com/office/drawing/2014/main" id="{7AD0BB1A-2480-868E-3B61-B076F8746A71}"/>
            </a:ext>
          </a:extLst>
        </xdr:cNvPr>
        <xdr:cNvSpPr/>
      </xdr:nvSpPr>
      <xdr:spPr>
        <a:xfrm>
          <a:off x="1201963" y="3662918"/>
          <a:ext cx="15064241" cy="1229605"/>
        </a:xfrm>
        <a:prstGeom prst="rect">
          <a:avLst/>
        </a:prstGeom>
        <a:noFill/>
        <a:ln w="28575">
          <a:solidFill>
            <a:schemeClr val="tx1"/>
          </a:solidFill>
          <a:prstDash val="lgDashDotDot"/>
        </a:ln>
      </xdr:spPr>
      <xdr:txBody>
        <a:bodyPr wrap="square" lIns="91440" tIns="45720" rIns="91440" bIns="45720" anchor="ctr">
          <a:noAutofit/>
        </a:bodyPr>
        <a:lstStyle/>
        <a:p>
          <a:pPr algn="ctr"/>
          <a:r>
            <a:rPr lang="en-GB" sz="3200" b="1" cap="none" spc="0">
              <a:ln w="9525">
                <a:solidFill>
                  <a:schemeClr val="bg1"/>
                </a:solidFill>
                <a:prstDash val="solid"/>
              </a:ln>
              <a:solidFill>
                <a:schemeClr val="tx2">
                  <a:lumMod val="75000"/>
                  <a:lumOff val="25000"/>
                </a:schemeClr>
              </a:solidFill>
              <a:effectLst>
                <a:outerShdw blurRad="12700" dist="38100" dir="2700000" algn="tl" rotWithShape="0">
                  <a:schemeClr val="bg1">
                    <a:lumMod val="50000"/>
                  </a:schemeClr>
                </a:outerShdw>
              </a:effectLst>
            </a:rPr>
            <a:t>Still not Sure? </a:t>
          </a:r>
        </a:p>
        <a:p>
          <a:pPr algn="ctr"/>
          <a:r>
            <a:rPr lang="en-GB" sz="3200" b="1" cap="none" spc="0">
              <a:ln w="9525">
                <a:solidFill>
                  <a:schemeClr val="bg1"/>
                </a:solidFill>
                <a:prstDash val="solid"/>
              </a:ln>
              <a:solidFill>
                <a:schemeClr val="tx2">
                  <a:lumMod val="75000"/>
                  <a:lumOff val="25000"/>
                </a:schemeClr>
              </a:solidFill>
              <a:effectLst>
                <a:outerShdw blurRad="12700" dist="38100" dir="2700000" algn="tl" rotWithShape="0">
                  <a:schemeClr val="bg1">
                    <a:lumMod val="50000"/>
                  </a:schemeClr>
                </a:outerShdw>
              </a:effectLst>
            </a:rPr>
            <a:t>Click on the "Detailed</a:t>
          </a:r>
          <a:r>
            <a:rPr lang="en-GB" sz="3200" b="1" cap="none" spc="0" baseline="0">
              <a:ln w="9525">
                <a:solidFill>
                  <a:schemeClr val="bg1"/>
                </a:solidFill>
                <a:prstDash val="solid"/>
              </a:ln>
              <a:solidFill>
                <a:schemeClr val="tx2">
                  <a:lumMod val="75000"/>
                  <a:lumOff val="25000"/>
                </a:schemeClr>
              </a:solidFill>
              <a:effectLst>
                <a:outerShdw blurRad="12700" dist="38100" dir="2700000" algn="tl" rotWithShape="0">
                  <a:schemeClr val="bg1">
                    <a:lumMod val="50000"/>
                  </a:schemeClr>
                </a:outerShdw>
              </a:effectLst>
            </a:rPr>
            <a:t> Analysis" Button to compare the values Graphically.</a:t>
          </a:r>
          <a:endParaRPr lang="en-GB" sz="3200" b="1" cap="none" spc="0">
            <a:ln w="9525">
              <a:solidFill>
                <a:schemeClr val="bg1"/>
              </a:solidFill>
              <a:prstDash val="solid"/>
            </a:ln>
            <a:solidFill>
              <a:schemeClr val="tx2">
                <a:lumMod val="75000"/>
                <a:lumOff val="25000"/>
              </a:schemeClr>
            </a:solidFill>
            <a:effectLst>
              <a:outerShdw blurRad="12700" dist="38100" dir="2700000" algn="tl" rotWithShape="0">
                <a:schemeClr val="bg1">
                  <a:lumMod val="50000"/>
                </a:schemeClr>
              </a:outerShdw>
            </a:effectLst>
          </a:endParaRPr>
        </a:p>
      </xdr:txBody>
    </xdr:sp>
    <xdr:clientData/>
  </xdr:oneCellAnchor>
  <xdr:twoCellAnchor>
    <xdr:from>
      <xdr:col>3</xdr:col>
      <xdr:colOff>1746251</xdr:colOff>
      <xdr:row>22</xdr:row>
      <xdr:rowOff>183317</xdr:rowOff>
    </xdr:from>
    <xdr:to>
      <xdr:col>4</xdr:col>
      <xdr:colOff>1323369</xdr:colOff>
      <xdr:row>34</xdr:row>
      <xdr:rowOff>57831</xdr:rowOff>
    </xdr:to>
    <xdr:sp macro="[0]!Detailed_Analysis_to_Uni_Dashboard" textlink="">
      <xdr:nvSpPr>
        <xdr:cNvPr id="5" name="Vertical Scroll 4">
          <a:extLst>
            <a:ext uri="{FF2B5EF4-FFF2-40B4-BE49-F238E27FC236}">
              <a16:creationId xmlns:a16="http://schemas.microsoft.com/office/drawing/2014/main" id="{CC2FF21D-1227-100F-37A9-49B8C9D7A3BA}"/>
            </a:ext>
          </a:extLst>
        </xdr:cNvPr>
        <xdr:cNvSpPr/>
      </xdr:nvSpPr>
      <xdr:spPr>
        <a:xfrm>
          <a:off x="7945061" y="5323794"/>
          <a:ext cx="2105022" cy="2124227"/>
        </a:xfrm>
        <a:prstGeom prst="verticalScroll">
          <a:avLst/>
        </a:prstGeom>
        <a:solidFill>
          <a:schemeClr val="tx2">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2800" b="1" kern="1200" cap="none" spc="50">
              <a:ln w="0"/>
              <a:solidFill>
                <a:schemeClr val="bg2"/>
              </a:solidFill>
              <a:effectLst>
                <a:innerShdw blurRad="63500" dist="50800" dir="13500000">
                  <a:srgbClr val="000000">
                    <a:alpha val="50000"/>
                  </a:srgbClr>
                </a:innerShdw>
              </a:effectLst>
            </a:rPr>
            <a:t>Detailed Analysis</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10144</xdr:colOff>
      <xdr:row>0</xdr:row>
      <xdr:rowOff>1085</xdr:rowOff>
    </xdr:from>
    <xdr:ext cx="21706856" cy="718466"/>
    <xdr:sp macro="" textlink="">
      <xdr:nvSpPr>
        <xdr:cNvPr id="2" name="Rectangle 1">
          <a:extLst>
            <a:ext uri="{FF2B5EF4-FFF2-40B4-BE49-F238E27FC236}">
              <a16:creationId xmlns:a16="http://schemas.microsoft.com/office/drawing/2014/main" id="{B5432D7A-9592-6AD4-2E21-56D68C22B86E}"/>
            </a:ext>
          </a:extLst>
        </xdr:cNvPr>
        <xdr:cNvSpPr/>
      </xdr:nvSpPr>
      <xdr:spPr>
        <a:xfrm>
          <a:off x="10144" y="1085"/>
          <a:ext cx="21706856" cy="718466"/>
        </a:xfrm>
        <a:prstGeom prst="rect">
          <a:avLst/>
        </a:prstGeom>
        <a:noFill/>
      </xdr:spPr>
      <xdr:txBody>
        <a:bodyPr wrap="square" lIns="91440" tIns="45720" rIns="91440" bIns="45720">
          <a:spAutoFit/>
        </a:bodyPr>
        <a:lstStyle/>
        <a:p>
          <a:pPr algn="ctr"/>
          <a:r>
            <a:rPr lang="en-US" sz="4000" b="1" u="none" cap="none" spc="0">
              <a:ln w="0"/>
              <a:solidFill>
                <a:schemeClr val="accent1"/>
              </a:solidFill>
              <a:effectLst>
                <a:outerShdw blurRad="38100" dist="25400" dir="5400000" algn="ctr" rotWithShape="0">
                  <a:srgbClr val="6E747A">
                    <a:alpha val="43000"/>
                  </a:srgbClr>
                </a:outerShdw>
              </a:effectLst>
            </a:rPr>
            <a:t>Need help to finalize your Universities,</a:t>
          </a:r>
          <a:r>
            <a:rPr lang="en-US" sz="4000" b="1" u="none" cap="none" spc="0" baseline="0">
              <a:ln w="0"/>
              <a:solidFill>
                <a:schemeClr val="accent1"/>
              </a:solidFill>
              <a:effectLst>
                <a:outerShdw blurRad="38100" dist="25400" dir="5400000" algn="ctr" rotWithShape="0">
                  <a:srgbClr val="6E747A">
                    <a:alpha val="43000"/>
                  </a:srgbClr>
                </a:outerShdw>
              </a:effectLst>
            </a:rPr>
            <a:t> Let us Help you. PLEASE!!!</a:t>
          </a:r>
          <a:endParaRPr lang="en-US" sz="4000" b="1" u="none"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editAs="oneCell">
    <xdr:from>
      <xdr:col>27</xdr:col>
      <xdr:colOff>532162</xdr:colOff>
      <xdr:row>0</xdr:row>
      <xdr:rowOff>0</xdr:rowOff>
    </xdr:from>
    <xdr:to>
      <xdr:col>29</xdr:col>
      <xdr:colOff>273325</xdr:colOff>
      <xdr:row>4</xdr:row>
      <xdr:rowOff>165550</xdr:rowOff>
    </xdr:to>
    <xdr:pic>
      <xdr:nvPicPr>
        <xdr:cNvPr id="4" name="Graphic 3" descr="Classroom with solid fill">
          <a:extLst>
            <a:ext uri="{FF2B5EF4-FFF2-40B4-BE49-F238E27FC236}">
              <a16:creationId xmlns:a16="http://schemas.microsoft.com/office/drawing/2014/main" id="{8063B332-C31B-5BB5-262D-83301243ED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840448" y="0"/>
          <a:ext cx="1000796" cy="911999"/>
        </a:xfrm>
        <a:prstGeom prst="rect">
          <a:avLst/>
        </a:prstGeom>
      </xdr:spPr>
    </xdr:pic>
    <xdr:clientData/>
  </xdr:twoCellAnchor>
  <xdr:twoCellAnchor>
    <xdr:from>
      <xdr:col>23</xdr:col>
      <xdr:colOff>256228</xdr:colOff>
      <xdr:row>5</xdr:row>
      <xdr:rowOff>11139</xdr:rowOff>
    </xdr:from>
    <xdr:to>
      <xdr:col>35</xdr:col>
      <xdr:colOff>58998</xdr:colOff>
      <xdr:row>27</xdr:row>
      <xdr:rowOff>151847</xdr:rowOff>
    </xdr:to>
    <xdr:graphicFrame macro="">
      <xdr:nvGraphicFramePr>
        <xdr:cNvPr id="21" name="Chart 5">
          <a:extLst>
            <a:ext uri="{FF2B5EF4-FFF2-40B4-BE49-F238E27FC236}">
              <a16:creationId xmlns:a16="http://schemas.microsoft.com/office/drawing/2014/main" id="{38CA8593-D603-B73C-14DF-A9A9E2F2B2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31750</xdr:colOff>
      <xdr:row>5</xdr:row>
      <xdr:rowOff>118152</xdr:rowOff>
    </xdr:from>
    <xdr:to>
      <xdr:col>9</xdr:col>
      <xdr:colOff>285750</xdr:colOff>
      <xdr:row>23</xdr:row>
      <xdr:rowOff>63500</xdr:rowOff>
    </xdr:to>
    <mc:AlternateContent xmlns:mc="http://schemas.openxmlformats.org/markup-compatibility/2006">
      <mc:Choice xmlns:cx2="http://schemas.microsoft.com/office/drawing/2015/10/21/chartex" Requires="cx2">
        <xdr:graphicFrame macro="">
          <xdr:nvGraphicFramePr>
            <xdr:cNvPr id="17" name="Chart 1">
              <a:extLst>
                <a:ext uri="{FF2B5EF4-FFF2-40B4-BE49-F238E27FC236}">
                  <a16:creationId xmlns:a16="http://schemas.microsoft.com/office/drawing/2014/main" id="{7A209472-6966-BD67-4E4A-FF7476779B4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1750" y="1038902"/>
              <a:ext cx="5797550" cy="326004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27</xdr:row>
      <xdr:rowOff>38878</xdr:rowOff>
    </xdr:from>
    <xdr:to>
      <xdr:col>10</xdr:col>
      <xdr:colOff>579298</xdr:colOff>
      <xdr:row>55</xdr:row>
      <xdr:rowOff>66842</xdr:rowOff>
    </xdr:to>
    <xdr:graphicFrame macro="">
      <xdr:nvGraphicFramePr>
        <xdr:cNvPr id="26" name="Chart 3">
          <a:extLst>
            <a:ext uri="{FF2B5EF4-FFF2-40B4-BE49-F238E27FC236}">
              <a16:creationId xmlns:a16="http://schemas.microsoft.com/office/drawing/2014/main" id="{A9B98659-EB64-6A52-48A4-735B180286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69983</xdr:colOff>
      <xdr:row>5</xdr:row>
      <xdr:rowOff>22281</xdr:rowOff>
    </xdr:from>
    <xdr:to>
      <xdr:col>10</xdr:col>
      <xdr:colOff>583163</xdr:colOff>
      <xdr:row>26</xdr:row>
      <xdr:rowOff>31101</xdr:rowOff>
    </xdr:to>
    <mc:AlternateContent xmlns:mc="http://schemas.openxmlformats.org/markup-compatibility/2006">
      <mc:Choice xmlns:cx2="http://schemas.microsoft.com/office/drawing/2015/10/21/chartex" Requires="cx2">
        <xdr:graphicFrame macro="">
          <xdr:nvGraphicFramePr>
            <xdr:cNvPr id="19" name="Chart 1">
              <a:extLst>
                <a:ext uri="{FF2B5EF4-FFF2-40B4-BE49-F238E27FC236}">
                  <a16:creationId xmlns:a16="http://schemas.microsoft.com/office/drawing/2014/main" id="{1210C230-8040-D24E-22BC-BA2DEE7B609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69983" y="943031"/>
              <a:ext cx="6672680" cy="387597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248817</xdr:colOff>
      <xdr:row>28</xdr:row>
      <xdr:rowOff>130053</xdr:rowOff>
    </xdr:from>
    <xdr:to>
      <xdr:col>35</xdr:col>
      <xdr:colOff>44563</xdr:colOff>
      <xdr:row>54</xdr:row>
      <xdr:rowOff>23327</xdr:rowOff>
    </xdr:to>
    <xdr:graphicFrame macro="">
      <xdr:nvGraphicFramePr>
        <xdr:cNvPr id="25" name="Chart 4">
          <a:extLst>
            <a:ext uri="{FF2B5EF4-FFF2-40B4-BE49-F238E27FC236}">
              <a16:creationId xmlns:a16="http://schemas.microsoft.com/office/drawing/2014/main" id="{0E23CA1C-C65C-4538-09C6-5A7898ED0C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109403</xdr:colOff>
      <xdr:row>6</xdr:row>
      <xdr:rowOff>100037</xdr:rowOff>
    </xdr:from>
    <xdr:to>
      <xdr:col>23</xdr:col>
      <xdr:colOff>54429</xdr:colOff>
      <xdr:row>37</xdr:row>
      <xdr:rowOff>101082</xdr:rowOff>
    </xdr:to>
    <mc:AlternateContent xmlns:mc="http://schemas.openxmlformats.org/markup-compatibility/2006">
      <mc:Choice xmlns:cx4="http://schemas.microsoft.com/office/drawing/2016/5/10/chartex" Requires="cx4">
        <xdr:graphicFrame macro="">
          <xdr:nvGraphicFramePr>
            <xdr:cNvPr id="15" name="Chart 2">
              <a:extLst>
                <a:ext uri="{FF2B5EF4-FFF2-40B4-BE49-F238E27FC236}">
                  <a16:creationId xmlns:a16="http://schemas.microsoft.com/office/drawing/2014/main" id="{B6C15560-1C55-02F2-B322-6F04A318C7A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884853" y="1204937"/>
              <a:ext cx="7336426" cy="570969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388184</xdr:colOff>
      <xdr:row>38</xdr:row>
      <xdr:rowOff>97944</xdr:rowOff>
    </xdr:from>
    <xdr:to>
      <xdr:col>18</xdr:col>
      <xdr:colOff>551470</xdr:colOff>
      <xdr:row>46</xdr:row>
      <xdr:rowOff>82394</xdr:rowOff>
    </xdr:to>
    <xdr:sp macro="" textlink="">
      <xdr:nvSpPr>
        <xdr:cNvPr id="11" name="TextBox 10">
          <a:extLst>
            <a:ext uri="{FF2B5EF4-FFF2-40B4-BE49-F238E27FC236}">
              <a16:creationId xmlns:a16="http://schemas.microsoft.com/office/drawing/2014/main" id="{FF0D4FAC-08D7-28B8-E9AE-A9759C05CB8D}"/>
            </a:ext>
          </a:extLst>
        </xdr:cNvPr>
        <xdr:cNvSpPr txBox="1"/>
      </xdr:nvSpPr>
      <xdr:spPr>
        <a:xfrm>
          <a:off x="7128096" y="7294611"/>
          <a:ext cx="4452321" cy="14995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2"/>
              </a:solidFill>
            </a:rPr>
            <a:t>We want what's best for you.</a:t>
          </a:r>
        </a:p>
        <a:p>
          <a:pPr algn="ctr"/>
          <a:endParaRPr lang="en-US" sz="1600" b="1">
            <a:solidFill>
              <a:schemeClr val="tx2"/>
            </a:solidFill>
          </a:endParaRPr>
        </a:p>
        <a:p>
          <a:pPr algn="ctr"/>
          <a:r>
            <a:rPr lang="en-US" sz="1600" b="1">
              <a:solidFill>
                <a:schemeClr val="tx2"/>
              </a:solidFill>
            </a:rPr>
            <a:t>Let us Dive into some State</a:t>
          </a:r>
          <a:r>
            <a:rPr lang="en-US" sz="1600" b="1" baseline="0">
              <a:solidFill>
                <a:schemeClr val="tx2"/>
              </a:solidFill>
            </a:rPr>
            <a:t> Specific Analysis to have a better Understanding.</a:t>
          </a:r>
        </a:p>
        <a:p>
          <a:pPr algn="ctr"/>
          <a:r>
            <a:rPr lang="en-US" sz="1600" b="1" baseline="0">
              <a:solidFill>
                <a:schemeClr val="tx2"/>
              </a:solidFill>
            </a:rPr>
            <a:t>Click on 'SS Info' for further analysis</a:t>
          </a:r>
          <a:endParaRPr lang="en-US" sz="1600" b="1">
            <a:solidFill>
              <a:schemeClr val="tx2"/>
            </a:solidFill>
          </a:endParaRPr>
        </a:p>
      </xdr:txBody>
    </xdr:sp>
    <xdr:clientData/>
  </xdr:twoCellAnchor>
  <xdr:twoCellAnchor>
    <xdr:from>
      <xdr:col>19</xdr:col>
      <xdr:colOff>505408</xdr:colOff>
      <xdr:row>41</xdr:row>
      <xdr:rowOff>69981</xdr:rowOff>
    </xdr:from>
    <xdr:to>
      <xdr:col>23</xdr:col>
      <xdr:colOff>202162</xdr:colOff>
      <xdr:row>46</xdr:row>
      <xdr:rowOff>15552</xdr:rowOff>
    </xdr:to>
    <xdr:sp macro="[0]!Uni_specific_to_Ss_specific" textlink="">
      <xdr:nvSpPr>
        <xdr:cNvPr id="12" name="Oval 11">
          <a:extLst>
            <a:ext uri="{FF2B5EF4-FFF2-40B4-BE49-F238E27FC236}">
              <a16:creationId xmlns:a16="http://schemas.microsoft.com/office/drawing/2014/main" id="{1C5D5CF1-162C-3EEA-B371-744CC9957874}"/>
            </a:ext>
          </a:extLst>
        </xdr:cNvPr>
        <xdr:cNvSpPr/>
      </xdr:nvSpPr>
      <xdr:spPr>
        <a:xfrm>
          <a:off x="12471918" y="7721082"/>
          <a:ext cx="2216020" cy="878633"/>
        </a:xfrm>
        <a:prstGeom prst="ellipse">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2000" b="1"/>
            <a:t>SS Info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36285</xdr:colOff>
      <xdr:row>6</xdr:row>
      <xdr:rowOff>759</xdr:rowOff>
    </xdr:from>
    <xdr:to>
      <xdr:col>13</xdr:col>
      <xdr:colOff>36740</xdr:colOff>
      <xdr:row>25</xdr:row>
      <xdr:rowOff>150740</xdr:rowOff>
    </xdr:to>
    <xdr:graphicFrame macro="">
      <xdr:nvGraphicFramePr>
        <xdr:cNvPr id="13" name="Chart 1">
          <a:extLst>
            <a:ext uri="{FF2B5EF4-FFF2-40B4-BE49-F238E27FC236}">
              <a16:creationId xmlns:a16="http://schemas.microsoft.com/office/drawing/2014/main" id="{33FF737C-3EE4-C1AE-5393-CFF39CDA0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18143</xdr:colOff>
      <xdr:row>25</xdr:row>
      <xdr:rowOff>176866</xdr:rowOff>
    </xdr:from>
    <xdr:to>
      <xdr:col>13</xdr:col>
      <xdr:colOff>38553</xdr:colOff>
      <xdr:row>53</xdr:row>
      <xdr:rowOff>62204</xdr:rowOff>
    </xdr:to>
    <xdr:graphicFrame macro="">
      <xdr:nvGraphicFramePr>
        <xdr:cNvPr id="11" name="Chart 2">
          <a:extLst>
            <a:ext uri="{FF2B5EF4-FFF2-40B4-BE49-F238E27FC236}">
              <a16:creationId xmlns:a16="http://schemas.microsoft.com/office/drawing/2014/main" id="{EF93E636-BA50-EDD2-6DA0-717644C5A1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598814</xdr:colOff>
      <xdr:row>6</xdr:row>
      <xdr:rowOff>25954</xdr:rowOff>
    </xdr:from>
    <xdr:to>
      <xdr:col>34</xdr:col>
      <xdr:colOff>303696</xdr:colOff>
      <xdr:row>27</xdr:row>
      <xdr:rowOff>13805</xdr:rowOff>
    </xdr:to>
    <xdr:graphicFrame macro="">
      <xdr:nvGraphicFramePr>
        <xdr:cNvPr id="12" name="Chart 3">
          <a:extLst>
            <a:ext uri="{FF2B5EF4-FFF2-40B4-BE49-F238E27FC236}">
              <a16:creationId xmlns:a16="http://schemas.microsoft.com/office/drawing/2014/main" id="{0F8AD2BF-5D68-FAB7-5335-DD31716348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622042</xdr:colOff>
      <xdr:row>27</xdr:row>
      <xdr:rowOff>47299</xdr:rowOff>
    </xdr:from>
    <xdr:to>
      <xdr:col>34</xdr:col>
      <xdr:colOff>301950</xdr:colOff>
      <xdr:row>53</xdr:row>
      <xdr:rowOff>155510</xdr:rowOff>
    </xdr:to>
    <mc:AlternateContent xmlns:mc="http://schemas.openxmlformats.org/markup-compatibility/2006" xmlns:a14="http://schemas.microsoft.com/office/drawing/2010/main">
      <mc:Choice Requires="a14">
        <xdr:graphicFrame macro="">
          <xdr:nvGraphicFramePr>
            <xdr:cNvPr id="9" name="State">
              <a:extLst>
                <a:ext uri="{FF2B5EF4-FFF2-40B4-BE49-F238E27FC236}">
                  <a16:creationId xmlns:a16="http://schemas.microsoft.com/office/drawing/2014/main" id="{C0E8C33F-74FD-D5D9-16DF-6E572932A17B}"/>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2820594" y="4975451"/>
              <a:ext cx="8132659" cy="49628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xdr:col>
      <xdr:colOff>34989</xdr:colOff>
      <xdr:row>0</xdr:row>
      <xdr:rowOff>15551</xdr:rowOff>
    </xdr:from>
    <xdr:ext cx="19570636" cy="1052286"/>
    <xdr:sp macro="" textlink="">
      <xdr:nvSpPr>
        <xdr:cNvPr id="10" name="Rectangle 9">
          <a:extLst>
            <a:ext uri="{FF2B5EF4-FFF2-40B4-BE49-F238E27FC236}">
              <a16:creationId xmlns:a16="http://schemas.microsoft.com/office/drawing/2014/main" id="{09DE9A4E-2834-93A2-62B7-2FF6D3BAE2ED}"/>
            </a:ext>
          </a:extLst>
        </xdr:cNvPr>
        <xdr:cNvSpPr/>
      </xdr:nvSpPr>
      <xdr:spPr>
        <a:xfrm>
          <a:off x="1241489" y="15551"/>
          <a:ext cx="19570636" cy="1052286"/>
        </a:xfrm>
        <a:prstGeom prst="rect">
          <a:avLst/>
        </a:prstGeom>
        <a:solidFill>
          <a:schemeClr val="bg1"/>
        </a:solidFill>
      </xdr:spPr>
      <xdr:style>
        <a:lnRef idx="1">
          <a:schemeClr val="accent4"/>
        </a:lnRef>
        <a:fillRef idx="2">
          <a:schemeClr val="accent4"/>
        </a:fillRef>
        <a:effectRef idx="1">
          <a:schemeClr val="accent4"/>
        </a:effectRef>
        <a:fontRef idx="minor">
          <a:schemeClr val="dk1"/>
        </a:fontRef>
      </xdr:style>
      <xdr:txBody>
        <a:bodyPr wrap="square" lIns="91440" tIns="45720" rIns="91440" bIns="45720">
          <a:noAutofit/>
        </a:bodyPr>
        <a:lstStyle/>
        <a:p>
          <a:pPr algn="ctr"/>
          <a:r>
            <a:rPr lang="en-US" sz="5400" b="0" cap="none" spc="0">
              <a:ln w="0"/>
              <a:solidFill>
                <a:schemeClr val="accent1"/>
              </a:solidFill>
              <a:effectLst>
                <a:outerShdw blurRad="38100" dist="25400" dir="5400000" algn="ctr" rotWithShape="0">
                  <a:srgbClr val="6E747A">
                    <a:alpha val="43000"/>
                  </a:srgbClr>
                </a:outerShdw>
              </a:effectLst>
            </a:rPr>
            <a:t>State-Specific</a:t>
          </a:r>
          <a:r>
            <a:rPr lang="en-US" sz="5400" b="0" cap="none" spc="0" baseline="0">
              <a:ln w="0"/>
              <a:solidFill>
                <a:schemeClr val="accent1"/>
              </a:solidFill>
              <a:effectLst>
                <a:outerShdw blurRad="38100" dist="25400" dir="5400000" algn="ctr" rotWithShape="0">
                  <a:srgbClr val="6E747A">
                    <a:alpha val="43000"/>
                  </a:srgbClr>
                </a:outerShdw>
              </a:effectLst>
            </a:rPr>
            <a:t> Analysis</a:t>
          </a:r>
          <a:endParaRPr lang="en-US" sz="5400" b="0"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xdr:from>
      <xdr:col>13</xdr:col>
      <xdr:colOff>559837</xdr:colOff>
      <xdr:row>12</xdr:row>
      <xdr:rowOff>111449</xdr:rowOff>
    </xdr:from>
    <xdr:to>
      <xdr:col>20</xdr:col>
      <xdr:colOff>217714</xdr:colOff>
      <xdr:row>17</xdr:row>
      <xdr:rowOff>103673</xdr:rowOff>
    </xdr:to>
    <xdr:sp macro="[0]!Go_back_to_the_main_page" textlink="">
      <xdr:nvSpPr>
        <xdr:cNvPr id="16" name="Rectangle 15">
          <a:extLst>
            <a:ext uri="{FF2B5EF4-FFF2-40B4-BE49-F238E27FC236}">
              <a16:creationId xmlns:a16="http://schemas.microsoft.com/office/drawing/2014/main" id="{21673121-FC96-60D4-1CCE-F981F2A2701C}"/>
            </a:ext>
          </a:extLst>
        </xdr:cNvPr>
        <xdr:cNvSpPr/>
      </xdr:nvSpPr>
      <xdr:spPr>
        <a:xfrm>
          <a:off x="8461051" y="2288592"/>
          <a:ext cx="3912377" cy="899367"/>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t>Click Here</a:t>
          </a:r>
          <a:r>
            <a:rPr lang="en-US" sz="2400" baseline="0"/>
            <a:t> to go back to the University Selection Page</a:t>
          </a:r>
          <a:endParaRPr lang="en-US" sz="2400">
            <a:solidFill>
              <a:schemeClr val="bg1"/>
            </a:solidFill>
          </a:endParaRPr>
        </a:p>
      </xdr:txBody>
    </xdr:sp>
    <xdr:clientData/>
  </xdr:twoCellAnchor>
  <xdr:twoCellAnchor editAs="oneCell">
    <xdr:from>
      <xdr:col>0</xdr:col>
      <xdr:colOff>0</xdr:colOff>
      <xdr:row>0</xdr:row>
      <xdr:rowOff>9071</xdr:rowOff>
    </xdr:from>
    <xdr:to>
      <xdr:col>1</xdr:col>
      <xdr:colOff>408214</xdr:colOff>
      <xdr:row>5</xdr:row>
      <xdr:rowOff>172357</xdr:rowOff>
    </xdr:to>
    <xdr:pic>
      <xdr:nvPicPr>
        <xdr:cNvPr id="5" name="Picture 4">
          <a:extLst>
            <a:ext uri="{FF2B5EF4-FFF2-40B4-BE49-F238E27FC236}">
              <a16:creationId xmlns:a16="http://schemas.microsoft.com/office/drawing/2014/main" id="{0AD396FB-6F19-7746-010E-E5FD75F0F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9071"/>
          <a:ext cx="1016000" cy="107042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60608726d2b5d3a0/Desktop/Class/Data%20managment%20project/Data/Dashboard%20Rough.xlsm" TargetMode="External"/><Relationship Id="rId1" Type="http://schemas.openxmlformats.org/officeDocument/2006/relationships/externalLinkPath" Target="/60608726d2b5d3a0/Desktop/Class/Data%20managment%20project/Data/Dashboard%20Roug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 100 Universities"/>
      <sheetName val="Forbes Top 500 Unis"/>
      <sheetName val="Safest States"/>
      <sheetName val="Forbes"/>
      <sheetName val="State_Crime Rate"/>
      <sheetName val="Party Affliation by States"/>
      <sheetName val="Cost of Living"/>
      <sheetName val="References"/>
      <sheetName val="Dashboard"/>
      <sheetName val="Sheet5"/>
      <sheetName val="Pivot Tables"/>
      <sheetName val="Dashboard Rough"/>
    </sheet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vek Vikram Singh" refreshedDate="45634.192285300924" createdVersion="8" refreshedVersion="8" minRefreshableVersion="3" recordCount="50" xr:uid="{39FC46B6-FDC3-4ACD-B47B-BA1B588CF8CC}">
  <cacheSource type="worksheet">
    <worksheetSource name="Combined_Dataset"/>
  </cacheSource>
  <cacheFields count="6">
    <cacheField name="State" numFmtId="0">
      <sharedItems count="50">
        <s v="Alabama"/>
        <s v="Alaska"/>
        <s v="Arizona"/>
        <s v="Arkansas"/>
        <s v="California"/>
        <s v="Colorado"/>
        <s v="Connecticut"/>
        <s v="Delaware"/>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Safety Score" numFmtId="0">
      <sharedItems containsSemiMixedTypes="0" containsString="0" containsNumber="1" minValue="31.64" maxValue="68.790000000000006"/>
    </cacheField>
    <cacheField name="Crime Rate" numFmtId="0">
      <sharedItems containsSemiMixedTypes="0" containsString="0" containsNumber="1" containsInteger="1" minValue="950" maxValue="2253"/>
    </cacheField>
    <cacheField name="Republican Lean" numFmtId="9">
      <sharedItems containsSemiMixedTypes="0" containsString="0" containsNumber="1" minValue="0.27" maxValue="0.56999999999999995"/>
    </cacheField>
    <cacheField name="No Lean" numFmtId="9">
      <sharedItems containsSemiMixedTypes="0" containsString="0" containsNumber="1" minValue="0.1" maxValue="0.28999999999999998"/>
    </cacheField>
    <cacheField name="Democrat Lean" numFmtId="9">
      <sharedItems containsSemiMixedTypes="0" containsString="0" containsNumber="1" minValue="0.25" maxValue="0.56999999999999995"/>
    </cacheField>
  </cacheFields>
  <extLst>
    <ext xmlns:x14="http://schemas.microsoft.com/office/spreadsheetml/2009/9/main" uri="{725AE2AE-9491-48be-B2B4-4EB974FC3084}">
      <x14:pivotCacheDefinition pivotCacheId="8089681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n v="37.68"/>
    <n v="1941"/>
    <n v="0.52"/>
    <n v="0.13"/>
    <n v="0.35"/>
  </r>
  <r>
    <x v="1"/>
    <n v="54.52"/>
    <n v="1986"/>
    <n v="0.39"/>
    <n v="0.28999999999999998"/>
    <n v="0.32"/>
  </r>
  <r>
    <x v="2"/>
    <n v="52.95"/>
    <n v="2025"/>
    <n v="0.4"/>
    <n v="0.21"/>
    <n v="0.39"/>
  </r>
  <r>
    <x v="3"/>
    <n v="33.72"/>
    <n v="2065"/>
    <n v="0.46"/>
    <n v="0.16"/>
    <n v="0.38"/>
  </r>
  <r>
    <x v="4"/>
    <n v="48.94"/>
    <n v="1701"/>
    <n v="0.3"/>
    <n v="0.21"/>
    <n v="0.49"/>
  </r>
  <r>
    <x v="5"/>
    <n v="43.84"/>
    <n v="1526"/>
    <n v="0.41"/>
    <n v="0.17"/>
    <n v="0.42"/>
  </r>
  <r>
    <x v="6"/>
    <n v="59.88"/>
    <n v="1171"/>
    <n v="0.32"/>
    <n v="0.18"/>
    <n v="0.5"/>
  </r>
  <r>
    <x v="7"/>
    <n v="51.36"/>
    <n v="1974"/>
    <n v="0.28999999999999998"/>
    <n v="0.17"/>
    <n v="0.55000000000000004"/>
  </r>
  <r>
    <x v="8"/>
    <n v="39.520000000000003"/>
    <n v="2095"/>
    <n v="0.37"/>
    <n v="0.19"/>
    <n v="0.44"/>
  </r>
  <r>
    <x v="9"/>
    <n v="45.27"/>
    <n v="1911"/>
    <n v="0.41"/>
    <n v="0.18"/>
    <n v="0.41"/>
  </r>
  <r>
    <x v="10"/>
    <n v="60.36"/>
    <n v="1608"/>
    <n v="0.28000000000000003"/>
    <n v="0.2"/>
    <n v="0.51"/>
  </r>
  <r>
    <x v="11"/>
    <n v="54.67"/>
    <n v="1068"/>
    <n v="0.49"/>
    <n v="0.19"/>
    <n v="0.32"/>
  </r>
  <r>
    <x v="12"/>
    <n v="47.68"/>
    <n v="1616"/>
    <n v="0.33"/>
    <n v="0.19"/>
    <n v="0.48"/>
  </r>
  <r>
    <x v="13"/>
    <n v="52.98"/>
    <n v="1599"/>
    <n v="0.42"/>
    <n v="0.2"/>
    <n v="0.37"/>
  </r>
  <r>
    <x v="14"/>
    <n v="55.29"/>
    <n v="1203"/>
    <n v="0.41"/>
    <n v="0.19"/>
    <n v="0.4"/>
  </r>
  <r>
    <x v="15"/>
    <n v="42.91"/>
    <n v="1670"/>
    <n v="0.46"/>
    <n v="0.23"/>
    <n v="0.31"/>
  </r>
  <r>
    <x v="16"/>
    <n v="48.73"/>
    <n v="1305"/>
    <n v="0.44"/>
    <n v="0.13"/>
    <n v="0.43"/>
  </r>
  <r>
    <x v="17"/>
    <n v="31.64"/>
    <n v="2167"/>
    <n v="0.41"/>
    <n v="0.16"/>
    <n v="0.43"/>
  </r>
  <r>
    <x v="18"/>
    <n v="66.95"/>
    <n v="1017"/>
    <n v="0.36"/>
    <n v="0.17"/>
    <n v="0.47"/>
  </r>
  <r>
    <x v="19"/>
    <n v="53.23"/>
    <n v="1884"/>
    <n v="0.31"/>
    <n v="0.14000000000000001"/>
    <n v="0.55000000000000004"/>
  </r>
  <r>
    <x v="20"/>
    <n v="60.02"/>
    <n v="1368"/>
    <n v="0.27"/>
    <n v="0.17"/>
    <n v="0.56000000000000005"/>
  </r>
  <r>
    <x v="21"/>
    <n v="49.79"/>
    <n v="1757"/>
    <n v="0.34"/>
    <n v="0.19"/>
    <n v="0.47"/>
  </r>
  <r>
    <x v="22"/>
    <n v="59.81"/>
    <n v="1298"/>
    <n v="0.39"/>
    <n v="0.15"/>
    <n v="0.46"/>
  </r>
  <r>
    <x v="23"/>
    <n v="32.520000000000003"/>
    <n v="1584"/>
    <n v="0.44"/>
    <n v="0.14000000000000001"/>
    <n v="0.42"/>
  </r>
  <r>
    <x v="24"/>
    <n v="40.25"/>
    <n v="1858"/>
    <n v="0.41"/>
    <n v="0.18"/>
    <n v="0.42"/>
  </r>
  <r>
    <x v="25"/>
    <n v="42.16"/>
    <n v="1230"/>
    <n v="0.49"/>
    <n v="0.21"/>
    <n v="0.3"/>
  </r>
  <r>
    <x v="26"/>
    <n v="46.58"/>
    <n v="1390"/>
    <n v="0.47"/>
    <n v="0.17"/>
    <n v="0.36"/>
  </r>
  <r>
    <x v="27"/>
    <n v="47.72"/>
    <n v="2180"/>
    <n v="0.37"/>
    <n v="0.18"/>
    <n v="0.46"/>
  </r>
  <r>
    <x v="28"/>
    <n v="63.99"/>
    <n v="956"/>
    <n v="0.35"/>
    <n v="0.2"/>
    <n v="0.44"/>
  </r>
  <r>
    <x v="29"/>
    <n v="54.62"/>
    <n v="1180"/>
    <n v="0.3"/>
    <n v="0.19"/>
    <n v="0.51"/>
  </r>
  <r>
    <x v="30"/>
    <n v="49.92"/>
    <n v="2241"/>
    <n v="0.37"/>
    <n v="0.15"/>
    <n v="0.48"/>
  </r>
  <r>
    <x v="31"/>
    <n v="51.92"/>
    <n v="1194"/>
    <n v="0.28000000000000003"/>
    <n v="0.19"/>
    <n v="0.53"/>
  </r>
  <r>
    <x v="32"/>
    <n v="52.37"/>
    <n v="1869"/>
    <n v="0.41"/>
    <n v="0.17"/>
    <n v="0.43"/>
  </r>
  <r>
    <x v="33"/>
    <n v="47.94"/>
    <n v="985"/>
    <n v="0.5"/>
    <n v="0.18"/>
    <n v="0.33"/>
  </r>
  <r>
    <x v="34"/>
    <n v="45.14"/>
    <n v="1691"/>
    <n v="0.42"/>
    <n v="0.18"/>
    <n v="0.4"/>
  </r>
  <r>
    <x v="35"/>
    <n v="39.340000000000003"/>
    <n v="1938"/>
    <n v="0.45"/>
    <n v="0.15"/>
    <n v="0.4"/>
  </r>
  <r>
    <x v="36"/>
    <n v="55.48"/>
    <n v="1497"/>
    <n v="0.32"/>
    <n v="0.21"/>
    <n v="0.47"/>
  </r>
  <r>
    <x v="37"/>
    <n v="48.51"/>
    <n v="1335"/>
    <n v="0.39"/>
    <n v="0.15"/>
    <n v="0.46"/>
  </r>
  <r>
    <x v="38"/>
    <n v="58.99"/>
    <n v="1268"/>
    <n v="0.3"/>
    <n v="0.22"/>
    <n v="0.48"/>
  </r>
  <r>
    <x v="39"/>
    <n v="41.03"/>
    <n v="2253"/>
    <n v="0.43"/>
    <n v="0.18"/>
    <n v="0.39"/>
  </r>
  <r>
    <x v="40"/>
    <n v="43.38"/>
    <n v="1042"/>
    <n v="0.53"/>
    <n v="0.1"/>
    <n v="0.37"/>
  </r>
  <r>
    <x v="41"/>
    <n v="41.34"/>
    <n v="2194"/>
    <n v="0.48"/>
    <n v="0.15"/>
    <n v="0.36"/>
  </r>
  <r>
    <x v="42"/>
    <n v="36.770000000000003"/>
    <n v="1962"/>
    <n v="0.39"/>
    <n v="0.21"/>
    <n v="0.4"/>
  </r>
  <r>
    <x v="43"/>
    <n v="63.48"/>
    <n v="1405"/>
    <n v="0.54"/>
    <n v="0.16"/>
    <n v="0.3"/>
  </r>
  <r>
    <x v="44"/>
    <n v="68.790000000000006"/>
    <n v="950"/>
    <n v="0.28999999999999998"/>
    <n v="0.14000000000000001"/>
    <n v="0.56999999999999995"/>
  </r>
  <r>
    <x v="45"/>
    <n v="55.99"/>
    <n v="1125"/>
    <n v="0.43"/>
    <n v="0.18"/>
    <n v="0.39"/>
  </r>
  <r>
    <x v="46"/>
    <n v="59.44"/>
    <n v="1855"/>
    <n v="0.33"/>
    <n v="0.23"/>
    <n v="0.44"/>
  </r>
  <r>
    <x v="47"/>
    <n v="47.08"/>
    <n v="1235"/>
    <n v="0.43"/>
    <n v="0.16"/>
    <n v="0.41"/>
  </r>
  <r>
    <x v="48"/>
    <n v="51.42"/>
    <n v="1227"/>
    <n v="0.42"/>
    <n v="0.16"/>
    <n v="0.42"/>
  </r>
  <r>
    <x v="49"/>
    <n v="54.04"/>
    <n v="1136"/>
    <n v="0.56999999999999995"/>
    <n v="0.18"/>
    <n v="0.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9E6134-93EF-4387-A7B0-6A11F1ADFEB2}"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K1:L6" firstHeaderRow="1" firstDataRow="1" firstDataCol="1"/>
  <pivotFields count="6">
    <pivotField axis="axisRow" showAll="0">
      <items count="51">
        <item h="1" x="0"/>
        <item h="1" x="1"/>
        <item h="1" x="2"/>
        <item h="1" x="3"/>
        <item h="1" x="4"/>
        <item h="1" x="5"/>
        <item h="1" x="6"/>
        <item h="1" x="7"/>
        <item h="1" x="8"/>
        <item x="9"/>
        <item h="1" x="10"/>
        <item h="1" x="11"/>
        <item h="1" x="12"/>
        <item h="1" x="13"/>
        <item h="1" x="14"/>
        <item h="1" x="15"/>
        <item h="1" x="16"/>
        <item x="17"/>
        <item h="1" x="18"/>
        <item h="1" x="19"/>
        <item h="1" x="20"/>
        <item h="1" x="21"/>
        <item x="22"/>
        <item h="1" x="23"/>
        <item h="1" x="24"/>
        <item h="1" x="25"/>
        <item h="1" x="26"/>
        <item x="27"/>
        <item h="1" x="28"/>
        <item h="1" x="29"/>
        <item h="1" x="30"/>
        <item h="1" x="31"/>
        <item h="1" x="32"/>
        <item h="1" x="33"/>
        <item h="1" x="34"/>
        <item x="35"/>
        <item h="1" x="36"/>
        <item h="1" x="37"/>
        <item h="1" x="38"/>
        <item h="1" x="39"/>
        <item h="1" x="40"/>
        <item h="1" x="41"/>
        <item h="1" x="42"/>
        <item h="1" x="43"/>
        <item h="1" x="44"/>
        <item h="1" x="45"/>
        <item h="1" x="46"/>
        <item h="1" x="47"/>
        <item h="1" x="48"/>
        <item h="1" x="49"/>
        <item t="default"/>
      </items>
    </pivotField>
    <pivotField showAll="0"/>
    <pivotField dataField="1" showAll="0"/>
    <pivotField numFmtId="9" showAll="0"/>
    <pivotField numFmtId="9" showAll="0"/>
    <pivotField numFmtId="9" showAll="0"/>
  </pivotFields>
  <rowFields count="1">
    <field x="0"/>
  </rowFields>
  <rowItems count="5">
    <i>
      <x v="9"/>
    </i>
    <i>
      <x v="17"/>
    </i>
    <i>
      <x v="22"/>
    </i>
    <i>
      <x v="27"/>
    </i>
    <i>
      <x v="35"/>
    </i>
  </rowItems>
  <colItems count="1">
    <i/>
  </colItems>
  <dataFields count="1">
    <dataField name="Crime Rate Index" fld="2" baseField="0" baseItem="0"/>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3FDF8A-0F24-4903-AB66-BCBB2096975C}"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H1:I6" firstHeaderRow="1" firstDataRow="1" firstDataCol="1"/>
  <pivotFields count="6">
    <pivotField axis="axisRow" showAll="0">
      <items count="51">
        <item h="1" x="0"/>
        <item h="1" x="1"/>
        <item h="1" x="2"/>
        <item h="1" x="3"/>
        <item h="1" x="4"/>
        <item h="1" x="5"/>
        <item h="1" x="6"/>
        <item h="1" x="7"/>
        <item h="1" x="8"/>
        <item x="9"/>
        <item h="1" x="10"/>
        <item h="1" x="11"/>
        <item h="1" x="12"/>
        <item h="1" x="13"/>
        <item h="1" x="14"/>
        <item h="1" x="15"/>
        <item h="1" x="16"/>
        <item x="17"/>
        <item h="1" x="18"/>
        <item h="1" x="19"/>
        <item h="1" x="20"/>
        <item h="1" x="21"/>
        <item x="22"/>
        <item h="1" x="23"/>
        <item h="1" x="24"/>
        <item h="1" x="25"/>
        <item h="1" x="26"/>
        <item x="27"/>
        <item h="1" x="28"/>
        <item h="1" x="29"/>
        <item h="1" x="30"/>
        <item h="1" x="31"/>
        <item h="1" x="32"/>
        <item h="1" x="33"/>
        <item h="1" x="34"/>
        <item x="35"/>
        <item h="1" x="36"/>
        <item h="1" x="37"/>
        <item h="1" x="38"/>
        <item h="1" x="39"/>
        <item h="1" x="40"/>
        <item h="1" x="41"/>
        <item h="1" x="42"/>
        <item h="1" x="43"/>
        <item h="1" x="44"/>
        <item h="1" x="45"/>
        <item h="1" x="46"/>
        <item h="1" x="47"/>
        <item h="1" x="48"/>
        <item h="1" x="49"/>
        <item t="default"/>
      </items>
    </pivotField>
    <pivotField dataField="1" showAll="0"/>
    <pivotField showAll="0"/>
    <pivotField numFmtId="9" showAll="0"/>
    <pivotField numFmtId="9" showAll="0"/>
    <pivotField numFmtId="9" showAll="0"/>
  </pivotFields>
  <rowFields count="1">
    <field x="0"/>
  </rowFields>
  <rowItems count="5">
    <i>
      <x v="9"/>
    </i>
    <i>
      <x v="17"/>
    </i>
    <i>
      <x v="22"/>
    </i>
    <i>
      <x v="27"/>
    </i>
    <i>
      <x v="35"/>
    </i>
  </rowItems>
  <colItems count="1">
    <i/>
  </colItems>
  <dataFields count="1">
    <dataField name="Safety Scores" fld="1"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FB9D6A-53FC-4CB5-AF89-20A209400FA0}"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N1:Q6" firstHeaderRow="0" firstDataRow="1" firstDataCol="1"/>
  <pivotFields count="6">
    <pivotField axis="axisRow" showAll="0">
      <items count="51">
        <item h="1" x="0"/>
        <item h="1" x="1"/>
        <item h="1" x="2"/>
        <item h="1" x="3"/>
        <item h="1" x="4"/>
        <item h="1" x="5"/>
        <item h="1" x="6"/>
        <item h="1" x="7"/>
        <item h="1" x="8"/>
        <item x="9"/>
        <item h="1" x="10"/>
        <item h="1" x="11"/>
        <item h="1" x="12"/>
        <item h="1" x="13"/>
        <item h="1" x="14"/>
        <item h="1" x="15"/>
        <item h="1" x="16"/>
        <item x="17"/>
        <item h="1" x="18"/>
        <item h="1" x="19"/>
        <item h="1" x="20"/>
        <item h="1" x="21"/>
        <item x="22"/>
        <item h="1" x="23"/>
        <item h="1" x="24"/>
        <item h="1" x="25"/>
        <item h="1" x="26"/>
        <item x="27"/>
        <item h="1" x="28"/>
        <item h="1" x="29"/>
        <item h="1" x="30"/>
        <item h="1" x="31"/>
        <item h="1" x="32"/>
        <item h="1" x="33"/>
        <item h="1" x="34"/>
        <item x="35"/>
        <item h="1" x="36"/>
        <item h="1" x="37"/>
        <item h="1" x="38"/>
        <item h="1" x="39"/>
        <item h="1" x="40"/>
        <item h="1" x="41"/>
        <item h="1" x="42"/>
        <item h="1" x="43"/>
        <item h="1" x="44"/>
        <item h="1" x="45"/>
        <item h="1" x="46"/>
        <item h="1" x="47"/>
        <item h="1" x="48"/>
        <item h="1" x="49"/>
        <item t="default"/>
      </items>
    </pivotField>
    <pivotField showAll="0"/>
    <pivotField showAll="0"/>
    <pivotField dataField="1" numFmtId="9" showAll="0"/>
    <pivotField dataField="1" numFmtId="9" showAll="0"/>
    <pivotField dataField="1" numFmtId="9" showAll="0"/>
  </pivotFields>
  <rowFields count="1">
    <field x="0"/>
  </rowFields>
  <rowItems count="5">
    <i>
      <x v="9"/>
    </i>
    <i>
      <x v="17"/>
    </i>
    <i>
      <x v="22"/>
    </i>
    <i>
      <x v="27"/>
    </i>
    <i>
      <x v="35"/>
    </i>
  </rowItems>
  <colFields count="1">
    <field x="-2"/>
  </colFields>
  <colItems count="3">
    <i>
      <x/>
    </i>
    <i i="1">
      <x v="1"/>
    </i>
    <i i="2">
      <x v="2"/>
    </i>
  </colItems>
  <dataFields count="3">
    <dataField name="Republican" fld="3" baseField="0" baseItem="0"/>
    <dataField name="Not Taking Sides" fld="4" baseField="0" baseItem="0"/>
    <dataField name="Democrats" fld="5" baseField="0" baseItem="0"/>
  </dataFields>
  <formats count="1">
    <format dxfId="23">
      <pivotArea collapsedLevelsAreSubtotals="1" fieldPosition="0">
        <references count="1">
          <reference field="0" count="0"/>
        </references>
      </pivotArea>
    </format>
  </format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967B974-9198-40D6-80E9-9D68A80722DE}" sourceName="State">
  <pivotTables>
    <pivotTable tabId="28" name="PivotTable3"/>
    <pivotTable tabId="28" name="PivotTable2"/>
    <pivotTable tabId="28" name="PivotTable1"/>
  </pivotTables>
  <data>
    <tabular pivotCacheId="808968174">
      <items count="50">
        <i x="0"/>
        <i x="1"/>
        <i x="2"/>
        <i x="3"/>
        <i x="4"/>
        <i x="5"/>
        <i x="6"/>
        <i x="7"/>
        <i x="8"/>
        <i x="9" s="1"/>
        <i x="10"/>
        <i x="11"/>
        <i x="12"/>
        <i x="13"/>
        <i x="14"/>
        <i x="15"/>
        <i x="16"/>
        <i x="17" s="1"/>
        <i x="18"/>
        <i x="19"/>
        <i x="20"/>
        <i x="21"/>
        <i x="22" s="1"/>
        <i x="23"/>
        <i x="24"/>
        <i x="25"/>
        <i x="26"/>
        <i x="27" s="1"/>
        <i x="28"/>
        <i x="29"/>
        <i x="30"/>
        <i x="31"/>
        <i x="32"/>
        <i x="33"/>
        <i x="34"/>
        <i x="35" s="1"/>
        <i x="36"/>
        <i x="37"/>
        <i x="38"/>
        <i x="39"/>
        <i x="40"/>
        <i x="41"/>
        <i x="42"/>
        <i x="43"/>
        <i x="44"/>
        <i x="45"/>
        <i x="46"/>
        <i x="47"/>
        <i x="48"/>
        <i x="4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FCE8D576-15FF-4068-A86D-C25D5BB3E012}" cache="Slicer_State" caption="State" columnCount="3" style="SlicerStyleDark1" rowHeight="24583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4ECB69E-8003-7747-9208-B62C576511C8}" name="Top_100_Universities" displayName="Top_100_Universities" ref="A1:N101" totalsRowShown="0" headerRowDxfId="98" dataDxfId="97">
  <autoFilter ref="A1:N101" xr:uid="{94ECB69E-8003-7747-9208-B62C576511C8}"/>
  <tableColumns count="14">
    <tableColumn id="1" xr3:uid="{B337B36B-CF90-5E48-B246-A6349D64C5E2}" name="Rank" dataDxfId="96"/>
    <tableColumn id="2" xr3:uid="{A234377B-F1F8-8847-84FC-9E6F5D168592}" name="University" dataDxfId="95"/>
    <tableColumn id="3" xr3:uid="{3A87FC61-2318-6843-B4F6-93CF354AB67D}" name="Town" dataDxfId="94"/>
    <tableColumn id="4" xr3:uid="{E214314A-995B-5641-9194-CD07F6F8575C}" name="State" dataDxfId="93"/>
    <tableColumn id="7" xr3:uid="{C39615D2-563A-764D-A6D1-D7BC83D48458}" name="State_ab" dataDxfId="92"/>
    <tableColumn id="8" xr3:uid="{96517A02-DD39-804E-A26D-8B6C4548DF23}" name="Type" dataDxfId="91">
      <calculatedColumnFormula>_xlfn.XLOOKUP(Top_100_Universities[[#This Row],[University]],Table1[University],Table1[Type],"NOT FOUND",0)</calculatedColumnFormula>
    </tableColumn>
    <tableColumn id="9" xr3:uid="{CC767F43-6D00-1646-8E5C-DE34B66C37AD}" name="Av. Grant Aid" dataDxfId="90">
      <calculatedColumnFormula>_xlfn.XLOOKUP(Top_100_Universities[[#This Row],[University]],Table1[University],Table1[Av. Grant Aid],"NOT FOUND",0)</calculatedColumnFormula>
    </tableColumn>
    <tableColumn id="10" xr3:uid="{6B4964E4-7663-CD47-923B-73654F9FFE06}" name="Av. Debt" dataDxfId="89">
      <calculatedColumnFormula>_xlfn.XLOOKUP(Top_100_Universities[[#This Row],[University]],Table1[University],Table1[Av. Debt],"NOT FOUND",0)</calculatedColumnFormula>
    </tableColumn>
    <tableColumn id="11" xr3:uid="{1D6A64FB-22E6-5C40-A57B-313A963EBAE8}" name="Median 10-year Salary" dataDxfId="88">
      <calculatedColumnFormula>_xlfn.XLOOKUP(Top_100_Universities[[#This Row],[University]],Table1[University],Table1[Median 10-year Salary],"NOT FOUND",0)</calculatedColumnFormula>
    </tableColumn>
    <tableColumn id="5" xr3:uid="{275BEABB-520D-4FD5-A0C1-5A0967CEEA50}" name="Cost of Living Index" dataDxfId="87">
      <calculatedColumnFormula>_xlfn.XLOOKUP(Top_100_Universities[[#This Row],[Town]],Cost_of_Living[City],Cost_of_Living[Cost of Living Index],"NA",0)</calculatedColumnFormula>
    </tableColumn>
    <tableColumn id="6" xr3:uid="{B43A907F-0D46-4A5F-B8E4-3F9DDAEA6489}" name="Normalized Cost of Living Index" dataDxfId="86">
      <calculatedColumnFormula array="1">_xlfn.XLOOKUP(Top_100_Universities[[#This Row],[Town]], Cost_of_Living[[#All],[City]], Cost_of_Living[[#All],[Normalized Cost of Living]], "NA",0)</calculatedColumnFormula>
    </tableColumn>
    <tableColumn id="12" xr3:uid="{BF901C0D-B876-423D-89BE-97E2F6DC9520}" name="Normalized Crime Rate Index" dataDxfId="85">
      <calculatedColumnFormula array="1">_xlfn.XLOOKUP(Top_100_Universities[[#This Row],[State]], Crime_rate_Index[[#All],[State ]], Crime_rate_Index[[#All],[Normalized Crime Index]], "NA", 0)</calculatedColumnFormula>
    </tableColumn>
    <tableColumn id="13" xr3:uid="{C3E3D0D3-FDD4-47ED-B65D-5F8436BD4707}" name="Normalized Safety Score" dataDxfId="84">
      <calculatedColumnFormula array="1">_xlfn.XLOOKUP(Top_100_Universities[[#This Row],[State]], Safest_States[[#All],[state]], Safest_States[[#All],[Normailzed Safety Score]], "NA", 0)</calculatedColumnFormula>
    </tableColumn>
    <tableColumn id="14" xr3:uid="{9D7B12B6-2B90-489D-B7A1-14DFD166B55A}" name="Overall Score" dataDxfId="83">
      <calculatedColumnFormula>0.4*Top_100_Universities[[#This Row],[Normalized Cost of Living Index]] + 0.3*Top_100_Universities[[#This Row],[Normalized Crime Rate Index]] + 0.3*Top_100_Universities[[#This Row],[Normalized Safety Score]]</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576B82-6162-0441-BEA9-B38C65194DCD}" name="Table1" displayName="Table1" ref="A1:H502" totalsRowCount="1" headerRowDxfId="68" dataDxfId="67">
  <tableColumns count="8">
    <tableColumn id="1" xr3:uid="{3AFAC462-8AF0-254C-ABE8-0957E3A447BB}" name="Rank_Forbes" dataDxfId="66" totalsRowDxfId="65"/>
    <tableColumn id="2" xr3:uid="{93D9D342-D934-2A4C-9CCC-595FD15C473E}" name="University" dataDxfId="64" totalsRowDxfId="63"/>
    <tableColumn id="3" xr3:uid="{C93DDD98-DB4A-5C47-8D0B-B8706FC68E57}" name="State_ab" dataDxfId="62" totalsRowDxfId="61"/>
    <tableColumn id="4" xr3:uid="{E90C35A9-4813-C743-89F5-86B3ED2446AD}" name="Type" dataDxfId="60" totalsRowDxfId="59"/>
    <tableColumn id="5" xr3:uid="{8BBDAB73-B0D8-FF42-A1B3-76A3F2DDB0EE}" name="Av. Grant Aid" dataDxfId="58" totalsRowDxfId="57"/>
    <tableColumn id="6" xr3:uid="{E0616A6D-FB29-9D44-8FA9-0B3DFA452358}" name="Av. Debt" dataDxfId="56" totalsRowDxfId="55"/>
    <tableColumn id="7" xr3:uid="{E46CF36D-8EB0-2748-9902-65437B066EF3}" name="Median 10-year Salary" dataDxfId="54" totalsRowDxfId="53"/>
    <tableColumn id="8" xr3:uid="{4350F0EB-3A82-AD45-83FA-41EEB4D98914}" name="Financial Grade" dataDxfId="52" totalsRowDxfId="5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BF2D89-3EA4-4D7F-9AF9-8294241B7E23}" name="Safest_States" displayName="Safest_States" ref="A1:H51" totalsRowShown="0" headerRowDxfId="50" dataDxfId="49">
  <autoFilter ref="A1:H51" xr:uid="{F2BF2D89-3EA4-4D7F-9AF9-8294241B7E23}"/>
  <tableColumns count="8">
    <tableColumn id="1" xr3:uid="{F9E1A27B-A91A-466A-9297-76F0794ADAEA}" name="state" dataDxfId="48"/>
    <tableColumn id="2" xr3:uid="{740752CA-F806-46D5-80EB-9BCF318C66EF}" name="Total Score" dataDxfId="47"/>
    <tableColumn id="3" xr3:uid="{651FB824-C93B-4786-9B9B-AB0C8E595008}" name="Financial Safety" dataDxfId="46"/>
    <tableColumn id="4" xr3:uid="{31CED204-4A97-4816-9B43-51B49AAC088A}" name="Residential Safety" dataDxfId="45"/>
    <tableColumn id="5" xr3:uid="{7853D74A-5FEE-46F8-B6DF-A789D0A45906}" name="Workplace Safety" dataDxfId="44"/>
    <tableColumn id="6" xr3:uid="{1D6AC45F-8C9F-49A1-91C0-E6FBB4AFAD18}" name="Road Safety" dataDxfId="43"/>
    <tableColumn id="7" xr3:uid="{265170C2-3997-4B13-8FF9-D08D8551EA86}" name="Emergency Preparedness" dataDxfId="42"/>
    <tableColumn id="8" xr3:uid="{CD97A7C9-A9F9-48A3-8520-BFF6FA441808}" name="Normailzed Safety Score" dataDxfId="41">
      <calculatedColumnFormula>(Safest_States[[#This Row],[Total Score]]-MIN(Safest_States[Total Score]))/(MAX(Safest_States[Total Score])-MIN(Safest_States[Total Score]))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F813BA-E1BB-4A0F-A91D-E03F4E0DCE5F}" name="Crime_rate_Index" displayName="Crime_rate_Index" ref="A1:E52" totalsRowShown="0">
  <tableColumns count="5">
    <tableColumn id="1" xr3:uid="{2F47A093-10E1-49FB-AD5E-04F7B45BBE7F}" name="Rank" dataDxfId="40"/>
    <tableColumn id="2" xr3:uid="{92BA85B3-B0C3-4696-B490-39A7A3932CC0}" name="Crime Index ▲" dataDxfId="39"/>
    <tableColumn id="3" xr3:uid="{5CF69C32-BD97-418A-A718-D8388075F022}" name="State " dataCellStyle="Hyperlink"/>
    <tableColumn id="4" xr3:uid="{552B651E-C143-4AD8-AE0E-B611DD40A16E}" name=" Population" dataDxfId="38"/>
    <tableColumn id="5" xr3:uid="{8FBE83F5-04EA-4628-BF35-FE8409D8D99A}" name="Normalized Crime Index" dataDxfId="37">
      <calculatedColumnFormula>1-(Crime_rate_Index[[#This Row],[Crime Index ▲]]-MIN(Crime_rate_Index[Crime Index ▲]))/(MAX(Crime_rate_Index[Crime Index ▲])-MIN(Crime_rate_Index[Crime Index ▲]))</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ABCFE0F-FD97-4893-85FB-F90271F1728F}" name="Party_Affliation_by_States" displayName="Party_Affliation_by_States" ref="A1:E52" totalsRowShown="0" headerRowDxfId="36" dataDxfId="35">
  <autoFilter ref="A1:E52" xr:uid="{4ABCFE0F-FD97-4893-85FB-F90271F1728F}"/>
  <tableColumns count="5">
    <tableColumn id="1" xr3:uid="{9078651D-F94F-4A86-A652-5CD137454B0E}" name="State" dataDxfId="34"/>
    <tableColumn id="2" xr3:uid="{B35FEC00-900A-4624-AB2E-074E69601D61}" name="Republican/lean Rep." dataDxfId="33"/>
    <tableColumn id="3" xr3:uid="{958F9A7B-ED73-4E82-8CB8-4C1367E5F620}" name="No lean" dataDxfId="32"/>
    <tableColumn id="4" xr3:uid="{956C15EE-46E1-4CF7-86FD-4A29C4C066A2}" name="Democrat/lean Dem." dataDxfId="31"/>
    <tableColumn id="5" xr3:uid="{C76E6B39-5430-47A1-B73D-5C7264663454}" name="Sample size" dataDxfId="3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C612471-C134-40EF-A968-E76AD594BE1F}" name="Cost_of_Living" displayName="Cost_of_Living" ref="A1:D531" totalsRowShown="0" headerRowDxfId="29" dataDxfId="28">
  <autoFilter ref="A1:D531" xr:uid="{1C612471-C134-40EF-A968-E76AD594BE1F}"/>
  <tableColumns count="4">
    <tableColumn id="1" xr3:uid="{F3EAFA70-46D9-42BD-9EA8-ACCA8E749234}" name="City" dataDxfId="27"/>
    <tableColumn id="2" xr3:uid="{E5249105-30E3-45F5-A484-49041B9ADEDE}" name="State" dataDxfId="26"/>
    <tableColumn id="3" xr3:uid="{CC47ED57-24ED-4C44-BBDB-37C067FBA240}" name="Cost of Living Index" dataDxfId="25"/>
    <tableColumn id="4" xr3:uid="{BB87CDEF-123A-4BAD-943E-3ADBF29D3E79}" name="Normalized Cost of Living" dataDxfId="24">
      <calculatedColumnFormula>1-([1]!Cost_of_Living[[#This Row],[Cost of Living Index]]-MIN([1]!Cost_of_Living[Cost of Living Index]))/(MAX([1]!Cost_of_Living[Cost of Living Index])-MIN([1]!Cost_of_Living[Cost of Living Index]))</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5694FE-329C-48B0-BA19-B3C234970F3E}" name="Combined_Dataset" displayName="Combined_Dataset" ref="A1:F51" totalsRowShown="0" headerRowDxfId="22">
  <autoFilter ref="A1:F51" xr:uid="{1C5694FE-329C-48B0-BA19-B3C234970F3E}"/>
  <tableColumns count="6">
    <tableColumn id="1" xr3:uid="{E0E62B18-B134-44F0-B3BE-F78A9C2E7896}" name="State" dataDxfId="21"/>
    <tableColumn id="2" xr3:uid="{03FD1F2E-0880-4B7E-9C64-D8E0C0FD8379}" name="Safety Score" dataDxfId="20"/>
    <tableColumn id="3" xr3:uid="{EF414838-5789-411C-A202-D76B201B07F8}" name="Crime Rate" dataDxfId="19">
      <calculatedColumnFormula>_xlfn.XLOOKUP(A2,Crime_rate_Index[[State ]], Crime_rate_Index[Crime Index ▲], "NA", 1)</calculatedColumnFormula>
    </tableColumn>
    <tableColumn id="4" xr3:uid="{F5D4C93C-E114-4592-90EB-3FCA560B4EEF}" name="Republican Lean" dataDxfId="18" dataCellStyle="Percent">
      <calculatedColumnFormula array="1">_xlfn.XLOOKUP(A2, Party_Affliation_by_States[[#All],[State]], Party_Affliation_by_States[[#All],[Republican/lean Rep.]], "NA", 0)</calculatedColumnFormula>
    </tableColumn>
    <tableColumn id="5" xr3:uid="{72A141FF-DD88-4ADB-B375-F91233997B75}" name="No Lean" dataDxfId="17" dataCellStyle="Percent">
      <calculatedColumnFormula array="1">_xlfn.XLOOKUP(A2, Party_Affliation_by_States[[#All],[State]], Party_Affliation_by_States[[#All],[No lean]], "NA", 0)</calculatedColumnFormula>
    </tableColumn>
    <tableColumn id="6" xr3:uid="{6DA6A890-134A-481D-B3ED-F48AD5260A36}" name="Democrat Lean" dataDxfId="16" dataCellStyle="Percent">
      <calculatedColumnFormula array="1">_xlfn.XLOOKUP(A2, Party_Affliation_by_States[[#All],[State]], Party_Affliation_by_States[[#All],[Democrat/lean Dem.]], "NA", 0)</calculatedColumnFormula>
    </tableColumn>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54D6FF4-F854-4A19-8CB4-F8E80970C6B4}" name="Table4" displayName="Table4" ref="G15:H20" totalsRowShown="0">
  <autoFilter ref="G15:H20" xr:uid="{C54D6FF4-F854-4A19-8CB4-F8E80970C6B4}"/>
  <tableColumns count="2">
    <tableColumn id="1" xr3:uid="{A5F0E18C-2D4E-46E6-8921-B16BCF2BBD95}" name="City">
      <calculatedColumnFormula>M2</calculatedColumnFormula>
    </tableColumn>
    <tableColumn id="2" xr3:uid="{9372566D-400E-4137-9C5C-56BCB300C126}" name="Overall Score" dataDxfId="15">
      <calculatedColumnFormula array="1">_xlfn.XLOOKUP(G16,Top_100_Universities[[#All],[Town]], Top_100_Universities[[#All],[Overall Score]], "NA", 0)</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4icu.org/us/" TargetMode="External"/><Relationship Id="rId7" Type="http://schemas.openxmlformats.org/officeDocument/2006/relationships/drawing" Target="../drawings/drawing1.xml"/><Relationship Id="rId2" Type="http://schemas.openxmlformats.org/officeDocument/2006/relationships/hyperlink" Target="https://www.forbes.com/top-colleges/" TargetMode="External"/><Relationship Id="rId1" Type="http://schemas.openxmlformats.org/officeDocument/2006/relationships/hyperlink" Target="https://worldpopulationreview.com/state-rankings/safest-states" TargetMode="External"/><Relationship Id="rId6" Type="http://schemas.openxmlformats.org/officeDocument/2006/relationships/hyperlink" Target="https://www.bestplaces.net/cost-of-living/" TargetMode="External"/><Relationship Id="rId5" Type="http://schemas.openxmlformats.org/officeDocument/2006/relationships/hyperlink" Target="https://www.pewresearch.org/religious-landscape-study/database/compare/party-affiliation/by/state/" TargetMode="External"/><Relationship Id="rId4" Type="http://schemas.openxmlformats.org/officeDocument/2006/relationships/hyperlink" Target="http://www.usa.com/rank/us--crime-index--state-rank.htm?hl=&amp;hlst=&amp;wist=&amp;yr=&amp;dis=&amp;sb=ASC&amp;plow=&amp;phigh=&amp;ps="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hyperlink" Target="https://www.4icu.org/us/" TargetMode="External"/><Relationship Id="rId2" Type="http://schemas.openxmlformats.org/officeDocument/2006/relationships/hyperlink" Target="https://www.forbes.com/top-colleges/" TargetMode="External"/><Relationship Id="rId1" Type="http://schemas.openxmlformats.org/officeDocument/2006/relationships/hyperlink" Target="https://worldpopulationreview.com/state-rankings/safest-states" TargetMode="External"/><Relationship Id="rId6" Type="http://schemas.openxmlformats.org/officeDocument/2006/relationships/hyperlink" Target="https://www.bestplaces.net/cost-of-living/" TargetMode="External"/><Relationship Id="rId5" Type="http://schemas.openxmlformats.org/officeDocument/2006/relationships/hyperlink" Target="https://www.pewresearch.org/religious-landscape-study/database/compare/party-affiliation/by/state/" TargetMode="External"/><Relationship Id="rId4" Type="http://schemas.openxmlformats.org/officeDocument/2006/relationships/hyperlink" Target="http://www.usa.com/rank/us--crime-index--state-rank.htm?hl=&amp;hlst=&amp;wist=&amp;yr=&amp;dis=&amp;sb=ASC&amp;plow=&amp;phigh=&amp;p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7471E-7654-4CA1-8D06-4CF08AA051C8}">
  <sheetPr codeName="Sheet15"/>
  <dimension ref="A6:F23"/>
  <sheetViews>
    <sheetView workbookViewId="0">
      <selection activeCell="D16" sqref="D16"/>
    </sheetView>
  </sheetViews>
  <sheetFormatPr defaultRowHeight="14.5"/>
  <cols>
    <col min="1" max="1" width="100.81640625" bestFit="1" customWidth="1"/>
    <col min="2" max="2" width="23.1796875" bestFit="1" customWidth="1"/>
  </cols>
  <sheetData>
    <row r="6" spans="1:6" ht="19.5">
      <c r="A6" s="86" t="s">
        <v>2543</v>
      </c>
    </row>
    <row r="8" spans="1:6" ht="14.5" customHeight="1">
      <c r="A8" s="80" t="s">
        <v>2541</v>
      </c>
      <c r="B8" s="82"/>
      <c r="C8" s="82"/>
      <c r="D8" s="82"/>
      <c r="E8" s="82"/>
      <c r="F8" s="82"/>
    </row>
    <row r="9" spans="1:6">
      <c r="A9" s="81" t="s">
        <v>2538</v>
      </c>
      <c r="B9" s="82"/>
      <c r="C9" s="82"/>
      <c r="D9" s="82"/>
      <c r="E9" s="82"/>
      <c r="F9" s="82"/>
    </row>
    <row r="10" spans="1:6">
      <c r="A10" s="81" t="s">
        <v>2539</v>
      </c>
      <c r="B10" s="83"/>
      <c r="C10" s="83"/>
      <c r="D10" s="83"/>
      <c r="E10" s="83"/>
      <c r="F10" s="83"/>
    </row>
    <row r="11" spans="1:6">
      <c r="A11" s="81" t="s">
        <v>2540</v>
      </c>
      <c r="B11" s="83"/>
      <c r="C11" s="83"/>
      <c r="D11" s="83"/>
      <c r="E11" s="83"/>
      <c r="F11" s="83"/>
    </row>
    <row r="12" spans="1:6">
      <c r="B12" s="83"/>
      <c r="C12" s="83"/>
      <c r="D12" s="83"/>
      <c r="E12" s="83"/>
      <c r="F12" s="83"/>
    </row>
    <row r="14" spans="1:6" ht="19.5">
      <c r="A14" s="87" t="s">
        <v>2542</v>
      </c>
    </row>
    <row r="15" spans="1:6">
      <c r="A15" s="84" t="s">
        <v>2340</v>
      </c>
      <c r="B15" s="81" t="s">
        <v>2346</v>
      </c>
    </row>
    <row r="16" spans="1:6">
      <c r="A16" s="84" t="s">
        <v>2341</v>
      </c>
      <c r="B16" s="81" t="s">
        <v>2342</v>
      </c>
    </row>
    <row r="17" spans="1:2">
      <c r="A17" s="84" t="s">
        <v>2343</v>
      </c>
      <c r="B17" s="81" t="s">
        <v>2344</v>
      </c>
    </row>
    <row r="18" spans="1:2">
      <c r="A18" s="84" t="s">
        <v>2345</v>
      </c>
      <c r="B18" s="81" t="s">
        <v>2347</v>
      </c>
    </row>
    <row r="19" spans="1:2">
      <c r="A19" s="84" t="s">
        <v>2348</v>
      </c>
      <c r="B19" s="81" t="s">
        <v>2349</v>
      </c>
    </row>
    <row r="20" spans="1:2">
      <c r="A20" s="84" t="s">
        <v>2511</v>
      </c>
      <c r="B20" s="81" t="s">
        <v>2510</v>
      </c>
    </row>
    <row r="22" spans="1:2" ht="19.5">
      <c r="A22" s="85" t="s">
        <v>2544</v>
      </c>
    </row>
    <row r="23" spans="1:2">
      <c r="A23" t="s">
        <v>2545</v>
      </c>
    </row>
  </sheetData>
  <hyperlinks>
    <hyperlink ref="A15" r:id="rId1" xr:uid="{5DE09EA8-4A79-444E-8B15-DCD26DC9D032}"/>
    <hyperlink ref="A16" r:id="rId2" xr:uid="{812412EB-D994-4034-852E-446597B3DA62}"/>
    <hyperlink ref="A17" r:id="rId3" xr:uid="{34794CC3-E0A8-4067-B22D-5D9FA0CA7409}"/>
    <hyperlink ref="A18" r:id="rId4" xr:uid="{D4FC15A4-2506-44E8-A16D-260843046DE5}"/>
    <hyperlink ref="A19" r:id="rId5" xr:uid="{BFB3D59D-BF79-49E0-88B9-90A7628F4340}"/>
    <hyperlink ref="A20" r:id="rId6" xr:uid="{F3358017-B42A-4B9E-B781-A03E7DE5B6DA}"/>
  </hyperlinks>
  <pageMargins left="0.7" right="0.7" top="0.75" bottom="0.75" header="0.3" footer="0.3"/>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5D48A-ABE6-6D4E-8654-6F6C2B508EBE}">
  <sheetPr codeName="Sheet7"/>
  <dimension ref="A1:N101"/>
  <sheetViews>
    <sheetView topLeftCell="B1" zoomScale="70" zoomScaleNormal="70" workbookViewId="0">
      <selection activeCell="E36" sqref="E36"/>
    </sheetView>
  </sheetViews>
  <sheetFormatPr defaultColWidth="10.81640625" defaultRowHeight="14.5"/>
  <cols>
    <col min="1" max="1" width="7.26953125" bestFit="1" customWidth="1"/>
    <col min="2" max="2" width="50.7265625" bestFit="1" customWidth="1"/>
    <col min="3" max="3" width="18.1796875" customWidth="1"/>
    <col min="4" max="4" width="16.453125" customWidth="1"/>
    <col min="5" max="5" width="10.81640625" customWidth="1"/>
    <col min="6" max="6" width="17.1796875" customWidth="1"/>
    <col min="7" max="7" width="21.453125" style="29" customWidth="1"/>
    <col min="8" max="8" width="10.81640625" style="29" customWidth="1"/>
    <col min="9" max="9" width="22.453125" style="29" customWidth="1"/>
    <col min="10" max="10" width="17.1796875" style="42" customWidth="1"/>
    <col min="11" max="11" width="27.08984375" style="64" bestFit="1" customWidth="1"/>
    <col min="12" max="12" width="25.54296875" style="64" bestFit="1" customWidth="1"/>
    <col min="13" max="13" width="21.453125" bestFit="1" customWidth="1"/>
    <col min="14" max="14" width="19" customWidth="1"/>
  </cols>
  <sheetData>
    <row r="1" spans="1:14" ht="15.5">
      <c r="A1" s="1" t="s">
        <v>0</v>
      </c>
      <c r="B1" s="1" t="s">
        <v>1</v>
      </c>
      <c r="C1" s="1" t="s">
        <v>2</v>
      </c>
      <c r="D1" s="1" t="s">
        <v>3</v>
      </c>
      <c r="E1" s="1" t="s">
        <v>2331</v>
      </c>
      <c r="F1" s="1" t="s">
        <v>811</v>
      </c>
      <c r="G1" s="27" t="s">
        <v>812</v>
      </c>
      <c r="H1" s="30" t="s">
        <v>813</v>
      </c>
      <c r="I1" s="30" t="s">
        <v>814</v>
      </c>
      <c r="J1" s="40" t="s">
        <v>2361</v>
      </c>
      <c r="K1" s="62" t="s">
        <v>2527</v>
      </c>
      <c r="L1" s="62" t="s">
        <v>2528</v>
      </c>
      <c r="M1" s="1" t="s">
        <v>2529</v>
      </c>
      <c r="N1" s="1" t="s">
        <v>2530</v>
      </c>
    </row>
    <row r="2" spans="1:14">
      <c r="A2" s="2">
        <v>1</v>
      </c>
      <c r="B2" s="2" t="s">
        <v>4</v>
      </c>
      <c r="C2" s="2" t="s">
        <v>5</v>
      </c>
      <c r="D2" s="2" t="s">
        <v>738</v>
      </c>
      <c r="E2" s="10" t="s">
        <v>827</v>
      </c>
      <c r="F2" s="2" t="str">
        <f>_xlfn.XLOOKUP(Top_100_Universities[[#This Row],[University]],Table1[University],Table1[Type],"NOT FOUND",0)</f>
        <v>Private not-for-profit</v>
      </c>
      <c r="G2" s="31">
        <f>_xlfn.XLOOKUP(Top_100_Universities[[#This Row],[University]],Table1[University],Table1[Av. Grant Aid],"NOT FOUND",0)</f>
        <v>45591</v>
      </c>
      <c r="H2" s="31">
        <f>_xlfn.XLOOKUP(Top_100_Universities[[#This Row],[University]],Table1[University],Table1[Av. Debt],"NOT FOUND",0)</f>
        <v>13792</v>
      </c>
      <c r="I2" s="31">
        <f>_xlfn.XLOOKUP(Top_100_Universities[[#This Row],[University]],Table1[University],Table1[Median 10-year Salary],"NOT FOUND",0)</f>
        <v>189400</v>
      </c>
      <c r="J2" s="41">
        <f>_xlfn.XLOOKUP(Top_100_Universities[[#This Row],[Town]],Cost_of_Living[City],Cost_of_Living[Cost of Living Index],"NA",0)</f>
        <v>82</v>
      </c>
      <c r="K2" s="63" cm="1">
        <f t="array" ref="K2">_xlfn.XLOOKUP(Top_100_Universities[[#This Row],[Town]], Cost_of_Living[[#All],[City]], Cost_of_Living[[#All],[Normalized Cost of Living]], "NA",0)</f>
        <v>0.88138686131386856</v>
      </c>
      <c r="L2" s="63" cm="1">
        <f t="array" ref="L2">_xlfn.XLOOKUP(Top_100_Universities[[#This Row],[State]], Crime_rate_Index[[#All],[State ]], Crime_rate_Index[[#All],[Normalized Crime Index]], "NA", 0)</f>
        <v>0.85055416517697535</v>
      </c>
      <c r="M2" s="63" cm="1">
        <f t="array" ref="M2">_xlfn.XLOOKUP(Top_100_Universities[[#This Row],[State]], Safest_States[[#All],[state]], Safest_States[[#All],[Normailzed Safety Score]], "NA", 0)</f>
        <v>0.76393001345895017</v>
      </c>
      <c r="N2" s="63">
        <f>0.4*Top_100_Universities[[#This Row],[Normalized Cost of Living Index]] + 0.3*Top_100_Universities[[#This Row],[Normalized Crime Rate Index]] + 0.3*Top_100_Universities[[#This Row],[Normalized Safety Score]]</f>
        <v>0.83689999811632521</v>
      </c>
    </row>
    <row r="3" spans="1:14">
      <c r="A3" s="2">
        <v>2</v>
      </c>
      <c r="B3" s="2" t="s">
        <v>6</v>
      </c>
      <c r="C3" s="2" t="s">
        <v>5</v>
      </c>
      <c r="D3" s="2" t="s">
        <v>738</v>
      </c>
      <c r="E3" s="10" t="s">
        <v>827</v>
      </c>
      <c r="F3" s="2" t="str">
        <f>_xlfn.XLOOKUP(Top_100_Universities[[#This Row],[University]],Table1[University],Table1[Type],"NOT FOUND",0)</f>
        <v>Private not-for-profit</v>
      </c>
      <c r="G3" s="31">
        <f>_xlfn.XLOOKUP(Top_100_Universities[[#This Row],[University]],Table1[University],Table1[Av. Grant Aid],"NOT FOUND",0)</f>
        <v>61801</v>
      </c>
      <c r="H3" s="31">
        <f>_xlfn.XLOOKUP(Top_100_Universities[[#This Row],[University]],Table1[University],Table1[Av. Debt],"NOT FOUND",0)</f>
        <v>9004</v>
      </c>
      <c r="I3" s="31">
        <f>_xlfn.XLOOKUP(Top_100_Universities[[#This Row],[University]],Table1[University],Table1[Median 10-year Salary],"NOT FOUND",0)</f>
        <v>171400</v>
      </c>
      <c r="J3" s="41">
        <f>_xlfn.XLOOKUP(Top_100_Universities[[#This Row],[Town]],Cost_of_Living[City],Cost_of_Living[Cost of Living Index],"NA",0)</f>
        <v>82</v>
      </c>
      <c r="K3" s="63" cm="1">
        <f t="array" ref="K3">_xlfn.XLOOKUP(Top_100_Universities[[#This Row],[Town]], Cost_of_Living[[#All],[City]], Cost_of_Living[[#All],[Normalized Cost of Living]], "NA",0)</f>
        <v>0.88138686131386856</v>
      </c>
      <c r="L3" s="63" cm="1">
        <f t="array" ref="L3">_xlfn.XLOOKUP(Top_100_Universities[[#This Row],[State]], Crime_rate_Index[[#All],[State ]], Crime_rate_Index[[#All],[Normalized Crime Index]], "NA", 0)</f>
        <v>0.85055416517697535</v>
      </c>
      <c r="M3" s="63" cm="1">
        <f t="array" ref="M3">_xlfn.XLOOKUP(Top_100_Universities[[#This Row],[State]], Safest_States[[#All],[state]], Safest_States[[#All],[Normailzed Safety Score]], "NA", 0)</f>
        <v>0.76393001345895017</v>
      </c>
      <c r="N3" s="63">
        <f>0.4*Top_100_Universities[[#This Row],[Normalized Cost of Living Index]] + 0.3*Top_100_Universities[[#This Row],[Normalized Crime Rate Index]] + 0.3*Top_100_Universities[[#This Row],[Normalized Safety Score]]</f>
        <v>0.83689999811632521</v>
      </c>
    </row>
    <row r="4" spans="1:14">
      <c r="A4" s="2">
        <v>3</v>
      </c>
      <c r="B4" s="2" t="s">
        <v>7</v>
      </c>
      <c r="C4" s="2" t="s">
        <v>739</v>
      </c>
      <c r="D4" s="2" t="s">
        <v>666</v>
      </c>
      <c r="E4" s="10" t="s">
        <v>822</v>
      </c>
      <c r="F4" s="2" t="str">
        <f>_xlfn.XLOOKUP(Top_100_Universities[[#This Row],[University]],Table1[University],Table1[Type],"NOT FOUND",0)</f>
        <v>Private not-for-profit</v>
      </c>
      <c r="G4" s="31">
        <f>_xlfn.XLOOKUP(Top_100_Universities[[#This Row],[University]],Table1[University],Table1[Av. Grant Aid],"NOT FOUND",0)</f>
        <v>60619</v>
      </c>
      <c r="H4" s="31">
        <f>_xlfn.XLOOKUP(Top_100_Universities[[#This Row],[University]],Table1[University],Table1[Av. Debt],"NOT FOUND",0)</f>
        <v>12999</v>
      </c>
      <c r="I4" s="31">
        <f>_xlfn.XLOOKUP(Top_100_Universities[[#This Row],[University]],Table1[University],Table1[Median 10-year Salary],"NOT FOUND",0)</f>
        <v>177500</v>
      </c>
      <c r="J4" s="41">
        <f>_xlfn.XLOOKUP(Top_100_Universities[[#This Row],[Town]],Cost_of_Living[City],Cost_of_Living[Cost of Living Index],"NA",0)</f>
        <v>85.1</v>
      </c>
      <c r="K4" s="63" cm="1">
        <f t="array" ref="K4">_xlfn.XLOOKUP(Top_100_Universities[[#This Row],[Town]], Cost_of_Living[[#All],[City]], Cost_of_Living[[#All],[Normalized Cost of Living]], "NA",0)</f>
        <v>0.85310218978102192</v>
      </c>
      <c r="L4" s="63" cm="1">
        <f t="array" ref="L4">_xlfn.XLOOKUP(Top_100_Universities[[#This Row],[State]], Crime_rate_Index[[#All],[State ]], Crime_rate_Index[[#All],[Normalized Crime Index]], "NA", 0)</f>
        <v>0.73149803360743659</v>
      </c>
      <c r="M4" s="63" cm="1">
        <f t="array" ref="M4">_xlfn.XLOOKUP(Top_100_Universities[[#This Row],[State]], Safest_States[[#All],[state]], Safest_States[[#All],[Normailzed Safety Score]], "NA", 0)</f>
        <v>0.46567967698519502</v>
      </c>
      <c r="N4" s="63">
        <f>0.4*Top_100_Universities[[#This Row],[Normalized Cost of Living Index]] + 0.3*Top_100_Universities[[#This Row],[Normalized Crime Rate Index]] + 0.3*Top_100_Universities[[#This Row],[Normalized Safety Score]]</f>
        <v>0.70039418909019824</v>
      </c>
    </row>
    <row r="5" spans="1:14">
      <c r="A5" s="2">
        <v>4</v>
      </c>
      <c r="B5" s="2" t="s">
        <v>8</v>
      </c>
      <c r="C5" s="2" t="s">
        <v>9</v>
      </c>
      <c r="D5" s="2" t="s">
        <v>740</v>
      </c>
      <c r="E5" s="10" t="s">
        <v>840</v>
      </c>
      <c r="F5" s="2" t="str">
        <f>_xlfn.XLOOKUP(Top_100_Universities[[#This Row],[University]],Table1[University],Table1[Type],"NOT FOUND",0)</f>
        <v>Private not-for-profit</v>
      </c>
      <c r="G5" s="31">
        <f>_xlfn.XLOOKUP(Top_100_Universities[[#This Row],[University]],Table1[University],Table1[Av. Grant Aid],"NOT FOUND",0)</f>
        <v>54219</v>
      </c>
      <c r="H5" s="31">
        <f>_xlfn.XLOOKUP(Top_100_Universities[[#This Row],[University]],Table1[University],Table1[Av. Debt],"NOT FOUND",0)</f>
        <v>8309</v>
      </c>
      <c r="I5" s="31">
        <f>_xlfn.XLOOKUP(Top_100_Universities[[#This Row],[University]],Table1[University],Table1[Median 10-year Salary],"NOT FOUND",0)</f>
        <v>155400</v>
      </c>
      <c r="J5" s="41">
        <f>_xlfn.XLOOKUP(Top_100_Universities[[#This Row],[Town]],Cost_of_Living[City],Cost_of_Living[Cost of Living Index],"NA",0)</f>
        <v>101.7</v>
      </c>
      <c r="K5" s="63" cm="1">
        <f t="array" ref="K5">_xlfn.XLOOKUP(Top_100_Universities[[#This Row],[Town]], Cost_of_Living[[#All],[City]], Cost_of_Living[[#All],[Normalized Cost of Living]], "NA",0)</f>
        <v>0.70164233576642332</v>
      </c>
      <c r="L5" s="63" cm="1">
        <f t="array" ref="L5">_xlfn.XLOOKUP(Top_100_Universities[[#This Row],[State]], Crime_rate_Index[[#All],[State ]], Crime_rate_Index[[#All],[Normalized Crime Index]], "NA", 0)</f>
        <v>0.91276367536646408</v>
      </c>
      <c r="M5" s="63" cm="1">
        <f t="array" ref="M5">_xlfn.XLOOKUP(Top_100_Universities[[#This Row],[State]], Safest_States[[#All],[state]], Safest_States[[#All],[Normailzed Safety Score]], "NA", 0)</f>
        <v>0.54589502018842528</v>
      </c>
      <c r="N5" s="63">
        <f>0.4*Top_100_Universities[[#This Row],[Normalized Cost of Living Index]] + 0.3*Top_100_Universities[[#This Row],[Normalized Crime Rate Index]] + 0.3*Top_100_Universities[[#This Row],[Normalized Safety Score]]</f>
        <v>0.71825454297303615</v>
      </c>
    </row>
    <row r="6" spans="1:14">
      <c r="A6" s="2">
        <v>5</v>
      </c>
      <c r="B6" s="2" t="s">
        <v>10</v>
      </c>
      <c r="C6" s="2" t="s">
        <v>725</v>
      </c>
      <c r="D6" s="2" t="s">
        <v>666</v>
      </c>
      <c r="E6" s="10" t="s">
        <v>822</v>
      </c>
      <c r="F6" s="2" t="str">
        <f>_xlfn.XLOOKUP(Top_100_Universities[[#This Row],[University]],Table1[University],Table1[Type],"NOT FOUND",0)</f>
        <v>Public</v>
      </c>
      <c r="G6" s="31">
        <f>_xlfn.XLOOKUP(Top_100_Universities[[#This Row],[University]],Table1[University],Table1[Av. Grant Aid],"NOT FOUND",0)</f>
        <v>21669</v>
      </c>
      <c r="H6" s="31">
        <f>_xlfn.XLOOKUP(Top_100_Universities[[#This Row],[University]],Table1[University],Table1[Av. Debt],"NOT FOUND",0)</f>
        <v>7238</v>
      </c>
      <c r="I6" s="31">
        <f>_xlfn.XLOOKUP(Top_100_Universities[[#This Row],[University]],Table1[University],Table1[Median 10-year Salary],"NOT FOUND",0)</f>
        <v>167000</v>
      </c>
      <c r="J6" s="41">
        <f>_xlfn.XLOOKUP(Top_100_Universities[[#This Row],[Town]],Cost_of_Living[City],Cost_of_Living[Cost of Living Index],"NA",0)</f>
        <v>95.5</v>
      </c>
      <c r="K6" s="63" cm="1">
        <f t="array" ref="K6">_xlfn.XLOOKUP(Top_100_Universities[[#This Row],[Town]], Cost_of_Living[[#All],[City]], Cost_of_Living[[#All],[Normalized Cost of Living]], "NA",0)</f>
        <v>0.75821167883211671</v>
      </c>
      <c r="L6" s="63" cm="1">
        <f t="array" ref="L6">_xlfn.XLOOKUP(Top_100_Universities[[#This Row],[State]], Crime_rate_Index[[#All],[State ]], Crime_rate_Index[[#All],[Normalized Crime Index]], "NA", 0)</f>
        <v>0.73149803360743659</v>
      </c>
      <c r="M6" s="63" cm="1">
        <f t="array" ref="M6">_xlfn.XLOOKUP(Top_100_Universities[[#This Row],[State]], Safest_States[[#All],[state]], Safest_States[[#All],[Normailzed Safety Score]], "NA", 0)</f>
        <v>0.46567967698519502</v>
      </c>
      <c r="N6" s="63">
        <f>0.4*Top_100_Universities[[#This Row],[Normalized Cost of Living Index]] + 0.3*Top_100_Universities[[#This Row],[Normalized Crime Rate Index]] + 0.3*Top_100_Universities[[#This Row],[Normalized Safety Score]]</f>
        <v>0.6624379847106362</v>
      </c>
    </row>
    <row r="7" spans="1:14">
      <c r="A7" s="2">
        <v>6</v>
      </c>
      <c r="B7" s="2" t="s">
        <v>11</v>
      </c>
      <c r="C7" s="2" t="s">
        <v>705</v>
      </c>
      <c r="D7" s="2" t="s">
        <v>741</v>
      </c>
      <c r="E7" s="10" t="s">
        <v>922</v>
      </c>
      <c r="F7" s="2" t="str">
        <f>_xlfn.XLOOKUP(Top_100_Universities[[#This Row],[University]],Table1[University],Table1[Type],"NOT FOUND",0)</f>
        <v>Public</v>
      </c>
      <c r="G7" s="31">
        <f>_xlfn.XLOOKUP(Top_100_Universities[[#This Row],[University]],Table1[University],Table1[Av. Grant Aid],"NOT FOUND",0)</f>
        <v>15121</v>
      </c>
      <c r="H7" s="31">
        <f>_xlfn.XLOOKUP(Top_100_Universities[[#This Row],[University]],Table1[University],Table1[Av. Debt],"NOT FOUND",0)</f>
        <v>8470</v>
      </c>
      <c r="I7" s="31">
        <f>_xlfn.XLOOKUP(Top_100_Universities[[#This Row],[University]],Table1[University],Table1[Median 10-year Salary],"NOT FOUND",0)</f>
        <v>137500</v>
      </c>
      <c r="J7" s="41">
        <f>_xlfn.XLOOKUP(Top_100_Universities[[#This Row],[Town]],Cost_of_Living[City],Cost_of_Living[Cost of Living Index],"NA",0)</f>
        <v>99.3</v>
      </c>
      <c r="K7" s="63" cm="1">
        <f t="array" ref="K7">_xlfn.XLOOKUP(Top_100_Universities[[#This Row],[Town]], Cost_of_Living[[#All],[City]], Cost_of_Living[[#All],[Normalized Cost of Living]], "NA",0)</f>
        <v>0.7235401459854014</v>
      </c>
      <c r="L7" s="63" cm="1">
        <f t="array" ref="L7">_xlfn.XLOOKUP(Top_100_Universities[[#This Row],[State]], Crime_rate_Index[[#All],[State ]], Crime_rate_Index[[#All],[Normalized Crime Index]], "NA", 0)</f>
        <v>0.71147658205219877</v>
      </c>
      <c r="M7" s="63" cm="1">
        <f t="array" ref="M7">_xlfn.XLOOKUP(Top_100_Universities[[#This Row],[State]], Safest_States[[#All],[state]], Safest_States[[#All],[Normailzed Safety Score]], "NA", 0)</f>
        <v>0.48855989232839825</v>
      </c>
      <c r="N7" s="63">
        <f>0.4*Top_100_Universities[[#This Row],[Normalized Cost of Living Index]] + 0.3*Top_100_Universities[[#This Row],[Normalized Crime Rate Index]] + 0.3*Top_100_Universities[[#This Row],[Normalized Safety Score]]</f>
        <v>0.64942700070833959</v>
      </c>
    </row>
    <row r="8" spans="1:14">
      <c r="A8" s="2">
        <v>7</v>
      </c>
      <c r="B8" s="2" t="s">
        <v>12</v>
      </c>
      <c r="C8" s="2" t="s">
        <v>346</v>
      </c>
      <c r="D8" s="2" t="s">
        <v>71</v>
      </c>
      <c r="E8" s="10" t="s">
        <v>979</v>
      </c>
      <c r="F8" s="2" t="str">
        <f>_xlfn.XLOOKUP(Top_100_Universities[[#This Row],[University]],Table1[University],Table1[Type],"NOT FOUND",0)</f>
        <v>Public</v>
      </c>
      <c r="G8" s="31">
        <f>_xlfn.XLOOKUP(Top_100_Universities[[#This Row],[University]],Table1[University],Table1[Av. Grant Aid],"NOT FOUND",0)</f>
        <v>14731</v>
      </c>
      <c r="H8" s="31">
        <f>_xlfn.XLOOKUP(Top_100_Universities[[#This Row],[University]],Table1[University],Table1[Av. Debt],"NOT FOUND",0)</f>
        <v>6169</v>
      </c>
      <c r="I8" s="31">
        <f>_xlfn.XLOOKUP(Top_100_Universities[[#This Row],[University]],Table1[University],Table1[Median 10-year Salary],"NOT FOUND",0)</f>
        <v>136800</v>
      </c>
      <c r="J8" s="41">
        <f>_xlfn.XLOOKUP(Top_100_Universities[[#This Row],[Town]],Cost_of_Living[City],Cost_of_Living[Cost of Living Index],"NA",0)</f>
        <v>124.6</v>
      </c>
      <c r="K8" s="63" cm="1">
        <f t="array" ref="K8">_xlfn.XLOOKUP(Top_100_Universities[[#This Row],[Town]], Cost_of_Living[[#All],[City]], Cost_of_Living[[#All],[Normalized Cost of Living]], "NA",0)</f>
        <v>0.49270072992700731</v>
      </c>
      <c r="L8" s="63" cm="1">
        <f t="array" ref="L8">_xlfn.XLOOKUP(Top_100_Universities[[#This Row],[State]], Crime_rate_Index[[#All],[State ]], Crime_rate_Index[[#All],[Normalized Crime Index]], "NA", 0)</f>
        <v>0.67643904183053272</v>
      </c>
      <c r="M8" s="63" cm="1">
        <f t="array" ref="M8">_xlfn.XLOOKUP(Top_100_Universities[[#This Row],[State]], Safest_States[[#All],[state]], Safest_States[[#All],[Normailzed Safety Score]], "NA", 0)</f>
        <v>0.74831763122476425</v>
      </c>
      <c r="N8" s="63">
        <f>0.4*Top_100_Universities[[#This Row],[Normalized Cost of Living Index]] + 0.3*Top_100_Universities[[#This Row],[Normalized Crime Rate Index]] + 0.3*Top_100_Universities[[#This Row],[Normalized Safety Score]]</f>
        <v>0.62450729388739201</v>
      </c>
    </row>
    <row r="9" spans="1:14">
      <c r="A9" s="2">
        <v>8</v>
      </c>
      <c r="B9" s="2" t="s">
        <v>13</v>
      </c>
      <c r="C9" s="2" t="s">
        <v>14</v>
      </c>
      <c r="D9" s="2" t="s">
        <v>740</v>
      </c>
      <c r="E9" s="10" t="s">
        <v>840</v>
      </c>
      <c r="F9" s="2" t="str">
        <f>_xlfn.XLOOKUP(Top_100_Universities[[#This Row],[University]],Table1[University],Table1[Type],"NOT FOUND",0)</f>
        <v>Private not-for-profit</v>
      </c>
      <c r="G9" s="31">
        <f>_xlfn.XLOOKUP(Top_100_Universities[[#This Row],[University]],Table1[University],Table1[Av. Grant Aid],"NOT FOUND",0)</f>
        <v>61061</v>
      </c>
      <c r="H9" s="31">
        <f>_xlfn.XLOOKUP(Top_100_Universities[[#This Row],[University]],Table1[University],Table1[Av. Debt],"NOT FOUND",0)</f>
        <v>16849</v>
      </c>
      <c r="I9" s="31">
        <f>_xlfn.XLOOKUP(Top_100_Universities[[#This Row],[University]],Table1[University],Table1[Median 10-year Salary],"NOT FOUND",0)</f>
        <v>156000</v>
      </c>
      <c r="J9" s="41">
        <f>_xlfn.XLOOKUP(Top_100_Universities[[#This Row],[Town]],Cost_of_Living[City],Cost_of_Living[Cost of Living Index],"NA",0)</f>
        <v>148.19999999999999</v>
      </c>
      <c r="K9" s="63" cm="1">
        <f t="array" ref="K9">_xlfn.XLOOKUP(Top_100_Universities[[#This Row],[Town]], Cost_of_Living[[#All],[City]], Cost_of_Living[[#All],[Normalized Cost of Living]], "NA",0)</f>
        <v>0.27737226277372273</v>
      </c>
      <c r="L9" s="63" cm="1">
        <f t="array" ref="L9">_xlfn.XLOOKUP(Top_100_Universities[[#This Row],[State]], Crime_rate_Index[[#All],[State ]], Crime_rate_Index[[#All],[Normalized Crime Index]], "NA", 0)</f>
        <v>0.91276367536646408</v>
      </c>
      <c r="M9" s="63" cm="1">
        <f t="array" ref="M9">_xlfn.XLOOKUP(Top_100_Universities[[#This Row],[State]], Safest_States[[#All],[state]], Safest_States[[#All],[Normailzed Safety Score]], "NA", 0)</f>
        <v>0.54589502018842528</v>
      </c>
      <c r="N9" s="63">
        <f>0.4*Top_100_Universities[[#This Row],[Normalized Cost of Living Index]] + 0.3*Top_100_Universities[[#This Row],[Normalized Crime Rate Index]] + 0.3*Top_100_Universities[[#This Row],[Normalized Safety Score]]</f>
        <v>0.54854651377595587</v>
      </c>
    </row>
    <row r="10" spans="1:14">
      <c r="A10" s="2">
        <v>9</v>
      </c>
      <c r="B10" s="2" t="s">
        <v>15</v>
      </c>
      <c r="C10" s="2" t="s">
        <v>41</v>
      </c>
      <c r="D10" s="2" t="s">
        <v>666</v>
      </c>
      <c r="E10" s="10" t="s">
        <v>822</v>
      </c>
      <c r="F10" s="2" t="str">
        <f>_xlfn.XLOOKUP(Top_100_Universities[[#This Row],[University]],Table1[University],Table1[Type],"NOT FOUND",0)</f>
        <v>Public</v>
      </c>
      <c r="G10" s="31">
        <f>_xlfn.XLOOKUP(Top_100_Universities[[#This Row],[University]],Table1[University],Table1[Av. Grant Aid],"NOT FOUND",0)</f>
        <v>21766</v>
      </c>
      <c r="H10" s="31">
        <f>_xlfn.XLOOKUP(Top_100_Universities[[#This Row],[University]],Table1[University],Table1[Av. Debt],"NOT FOUND",0)</f>
        <v>6418</v>
      </c>
      <c r="I10" s="31">
        <f>_xlfn.XLOOKUP(Top_100_Universities[[#This Row],[University]],Table1[University],Table1[Median 10-year Salary],"NOT FOUND",0)</f>
        <v>144400</v>
      </c>
      <c r="J10" s="41">
        <f>_xlfn.XLOOKUP(Top_100_Universities[[#This Row],[Town]],Cost_of_Living[City],Cost_of_Living[Cost of Living Index],"NA",0)</f>
        <v>140.6</v>
      </c>
      <c r="K10" s="63" cm="1">
        <f t="array" ref="K10">_xlfn.XLOOKUP(Top_100_Universities[[#This Row],[Town]], Cost_of_Living[[#All],[City]], Cost_of_Living[[#All],[Normalized Cost of Living]], "NA",0)</f>
        <v>0.34671532846715325</v>
      </c>
      <c r="L10" s="63" cm="1">
        <f t="array" ref="L10">_xlfn.XLOOKUP(Top_100_Universities[[#This Row],[State]], Crime_rate_Index[[#All],[State ]], Crime_rate_Index[[#All],[Normalized Crime Index]], "NA", 0)</f>
        <v>0.73149803360743659</v>
      </c>
      <c r="M10" s="63" cm="1">
        <f t="array" ref="M10">_xlfn.XLOOKUP(Top_100_Universities[[#This Row],[State]], Safest_States[[#All],[state]], Safest_States[[#All],[Normailzed Safety Score]], "NA", 0)</f>
        <v>0.46567967698519502</v>
      </c>
      <c r="N10" s="63">
        <f>0.4*Top_100_Universities[[#This Row],[Normalized Cost of Living Index]] + 0.3*Top_100_Universities[[#This Row],[Normalized Crime Rate Index]] + 0.3*Top_100_Universities[[#This Row],[Normalized Safety Score]]</f>
        <v>0.49783944456465079</v>
      </c>
    </row>
    <row r="11" spans="1:14">
      <c r="A11" s="2">
        <v>10</v>
      </c>
      <c r="B11" s="2" t="s">
        <v>16</v>
      </c>
      <c r="C11" s="2" t="s">
        <v>17</v>
      </c>
      <c r="D11" s="2" t="s">
        <v>742</v>
      </c>
      <c r="E11" s="10" t="s">
        <v>831</v>
      </c>
      <c r="F11" s="2" t="str">
        <f>_xlfn.XLOOKUP(Top_100_Universities[[#This Row],[University]],Table1[University],Table1[Type],"NOT FOUND",0)</f>
        <v>Private not-for-profit</v>
      </c>
      <c r="G11" s="31">
        <f>_xlfn.XLOOKUP(Top_100_Universities[[#This Row],[University]],Table1[University],Table1[Av. Grant Aid],"NOT FOUND",0)</f>
        <v>63523</v>
      </c>
      <c r="H11" s="31">
        <f>_xlfn.XLOOKUP(Top_100_Universities[[#This Row],[University]],Table1[University],Table1[Av. Debt],"NOT FOUND",0)</f>
        <v>4926</v>
      </c>
      <c r="I11" s="31">
        <f>_xlfn.XLOOKUP(Top_100_Universities[[#This Row],[University]],Table1[University],Table1[Median 10-year Salary],"NOT FOUND",0)</f>
        <v>168300</v>
      </c>
      <c r="J11" s="41">
        <f>_xlfn.XLOOKUP(Top_100_Universities[[#This Row],[Town]],Cost_of_Living[City],Cost_of_Living[Cost of Living Index],"NA",0)</f>
        <v>107.7</v>
      </c>
      <c r="K11" s="63" cm="1">
        <f t="array" ref="K11">_xlfn.XLOOKUP(Top_100_Universities[[#This Row],[Town]], Cost_of_Living[[#All],[City]], Cost_of_Living[[#All],[Normalized Cost of Living]], "NA",0)</f>
        <v>0.64689781021897808</v>
      </c>
      <c r="L11" s="63" cm="1">
        <f t="array" ref="L11">_xlfn.XLOOKUP(Top_100_Universities[[#This Row],[State]], Crime_rate_Index[[#All],[State ]], Crime_rate_Index[[#All],[Normalized Crime Index]], "NA", 0)</f>
        <v>0.92098677154093678</v>
      </c>
      <c r="M11" s="63" cm="1">
        <f t="array" ref="M11">_xlfn.XLOOKUP(Top_100_Universities[[#This Row],[State]], Safest_States[[#All],[state]], Safest_States[[#All],[Normailzed Safety Score]], "NA", 0)</f>
        <v>0.7601615074024225</v>
      </c>
      <c r="N11" s="63">
        <f>0.4*Top_100_Universities[[#This Row],[Normalized Cost of Living Index]] + 0.3*Top_100_Universities[[#This Row],[Normalized Crime Rate Index]] + 0.3*Top_100_Universities[[#This Row],[Normalized Safety Score]]</f>
        <v>0.76310360777059905</v>
      </c>
    </row>
    <row r="12" spans="1:14">
      <c r="A12" s="2">
        <v>11</v>
      </c>
      <c r="B12" s="2" t="s">
        <v>18</v>
      </c>
      <c r="C12" s="2" t="s">
        <v>19</v>
      </c>
      <c r="D12" s="2" t="s">
        <v>743</v>
      </c>
      <c r="E12" s="10" t="s">
        <v>844</v>
      </c>
      <c r="F12" s="2" t="str">
        <f>_xlfn.XLOOKUP(Top_100_Universities[[#This Row],[University]],Table1[University],Table1[Type],"NOT FOUND",0)</f>
        <v>Private not-for-profit</v>
      </c>
      <c r="G12" s="31">
        <f>_xlfn.XLOOKUP(Top_100_Universities[[#This Row],[University]],Table1[University],Table1[Av. Grant Aid],"NOT FOUND",0)</f>
        <v>57175</v>
      </c>
      <c r="H12" s="31">
        <f>_xlfn.XLOOKUP(Top_100_Universities[[#This Row],[University]],Table1[University],Table1[Av. Debt],"NOT FOUND",0)</f>
        <v>12499</v>
      </c>
      <c r="I12" s="31">
        <f>_xlfn.XLOOKUP(Top_100_Universities[[#This Row],[University]],Table1[University],Table1[Median 10-year Salary],"NOT FOUND",0)</f>
        <v>171800</v>
      </c>
      <c r="J12" s="41">
        <f>_xlfn.XLOOKUP(Top_100_Universities[[#This Row],[Town]],Cost_of_Living[City],Cost_of_Living[Cost of Living Index],"NA",0)</f>
        <v>103.4</v>
      </c>
      <c r="K12" s="63" cm="1">
        <f t="array" ref="K12">_xlfn.XLOOKUP(Top_100_Universities[[#This Row],[Town]], Cost_of_Living[[#All],[City]], Cost_of_Living[[#All],[Normalized Cost of Living]], "NA",0)</f>
        <v>0.68613138686131381</v>
      </c>
      <c r="L12" s="63" cm="1">
        <f t="array" ref="L12">_xlfn.XLOOKUP(Top_100_Universities[[#This Row],[State]], Crime_rate_Index[[#All],[State ]], Crime_rate_Index[[#All],[Normalized Crime Index]], "NA", 0)</f>
        <v>0.86235252055774048</v>
      </c>
      <c r="M12" s="63" cm="1">
        <f t="array" ref="M12">_xlfn.XLOOKUP(Top_100_Universities[[#This Row],[State]], Safest_States[[#All],[state]], Safest_States[[#All],[Normailzed Safety Score]], "NA", 0)</f>
        <v>0.45410497981157455</v>
      </c>
      <c r="N12" s="63">
        <f>0.4*Top_100_Universities[[#This Row],[Normalized Cost of Living Index]] + 0.3*Top_100_Universities[[#This Row],[Normalized Crime Rate Index]] + 0.3*Top_100_Universities[[#This Row],[Normalized Safety Score]]</f>
        <v>0.66938980485531996</v>
      </c>
    </row>
    <row r="13" spans="1:14">
      <c r="A13" s="2">
        <v>12</v>
      </c>
      <c r="B13" s="2" t="s">
        <v>20</v>
      </c>
      <c r="C13" s="2" t="s">
        <v>21</v>
      </c>
      <c r="D13" s="2" t="s">
        <v>744</v>
      </c>
      <c r="E13" s="10" t="s">
        <v>1000</v>
      </c>
      <c r="F13" s="2" t="str">
        <f>_xlfn.XLOOKUP(Top_100_Universities[[#This Row],[University]],Table1[University],Table1[Type],"NOT FOUND",0)</f>
        <v>Public</v>
      </c>
      <c r="G13" s="31">
        <f>_xlfn.XLOOKUP(Top_100_Universities[[#This Row],[University]],Table1[University],Table1[Av. Grant Aid],"NOT FOUND",0)</f>
        <v>11171</v>
      </c>
      <c r="H13" s="31">
        <f>_xlfn.XLOOKUP(Top_100_Universities[[#This Row],[University]],Table1[University],Table1[Av. Debt],"NOT FOUND",0)</f>
        <v>9299</v>
      </c>
      <c r="I13" s="31">
        <f>_xlfn.XLOOKUP(Top_100_Universities[[#This Row],[University]],Table1[University],Table1[Median 10-year Salary],"NOT FOUND",0)</f>
        <v>125900</v>
      </c>
      <c r="J13" s="41">
        <f>_xlfn.XLOOKUP(Top_100_Universities[[#This Row],[Town]],Cost_of_Living[City],Cost_of_Living[Cost of Living Index],"NA",0)</f>
        <v>99.5</v>
      </c>
      <c r="K13" s="63" cm="1">
        <f t="array" ref="K13">_xlfn.XLOOKUP(Top_100_Universities[[#This Row],[Town]], Cost_of_Living[[#All],[City]], Cost_of_Living[[#All],[Normalized Cost of Living]], "NA",0)</f>
        <v>0.72171532846715325</v>
      </c>
      <c r="L13" s="63" cm="1">
        <f t="array" ref="L13">_xlfn.XLOOKUP(Top_100_Universities[[#This Row],[State]], Crime_rate_Index[[#All],[State ]], Crime_rate_Index[[#All],[Normalized Crime Index]], "NA", 0)</f>
        <v>0.90096531998569895</v>
      </c>
      <c r="M13" s="63" cm="1">
        <f t="array" ref="M13">_xlfn.XLOOKUP(Top_100_Universities[[#This Row],[State]], Safest_States[[#All],[state]], Safest_States[[#All],[Normailzed Safety Score]], "NA", 0)</f>
        <v>0.53243606998654103</v>
      </c>
      <c r="N13" s="63">
        <f>0.4*Top_100_Universities[[#This Row],[Normalized Cost of Living Index]] + 0.3*Top_100_Universities[[#This Row],[Normalized Crime Rate Index]] + 0.3*Top_100_Universities[[#This Row],[Normalized Safety Score]]</f>
        <v>0.71870654837853332</v>
      </c>
    </row>
    <row r="14" spans="1:14">
      <c r="A14" s="2">
        <v>13</v>
      </c>
      <c r="B14" s="2" t="s">
        <v>22</v>
      </c>
      <c r="C14" s="2" t="s">
        <v>23</v>
      </c>
      <c r="D14" s="2" t="s">
        <v>745</v>
      </c>
      <c r="E14" s="10" t="s">
        <v>851</v>
      </c>
      <c r="F14" s="2" t="str">
        <f>_xlfn.XLOOKUP(Top_100_Universities[[#This Row],[University]],Table1[University],Table1[Type],"NOT FOUND",0)</f>
        <v>Public</v>
      </c>
      <c r="G14" s="31">
        <f>_xlfn.XLOOKUP(Top_100_Universities[[#This Row],[University]],Table1[University],Table1[Av. Grant Aid],"NOT FOUND",0)</f>
        <v>8321</v>
      </c>
      <c r="H14" s="31">
        <f>_xlfn.XLOOKUP(Top_100_Universities[[#This Row],[University]],Table1[University],Table1[Av. Debt],"NOT FOUND",0)</f>
        <v>5851</v>
      </c>
      <c r="I14" s="31">
        <f>_xlfn.XLOOKUP(Top_100_Universities[[#This Row],[University]],Table1[University],Table1[Median 10-year Salary],"NOT FOUND",0)</f>
        <v>137000</v>
      </c>
      <c r="J14" s="41">
        <f>_xlfn.XLOOKUP(Top_100_Universities[[#This Row],[Town]],Cost_of_Living[City],Cost_of_Living[Cost of Living Index],"NA",0)</f>
        <v>106.6</v>
      </c>
      <c r="K14" s="63" cm="1">
        <f t="array" ref="K14">_xlfn.XLOOKUP(Top_100_Universities[[#This Row],[Town]], Cost_of_Living[[#All],[City]], Cost_of_Living[[#All],[Normalized Cost of Living]], "NA",0)</f>
        <v>0.65693430656934315</v>
      </c>
      <c r="L14" s="63" cm="1">
        <f t="array" ref="L14">_xlfn.XLOOKUP(Top_100_Universities[[#This Row],[State]], Crime_rate_Index[[#All],[State ]], Crime_rate_Index[[#All],[Normalized Crime Index]], "NA", 0)</f>
        <v>0.63818376832320345</v>
      </c>
      <c r="M14" s="63" cm="1">
        <f t="array" ref="M14">_xlfn.XLOOKUP(Top_100_Universities[[#This Row],[State]], Safest_States[[#All],[state]], Safest_States[[#All],[Normailzed Safety Score]], "NA", 0)</f>
        <v>0.13808882907133249</v>
      </c>
      <c r="N14" s="63">
        <f>0.4*Top_100_Universities[[#This Row],[Normalized Cost of Living Index]] + 0.3*Top_100_Universities[[#This Row],[Normalized Crime Rate Index]] + 0.3*Top_100_Universities[[#This Row],[Normalized Safety Score]]</f>
        <v>0.49565550184609802</v>
      </c>
    </row>
    <row r="15" spans="1:14">
      <c r="A15" s="2">
        <v>14</v>
      </c>
      <c r="B15" s="2" t="s">
        <v>24</v>
      </c>
      <c r="C15" s="2" t="s">
        <v>25</v>
      </c>
      <c r="D15" s="2" t="s">
        <v>746</v>
      </c>
      <c r="E15" s="10" t="s">
        <v>858</v>
      </c>
      <c r="F15" s="2" t="str">
        <f>_xlfn.XLOOKUP(Top_100_Universities[[#This Row],[University]],Table1[University],Table1[Type],"NOT FOUND",0)</f>
        <v>Private not-for-profit</v>
      </c>
      <c r="G15" s="31">
        <f>_xlfn.XLOOKUP(Top_100_Universities[[#This Row],[University]],Table1[University],Table1[Av. Grant Aid],"NOT FOUND",0)</f>
        <v>48422</v>
      </c>
      <c r="H15" s="31">
        <f>_xlfn.XLOOKUP(Top_100_Universities[[#This Row],[University]],Table1[University],Table1[Av. Debt],"NOT FOUND",0)</f>
        <v>12150</v>
      </c>
      <c r="I15" s="31">
        <f>_xlfn.XLOOKUP(Top_100_Universities[[#This Row],[University]],Table1[University],Table1[Median 10-year Salary],"NOT FOUND",0)</f>
        <v>150600</v>
      </c>
      <c r="J15" s="41">
        <f>_xlfn.XLOOKUP(Top_100_Universities[[#This Row],[Town]],Cost_of_Living[City],Cost_of_Living[Cost of Living Index],"NA",0)</f>
        <v>100.1</v>
      </c>
      <c r="K15" s="63" cm="1">
        <f t="array" ref="K15">_xlfn.XLOOKUP(Top_100_Universities[[#This Row],[Town]], Cost_of_Living[[#All],[City]], Cost_of_Living[[#All],[Normalized Cost of Living]], "NA",0)</f>
        <v>0.71624087591240881</v>
      </c>
      <c r="L15" s="63" cm="1">
        <f t="array" ref="L15">_xlfn.XLOOKUP(Top_100_Universities[[#This Row],[State]], Crime_rate_Index[[#All],[State ]], Crime_rate_Index[[#All],[Normalized Crime Index]], "NA", 0)</f>
        <v>0.76188773686092248</v>
      </c>
      <c r="M15" s="63" cm="1">
        <f t="array" ref="M15">_xlfn.XLOOKUP(Top_100_Universities[[#This Row],[State]], Safest_States[[#All],[state]], Safest_States[[#All],[Normailzed Safety Score]], "NA", 0)</f>
        <v>0.43176312247644677</v>
      </c>
      <c r="N15" s="63">
        <f>0.4*Top_100_Universities[[#This Row],[Normalized Cost of Living Index]] + 0.3*Top_100_Universities[[#This Row],[Normalized Crime Rate Index]] + 0.3*Top_100_Universities[[#This Row],[Normalized Safety Score]]</f>
        <v>0.64459160816617422</v>
      </c>
    </row>
    <row r="16" spans="1:14">
      <c r="A16" s="2">
        <v>15</v>
      </c>
      <c r="B16" s="2" t="s">
        <v>26</v>
      </c>
      <c r="C16" s="2" t="s">
        <v>27</v>
      </c>
      <c r="D16" s="2" t="s">
        <v>747</v>
      </c>
      <c r="E16" s="10" t="s">
        <v>816</v>
      </c>
      <c r="F16" s="2" t="str">
        <f>_xlfn.XLOOKUP(Top_100_Universities[[#This Row],[University]],Table1[University],Table1[Type],"NOT FOUND",0)</f>
        <v>Private not-for-profit</v>
      </c>
      <c r="G16" s="31">
        <f>_xlfn.XLOOKUP(Top_100_Universities[[#This Row],[University]],Table1[University],Table1[Av. Grant Aid],"NOT FOUND",0)</f>
        <v>59792</v>
      </c>
      <c r="H16" s="31">
        <f>_xlfn.XLOOKUP(Top_100_Universities[[#This Row],[University]],Table1[University],Table1[Av. Debt],"NOT FOUND",0)</f>
        <v>7559</v>
      </c>
      <c r="I16" s="31">
        <f>_xlfn.XLOOKUP(Top_100_Universities[[#This Row],[University]],Table1[University],Table1[Median 10-year Salary],"NOT FOUND",0)</f>
        <v>189400</v>
      </c>
      <c r="J16" s="41">
        <f>_xlfn.XLOOKUP(Top_100_Universities[[#This Row],[Town]],Cost_of_Living[City],Cost_of_Living[Cost of Living Index],"NA",0)</f>
        <v>84.8</v>
      </c>
      <c r="K16" s="63" cm="1">
        <f t="array" ref="K16">_xlfn.XLOOKUP(Top_100_Universities[[#This Row],[Town]], Cost_of_Living[[#All],[City]], Cost_of_Living[[#All],[Normalized Cost of Living]], "NA",0)</f>
        <v>0.8558394160583942</v>
      </c>
      <c r="L16" s="63" cm="1">
        <f t="array" ref="L16">_xlfn.XLOOKUP(Top_100_Universities[[#This Row],[State]], Crime_rate_Index[[#All],[State ]], Crime_rate_Index[[#All],[Normalized Crime Index]], "NA", 0)</f>
        <v>0.91776903825527345</v>
      </c>
      <c r="M16" s="63" cm="1">
        <f t="array" ref="M16">_xlfn.XLOOKUP(Top_100_Universities[[#This Row],[State]], Safest_States[[#All],[state]], Safest_States[[#All],[Normailzed Safety Score]], "NA", 0)</f>
        <v>0.61857335127860014</v>
      </c>
      <c r="N16" s="63">
        <f>0.4*Top_100_Universities[[#This Row],[Normalized Cost of Living Index]] + 0.3*Top_100_Universities[[#This Row],[Normalized Crime Rate Index]] + 0.3*Top_100_Universities[[#This Row],[Normalized Safety Score]]</f>
        <v>0.80323848328351977</v>
      </c>
    </row>
    <row r="17" spans="1:14">
      <c r="A17" s="2">
        <v>16</v>
      </c>
      <c r="B17" s="2" t="s">
        <v>28</v>
      </c>
      <c r="C17" s="2" t="s">
        <v>522</v>
      </c>
      <c r="D17" s="2" t="s">
        <v>748</v>
      </c>
      <c r="E17" s="10" t="s">
        <v>1082</v>
      </c>
      <c r="F17" s="2" t="str">
        <f>_xlfn.XLOOKUP(Top_100_Universities[[#This Row],[University]],Table1[University],Table1[Type],"NOT FOUND",0)</f>
        <v>Public</v>
      </c>
      <c r="G17" s="31">
        <f>_xlfn.XLOOKUP(Top_100_Universities[[#This Row],[University]],Table1[University],Table1[Av. Grant Aid],"NOT FOUND",0)</f>
        <v>11388</v>
      </c>
      <c r="H17" s="31">
        <f>_xlfn.XLOOKUP(Top_100_Universities[[#This Row],[University]],Table1[University],Table1[Av. Debt],"NOT FOUND",0)</f>
        <v>9722</v>
      </c>
      <c r="I17" s="31">
        <f>_xlfn.XLOOKUP(Top_100_Universities[[#This Row],[University]],Table1[University],Table1[Median 10-year Salary],"NOT FOUND",0)</f>
        <v>125700</v>
      </c>
      <c r="J17" s="41">
        <f>_xlfn.XLOOKUP(Top_100_Universities[[#This Row],[Town]],Cost_of_Living[City],Cost_of_Living[Cost of Living Index],"NA",0)</f>
        <v>75</v>
      </c>
      <c r="K17" s="63" cm="1">
        <f t="array" ref="K17">_xlfn.XLOOKUP(Top_100_Universities[[#This Row],[Town]], Cost_of_Living[[#All],[City]], Cost_of_Living[[#All],[Normalized Cost of Living]], "NA",0)</f>
        <v>0.94525547445255476</v>
      </c>
      <c r="L17" s="63" cm="1">
        <f t="array" ref="L17">_xlfn.XLOOKUP(Top_100_Universities[[#This Row],[State]], Crime_rate_Index[[#All],[State ]], Crime_rate_Index[[#All],[Normalized Crime Index]], "NA", 0)</f>
        <v>0.87558097962102255</v>
      </c>
      <c r="M17" s="63" cm="1">
        <f t="array" ref="M17">_xlfn.XLOOKUP(Top_100_Universities[[#This Row],[State]], Safest_States[[#All],[state]], Safest_States[[#All],[Normailzed Safety Score]], "NA", 0)</f>
        <v>0.75827725437415872</v>
      </c>
      <c r="N17" s="63">
        <f>0.4*Top_100_Universities[[#This Row],[Normalized Cost of Living Index]] + 0.3*Top_100_Universities[[#This Row],[Normalized Crime Rate Index]] + 0.3*Top_100_Universities[[#This Row],[Normalized Safety Score]]</f>
        <v>0.86825965997957621</v>
      </c>
    </row>
    <row r="18" spans="1:14">
      <c r="A18" s="2">
        <v>17</v>
      </c>
      <c r="B18" s="2" t="s">
        <v>29</v>
      </c>
      <c r="C18" s="2" t="s">
        <v>30</v>
      </c>
      <c r="D18" s="2" t="s">
        <v>416</v>
      </c>
      <c r="E18" s="10" t="s">
        <v>971</v>
      </c>
      <c r="F18" s="2" t="str">
        <f>_xlfn.XLOOKUP(Top_100_Universities[[#This Row],[University]],Table1[University],Table1[Type],"NOT FOUND",0)</f>
        <v>Public</v>
      </c>
      <c r="G18" s="31">
        <f>_xlfn.XLOOKUP(Top_100_Universities[[#This Row],[University]],Table1[University],Table1[Av. Grant Aid],"NOT FOUND",0)</f>
        <v>8950</v>
      </c>
      <c r="H18" s="31">
        <f>_xlfn.XLOOKUP(Top_100_Universities[[#This Row],[University]],Table1[University],Table1[Av. Debt],"NOT FOUND",0)</f>
        <v>9125</v>
      </c>
      <c r="I18" s="31">
        <f>_xlfn.XLOOKUP(Top_100_Universities[[#This Row],[University]],Table1[University],Table1[Median 10-year Salary],"NOT FOUND",0)</f>
        <v>126300</v>
      </c>
      <c r="J18" s="41">
        <f>_xlfn.XLOOKUP(Top_100_Universities[[#This Row],[Town]],Cost_of_Living[City],Cost_of_Living[Cost of Living Index],"NA",0)</f>
        <v>71.3</v>
      </c>
      <c r="K18" s="63" cm="1">
        <f t="array" ref="K18">_xlfn.XLOOKUP(Top_100_Universities[[#This Row],[Town]], Cost_of_Living[[#All],[City]], Cost_of_Living[[#All],[Normalized Cost of Living]], "NA",0)</f>
        <v>0.97901459854014605</v>
      </c>
      <c r="L18" s="63" cm="1">
        <f t="array" ref="L18">_xlfn.XLOOKUP(Top_100_Universities[[#This Row],[State]], Crime_rate_Index[[#All],[State ]], Crime_rate_Index[[#All],[Normalized Crime Index]], "NA", 0)</f>
        <v>0.76796567751161959</v>
      </c>
      <c r="M18" s="63" cm="1">
        <f t="array" ref="M18">_xlfn.XLOOKUP(Top_100_Universities[[#This Row],[State]], Safest_States[[#All],[state]], Safest_States[[#All],[Normailzed Safety Score]], "NA", 0)</f>
        <v>0.57442799461641969</v>
      </c>
      <c r="N18" s="63">
        <f>0.4*Top_100_Universities[[#This Row],[Normalized Cost of Living Index]] + 0.3*Top_100_Universities[[#This Row],[Normalized Crime Rate Index]] + 0.3*Top_100_Universities[[#This Row],[Normalized Safety Score]]</f>
        <v>0.79432394105447013</v>
      </c>
    </row>
    <row r="19" spans="1:14">
      <c r="A19" s="2">
        <v>18</v>
      </c>
      <c r="B19" s="2" t="s">
        <v>31</v>
      </c>
      <c r="C19" s="2" t="s">
        <v>749</v>
      </c>
      <c r="D19" s="2" t="s">
        <v>666</v>
      </c>
      <c r="E19" s="10" t="s">
        <v>822</v>
      </c>
      <c r="F19" s="2" t="str">
        <f>_xlfn.XLOOKUP(Top_100_Universities[[#This Row],[University]],Table1[University],Table1[Type],"NOT FOUND",0)</f>
        <v>Public</v>
      </c>
      <c r="G19" s="31">
        <f>_xlfn.XLOOKUP(Top_100_Universities[[#This Row],[University]],Table1[University],Table1[Av. Grant Aid],"NOT FOUND",0)</f>
        <v>20548</v>
      </c>
      <c r="H19" s="31">
        <f>_xlfn.XLOOKUP(Top_100_Universities[[#This Row],[University]],Table1[University],Table1[Av. Debt],"NOT FOUND",0)</f>
        <v>5965</v>
      </c>
      <c r="I19" s="31">
        <f>_xlfn.XLOOKUP(Top_100_Universities[[#This Row],[University]],Table1[University],Table1[Median 10-year Salary],"NOT FOUND",0)</f>
        <v>142700</v>
      </c>
      <c r="J19" s="41">
        <f>_xlfn.XLOOKUP(Top_100_Universities[[#This Row],[Town]],Cost_of_Living[City],Cost_of_Living[Cost of Living Index],"NA",0)</f>
        <v>83.7</v>
      </c>
      <c r="K19" s="63" cm="1">
        <f t="array" ref="K19">_xlfn.XLOOKUP(Top_100_Universities[[#This Row],[Town]], Cost_of_Living[[#All],[City]], Cost_of_Living[[#All],[Normalized Cost of Living]], "NA",0)</f>
        <v>0.86587591240875905</v>
      </c>
      <c r="L19" s="63" cm="1">
        <f t="array" ref="L19">_xlfn.XLOOKUP(Top_100_Universities[[#This Row],[State]], Crime_rate_Index[[#All],[State ]], Crime_rate_Index[[#All],[Normalized Crime Index]], "NA", 0)</f>
        <v>0.73149803360743659</v>
      </c>
      <c r="M19" s="63" cm="1">
        <f t="array" ref="M19">_xlfn.XLOOKUP(Top_100_Universities[[#This Row],[State]], Safest_States[[#All],[state]], Safest_States[[#All],[Normailzed Safety Score]], "NA", 0)</f>
        <v>0.46567967698519502</v>
      </c>
      <c r="N19" s="63">
        <f>0.4*Top_100_Universities[[#This Row],[Normalized Cost of Living Index]] + 0.3*Top_100_Universities[[#This Row],[Normalized Crime Rate Index]] + 0.3*Top_100_Universities[[#This Row],[Normalized Safety Score]]</f>
        <v>0.70550367814129311</v>
      </c>
    </row>
    <row r="20" spans="1:14">
      <c r="A20" s="2">
        <v>19</v>
      </c>
      <c r="B20" s="2" t="s">
        <v>32</v>
      </c>
      <c r="C20" s="2" t="s">
        <v>284</v>
      </c>
      <c r="D20" s="2" t="s">
        <v>666</v>
      </c>
      <c r="E20" s="10" t="s">
        <v>822</v>
      </c>
      <c r="F20" s="2" t="str">
        <f>_xlfn.XLOOKUP(Top_100_Universities[[#This Row],[University]],Table1[University],Table1[Type],"NOT FOUND",0)</f>
        <v>Public</v>
      </c>
      <c r="G20" s="31">
        <f>_xlfn.XLOOKUP(Top_100_Universities[[#This Row],[University]],Table1[University],Table1[Av. Grant Aid],"NOT FOUND",0)</f>
        <v>20782</v>
      </c>
      <c r="H20" s="31">
        <f>_xlfn.XLOOKUP(Top_100_Universities[[#This Row],[University]],Table1[University],Table1[Av. Debt],"NOT FOUND",0)</f>
        <v>6437</v>
      </c>
      <c r="I20" s="31">
        <f>_xlfn.XLOOKUP(Top_100_Universities[[#This Row],[University]],Table1[University],Table1[Median 10-year Salary],"NOT FOUND",0)</f>
        <v>151500</v>
      </c>
      <c r="J20" s="41">
        <f>_xlfn.XLOOKUP(Top_100_Universities[[#This Row],[Town]],Cost_of_Living[City],Cost_of_Living[Cost of Living Index],"NA",0)</f>
        <v>136.19999999999999</v>
      </c>
      <c r="K20" s="63" cm="1">
        <f t="array" ref="K20">_xlfn.XLOOKUP(Top_100_Universities[[#This Row],[Town]], Cost_of_Living[[#All],[City]], Cost_of_Living[[#All],[Normalized Cost of Living]], "NA",0)</f>
        <v>0.38686131386861322</v>
      </c>
      <c r="L20" s="63" cm="1">
        <f t="array" ref="L20">_xlfn.XLOOKUP(Top_100_Universities[[#This Row],[State]], Crime_rate_Index[[#All],[State ]], Crime_rate_Index[[#All],[Normalized Crime Index]], "NA", 0)</f>
        <v>0.73149803360743659</v>
      </c>
      <c r="M20" s="63" cm="1">
        <f t="array" ref="M20">_xlfn.XLOOKUP(Top_100_Universities[[#This Row],[State]], Safest_States[[#All],[state]], Safest_States[[#All],[Normailzed Safety Score]], "NA", 0)</f>
        <v>0.46567967698519502</v>
      </c>
      <c r="N20" s="63">
        <f>0.4*Top_100_Universities[[#This Row],[Normalized Cost of Living Index]] + 0.3*Top_100_Universities[[#This Row],[Normalized Crime Rate Index]] + 0.3*Top_100_Universities[[#This Row],[Normalized Safety Score]]</f>
        <v>0.51389783872523476</v>
      </c>
    </row>
    <row r="21" spans="1:14">
      <c r="A21" s="2">
        <v>20</v>
      </c>
      <c r="B21" s="2" t="s">
        <v>33</v>
      </c>
      <c r="C21" s="2" t="s">
        <v>191</v>
      </c>
      <c r="D21" s="2" t="s">
        <v>750</v>
      </c>
      <c r="E21" s="10" t="s">
        <v>862</v>
      </c>
      <c r="F21" s="2" t="str">
        <f>_xlfn.XLOOKUP(Top_100_Universities[[#This Row],[University]],Table1[University],Table1[Type],"NOT FOUND",0)</f>
        <v>Private not-for-profit</v>
      </c>
      <c r="G21" s="31">
        <f>_xlfn.XLOOKUP(Top_100_Universities[[#This Row],[University]],Table1[University],Table1[Av. Grant Aid],"NOT FOUND",0)</f>
        <v>54405</v>
      </c>
      <c r="H21" s="31">
        <f>_xlfn.XLOOKUP(Top_100_Universities[[#This Row],[University]],Table1[University],Table1[Av. Debt],"NOT FOUND",0)</f>
        <v>9843</v>
      </c>
      <c r="I21" s="31">
        <f>_xlfn.XLOOKUP(Top_100_Universities[[#This Row],[University]],Table1[University],Table1[Median 10-year Salary],"NOT FOUND",0)</f>
        <v>142300</v>
      </c>
      <c r="J21" s="41">
        <f>_xlfn.XLOOKUP(Top_100_Universities[[#This Row],[Town]],Cost_of_Living[City],Cost_of_Living[Cost of Living Index],"NA",0)</f>
        <v>107</v>
      </c>
      <c r="K21" s="63" cm="1">
        <f t="array" ref="K21">_xlfn.XLOOKUP(Top_100_Universities[[#This Row],[Town]], Cost_of_Living[[#All],[City]], Cost_of_Living[[#All],[Normalized Cost of Living]], "NA",0)</f>
        <v>0.65328467153284664</v>
      </c>
      <c r="L21" s="63" cm="1">
        <f t="array" ref="L21">_xlfn.XLOOKUP(Top_100_Universities[[#This Row],[State]], Crime_rate_Index[[#All],[State ]], Crime_rate_Index[[#All],[Normalized Crime Index]], "NA", 0)</f>
        <v>0.66607079013228465</v>
      </c>
      <c r="M21" s="63" cm="1">
        <f t="array" ref="M21">_xlfn.XLOOKUP(Top_100_Universities[[#This Row],[State]], Safest_States[[#All],[state]], Safest_States[[#All],[Normailzed Safety Score]], "NA", 0)</f>
        <v>0.58115746971736182</v>
      </c>
      <c r="N21" s="63">
        <f>0.4*Top_100_Universities[[#This Row],[Normalized Cost of Living Index]] + 0.3*Top_100_Universities[[#This Row],[Normalized Crime Rate Index]] + 0.3*Top_100_Universities[[#This Row],[Normalized Safety Score]]</f>
        <v>0.6354823465680326</v>
      </c>
    </row>
    <row r="22" spans="1:14">
      <c r="A22" s="2">
        <v>21</v>
      </c>
      <c r="B22" s="2" t="s">
        <v>34</v>
      </c>
      <c r="C22" s="2" t="s">
        <v>14</v>
      </c>
      <c r="D22" s="2" t="s">
        <v>740</v>
      </c>
      <c r="E22" s="10" t="s">
        <v>840</v>
      </c>
      <c r="F22" s="2" t="str">
        <f>_xlfn.XLOOKUP(Top_100_Universities[[#This Row],[University]],Table1[University],Table1[Type],"NOT FOUND",0)</f>
        <v>Private not-for-profit</v>
      </c>
      <c r="G22" s="31">
        <f>_xlfn.XLOOKUP(Top_100_Universities[[#This Row],[University]],Table1[University],Table1[Av. Grant Aid],"NOT FOUND",0)</f>
        <v>47096</v>
      </c>
      <c r="H22" s="31">
        <f>_xlfn.XLOOKUP(Top_100_Universities[[#This Row],[University]],Table1[University],Table1[Av. Debt],"NOT FOUND",0)</f>
        <v>8550</v>
      </c>
      <c r="I22" s="31">
        <f>_xlfn.XLOOKUP(Top_100_Universities[[#This Row],[University]],Table1[University],Table1[Median 10-year Salary],"NOT FOUND",0)</f>
        <v>147100</v>
      </c>
      <c r="J22" s="41">
        <f>_xlfn.XLOOKUP(Top_100_Universities[[#This Row],[Town]],Cost_of_Living[City],Cost_of_Living[Cost of Living Index],"NA",0)</f>
        <v>148.19999999999999</v>
      </c>
      <c r="K22" s="63" cm="1">
        <f t="array" ref="K22">_xlfn.XLOOKUP(Top_100_Universities[[#This Row],[Town]], Cost_of_Living[[#All],[City]], Cost_of_Living[[#All],[Normalized Cost of Living]], "NA",0)</f>
        <v>0.27737226277372273</v>
      </c>
      <c r="L22" s="63" cm="1">
        <f t="array" ref="L22">_xlfn.XLOOKUP(Top_100_Universities[[#This Row],[State]], Crime_rate_Index[[#All],[State ]], Crime_rate_Index[[#All],[Normalized Crime Index]], "NA", 0)</f>
        <v>0.91276367536646408</v>
      </c>
      <c r="M22" s="63" cm="1">
        <f t="array" ref="M22">_xlfn.XLOOKUP(Top_100_Universities[[#This Row],[State]], Safest_States[[#All],[state]], Safest_States[[#All],[Normailzed Safety Score]], "NA", 0)</f>
        <v>0.54589502018842528</v>
      </c>
      <c r="N22" s="63">
        <f>0.4*Top_100_Universities[[#This Row],[Normalized Cost of Living Index]] + 0.3*Top_100_Universities[[#This Row],[Normalized Crime Rate Index]] + 0.3*Top_100_Universities[[#This Row],[Normalized Safety Score]]</f>
        <v>0.54854651377595587</v>
      </c>
    </row>
    <row r="23" spans="1:14">
      <c r="A23" s="2">
        <v>22</v>
      </c>
      <c r="B23" s="2" t="s">
        <v>35</v>
      </c>
      <c r="C23" s="2" t="s">
        <v>608</v>
      </c>
      <c r="D23" s="2" t="s">
        <v>743</v>
      </c>
      <c r="E23" s="10" t="s">
        <v>844</v>
      </c>
      <c r="F23" s="2" t="str">
        <f>_xlfn.XLOOKUP(Top_100_Universities[[#This Row],[University]],Table1[University],Table1[Type],"NOT FOUND",0)</f>
        <v>Public</v>
      </c>
      <c r="G23" s="31">
        <f>_xlfn.XLOOKUP(Top_100_Universities[[#This Row],[University]],Table1[University],Table1[Av. Grant Aid],"NOT FOUND",0)</f>
        <v>10066</v>
      </c>
      <c r="H23" s="31">
        <f>_xlfn.XLOOKUP(Top_100_Universities[[#This Row],[University]],Table1[University],Table1[Av. Debt],"NOT FOUND",0)</f>
        <v>13414</v>
      </c>
      <c r="I23" s="45" t="s">
        <v>2513</v>
      </c>
      <c r="J23" s="41">
        <f>_xlfn.XLOOKUP(Top_100_Universities[[#This Row],[Town]],Cost_of_Living[City],Cost_of_Living[Cost of Living Index],"NA",0)</f>
        <v>76.599999999999994</v>
      </c>
      <c r="K23" s="63" cm="1">
        <f t="array" ref="K23">_xlfn.XLOOKUP(Top_100_Universities[[#This Row],[Town]], Cost_of_Living[[#All],[City]], Cost_of_Living[[#All],[Normalized Cost of Living]], "NA",0)</f>
        <v>0.93065693430656937</v>
      </c>
      <c r="L23" s="63" cm="1">
        <f t="array" ref="L23">_xlfn.XLOOKUP(Top_100_Universities[[#This Row],[State]], Crime_rate_Index[[#All],[State ]], Crime_rate_Index[[#All],[Normalized Crime Index]], "NA", 0)</f>
        <v>0.86235252055774048</v>
      </c>
      <c r="M23" s="63" cm="1">
        <f t="array" ref="M23">_xlfn.XLOOKUP(Top_100_Universities[[#This Row],[State]], Safest_States[[#All],[state]], Safest_States[[#All],[Normailzed Safety Score]], "NA", 0)</f>
        <v>0.45410497981157455</v>
      </c>
      <c r="N23" s="63">
        <f>0.4*Top_100_Universities[[#This Row],[Normalized Cost of Living Index]] + 0.3*Top_100_Universities[[#This Row],[Normalized Crime Rate Index]] + 0.3*Top_100_Universities[[#This Row],[Normalized Safety Score]]</f>
        <v>0.76720002383342223</v>
      </c>
    </row>
    <row r="24" spans="1:14">
      <c r="A24" s="2">
        <v>23</v>
      </c>
      <c r="B24" s="2" t="s">
        <v>36</v>
      </c>
      <c r="C24" s="2" t="s">
        <v>37</v>
      </c>
      <c r="D24" s="2" t="s">
        <v>751</v>
      </c>
      <c r="E24" s="10" t="s">
        <v>910</v>
      </c>
      <c r="F24" s="2" t="str">
        <f>_xlfn.XLOOKUP(Top_100_Universities[[#This Row],[University]],Table1[University],Table1[Type],"NOT FOUND",0)</f>
        <v>Public</v>
      </c>
      <c r="G24" s="31">
        <f>_xlfn.XLOOKUP(Top_100_Universities[[#This Row],[University]],Table1[University],Table1[Av. Grant Aid],"NOT FOUND",0)</f>
        <v>10555</v>
      </c>
      <c r="H24" s="31">
        <f>_xlfn.XLOOKUP(Top_100_Universities[[#This Row],[University]],Table1[University],Table1[Av. Debt],"NOT FOUND",0)</f>
        <v>6122</v>
      </c>
      <c r="I24" s="31">
        <f>_xlfn.XLOOKUP(Top_100_Universities[[#This Row],[University]],Table1[University],Table1[Median 10-year Salary],"NOT FOUND",0)</f>
        <v>123700</v>
      </c>
      <c r="J24" s="41">
        <f>_xlfn.XLOOKUP(Top_100_Universities[[#This Row],[Town]],Cost_of_Living[City],Cost_of_Living[Cost of Living Index],"NA",0)</f>
        <v>97.3</v>
      </c>
      <c r="K24" s="63" cm="1">
        <f t="array" ref="K24">_xlfn.XLOOKUP(Top_100_Universities[[#This Row],[Town]], Cost_of_Living[[#All],[City]], Cost_of_Living[[#All],[Normalized Cost of Living]], "NA",0)</f>
        <v>0.74178832116788329</v>
      </c>
      <c r="L24" s="63" cm="1">
        <f t="array" ref="L24">_xlfn.XLOOKUP(Top_100_Universities[[#This Row],[State]], Crime_rate_Index[[#All],[State ]], Crime_rate_Index[[#All],[Normalized Crime Index]], "NA", 0)</f>
        <v>0.59063282087951374</v>
      </c>
      <c r="M24" s="63" cm="1">
        <f t="array" ref="M24">_xlfn.XLOOKUP(Top_100_Universities[[#This Row],[State]], Safest_States[[#All],[state]], Safest_States[[#All],[Normailzed Safety Score]], "NA", 0)</f>
        <v>0.21211305518169588</v>
      </c>
      <c r="N24" s="63">
        <f>0.4*Top_100_Universities[[#This Row],[Normalized Cost of Living Index]] + 0.3*Top_100_Universities[[#This Row],[Normalized Crime Rate Index]] + 0.3*Top_100_Universities[[#This Row],[Normalized Safety Score]]</f>
        <v>0.53753909128551625</v>
      </c>
    </row>
    <row r="25" spans="1:14">
      <c r="A25" s="2">
        <v>24</v>
      </c>
      <c r="B25" s="2" t="s">
        <v>38</v>
      </c>
      <c r="C25" s="2" t="s">
        <v>39</v>
      </c>
      <c r="D25" s="2" t="s">
        <v>741</v>
      </c>
      <c r="E25" s="10" t="s">
        <v>922</v>
      </c>
      <c r="F25" s="2" t="str">
        <f>_xlfn.XLOOKUP(Top_100_Universities[[#This Row],[University]],Table1[University],Table1[Type],"NOT FOUND",0)</f>
        <v>Public</v>
      </c>
      <c r="G25" s="31">
        <f>_xlfn.XLOOKUP(Top_100_Universities[[#This Row],[University]],Table1[University],Table1[Av. Grant Aid],"NOT FOUND",0)</f>
        <v>8684</v>
      </c>
      <c r="H25" s="31">
        <f>_xlfn.XLOOKUP(Top_100_Universities[[#This Row],[University]],Table1[University],Table1[Av. Debt],"NOT FOUND",0)</f>
        <v>8138</v>
      </c>
      <c r="I25" s="31">
        <f>_xlfn.XLOOKUP(Top_100_Universities[[#This Row],[University]],Table1[University],Table1[Median 10-year Salary],"NOT FOUND",0)</f>
        <v>118800</v>
      </c>
      <c r="J25" s="41">
        <f>_xlfn.XLOOKUP(Top_100_Universities[[#This Row],[Town]],Cost_of_Living[City],Cost_of_Living[Cost of Living Index],"NA",0)</f>
        <v>77.3</v>
      </c>
      <c r="K25" s="63" cm="1">
        <f t="array" ref="K25">_xlfn.XLOOKUP(Top_100_Universities[[#This Row],[Town]], Cost_of_Living[[#All],[City]], Cost_of_Living[[#All],[Normalized Cost of Living]], "NA",0)</f>
        <v>0.9242700729927007</v>
      </c>
      <c r="L25" s="63" cm="1">
        <f t="array" ref="L25">_xlfn.XLOOKUP(Top_100_Universities[[#This Row],[State]], Crime_rate_Index[[#All],[State ]], Crime_rate_Index[[#All],[Normalized Crime Index]], "NA", 0)</f>
        <v>0.71147658205219877</v>
      </c>
      <c r="M25" s="63" cm="1">
        <f t="array" ref="M25">_xlfn.XLOOKUP(Top_100_Universities[[#This Row],[State]], Safest_States[[#All],[state]], Safest_States[[#All],[Normailzed Safety Score]], "NA", 0)</f>
        <v>0.48855989232839825</v>
      </c>
      <c r="N25" s="63">
        <f>0.4*Top_100_Universities[[#This Row],[Normalized Cost of Living Index]] + 0.3*Top_100_Universities[[#This Row],[Normalized Crime Rate Index]] + 0.3*Top_100_Universities[[#This Row],[Normalized Safety Score]]</f>
        <v>0.72971897151125931</v>
      </c>
    </row>
    <row r="26" spans="1:14">
      <c r="A26" s="2">
        <v>25</v>
      </c>
      <c r="B26" s="2" t="s">
        <v>40</v>
      </c>
      <c r="C26" s="2" t="s">
        <v>41</v>
      </c>
      <c r="D26" s="2" t="s">
        <v>666</v>
      </c>
      <c r="E26" s="10" t="s">
        <v>822</v>
      </c>
      <c r="F26" s="2" t="str">
        <f>_xlfn.XLOOKUP(Top_100_Universities[[#This Row],[University]],Table1[University],Table1[Type],"NOT FOUND",0)</f>
        <v>Private not-for-profit</v>
      </c>
      <c r="G26" s="31">
        <f>_xlfn.XLOOKUP(Top_100_Universities[[#This Row],[University]],Table1[University],Table1[Av. Grant Aid],"NOT FOUND",0)</f>
        <v>45262</v>
      </c>
      <c r="H26" s="31">
        <f>_xlfn.XLOOKUP(Top_100_Universities[[#This Row],[University]],Table1[University],Table1[Av. Debt],"NOT FOUND",0)</f>
        <v>7526</v>
      </c>
      <c r="I26" s="31">
        <f>_xlfn.XLOOKUP(Top_100_Universities[[#This Row],[University]],Table1[University],Table1[Median 10-year Salary],"NOT FOUND",0)</f>
        <v>150100</v>
      </c>
      <c r="J26" s="41">
        <f>_xlfn.XLOOKUP(Top_100_Universities[[#This Row],[Town]],Cost_of_Living[City],Cost_of_Living[Cost of Living Index],"NA",0)</f>
        <v>140.6</v>
      </c>
      <c r="K26" s="63" cm="1">
        <f t="array" ref="K26">_xlfn.XLOOKUP(Top_100_Universities[[#This Row],[Town]], Cost_of_Living[[#All],[City]], Cost_of_Living[[#All],[Normalized Cost of Living]], "NA",0)</f>
        <v>0.34671532846715325</v>
      </c>
      <c r="L26" s="63" cm="1">
        <f t="array" ref="L26">_xlfn.XLOOKUP(Top_100_Universities[[#This Row],[State]], Crime_rate_Index[[#All],[State ]], Crime_rate_Index[[#All],[Normalized Crime Index]], "NA", 0)</f>
        <v>0.73149803360743659</v>
      </c>
      <c r="M26" s="63" cm="1">
        <f t="array" ref="M26">_xlfn.XLOOKUP(Top_100_Universities[[#This Row],[State]], Safest_States[[#All],[state]], Safest_States[[#All],[Normailzed Safety Score]], "NA", 0)</f>
        <v>0.46567967698519502</v>
      </c>
      <c r="N26" s="63">
        <f>0.4*Top_100_Universities[[#This Row],[Normalized Cost of Living Index]] + 0.3*Top_100_Universities[[#This Row],[Normalized Crime Rate Index]] + 0.3*Top_100_Universities[[#This Row],[Normalized Safety Score]]</f>
        <v>0.49783944456465079</v>
      </c>
    </row>
    <row r="27" spans="1:14">
      <c r="A27" s="2">
        <v>26</v>
      </c>
      <c r="B27" s="2" t="s">
        <v>42</v>
      </c>
      <c r="C27" s="2" t="s">
        <v>43</v>
      </c>
      <c r="D27" s="2" t="s">
        <v>752</v>
      </c>
      <c r="E27" s="10" t="s">
        <v>889</v>
      </c>
      <c r="F27" s="2" t="str">
        <f>_xlfn.XLOOKUP(Top_100_Universities[[#This Row],[University]],Table1[University],Table1[Type],"NOT FOUND",0)</f>
        <v>Public</v>
      </c>
      <c r="G27" s="31">
        <f>_xlfn.XLOOKUP(Top_100_Universities[[#This Row],[University]],Table1[University],Table1[Av. Grant Aid],"NOT FOUND",0)</f>
        <v>18066</v>
      </c>
      <c r="H27" s="31">
        <f>_xlfn.XLOOKUP(Top_100_Universities[[#This Row],[University]],Table1[University],Table1[Av. Debt],"NOT FOUND",0)</f>
        <v>7953</v>
      </c>
      <c r="I27" s="31">
        <f>_xlfn.XLOOKUP(Top_100_Universities[[#This Row],[University]],Table1[University],Table1[Median 10-year Salary],"NOT FOUND",0)</f>
        <v>118200</v>
      </c>
      <c r="J27" s="41">
        <f>_xlfn.XLOOKUP(Top_100_Universities[[#This Row],[Town]],Cost_of_Living[City],Cost_of_Living[Cost of Living Index],"NA",0)</f>
        <v>77.7</v>
      </c>
      <c r="K27" s="63" cm="1">
        <f t="array" ref="K27">_xlfn.XLOOKUP(Top_100_Universities[[#This Row],[Town]], Cost_of_Living[[#All],[City]], Cost_of_Living[[#All],[Normalized Cost of Living]], "NA",0)</f>
        <v>0.92062043795620441</v>
      </c>
      <c r="L27" s="63" cm="1">
        <f t="array" ref="L27">_xlfn.XLOOKUP(Top_100_Universities[[#This Row],[State]], Crime_rate_Index[[#All],[State ]], Crime_rate_Index[[#All],[Normalized Crime Index]], "NA", 0)</f>
        <v>0.67143367894172323</v>
      </c>
      <c r="M27" s="63" cm="1">
        <f t="array" ref="M27">_xlfn.XLOOKUP(Top_100_Universities[[#This Row],[State]], Safest_States[[#All],[state]], Safest_States[[#All],[Normailzed Safety Score]], "NA", 0)</f>
        <v>0.55800807537012098</v>
      </c>
      <c r="N27" s="63">
        <f>0.4*Top_100_Universities[[#This Row],[Normalized Cost of Living Index]] + 0.3*Top_100_Universities[[#This Row],[Normalized Crime Rate Index]] + 0.3*Top_100_Universities[[#This Row],[Normalized Safety Score]]</f>
        <v>0.73708070147603511</v>
      </c>
    </row>
    <row r="28" spans="1:14">
      <c r="A28" s="2">
        <v>27</v>
      </c>
      <c r="B28" s="2" t="s">
        <v>44</v>
      </c>
      <c r="C28" s="2" t="s">
        <v>356</v>
      </c>
      <c r="D28" s="2" t="s">
        <v>743</v>
      </c>
      <c r="E28" s="10" t="s">
        <v>844</v>
      </c>
      <c r="F28" s="2" t="str">
        <f>_xlfn.XLOOKUP(Top_100_Universities[[#This Row],[University]],Table1[University],Table1[Type],"NOT FOUND",0)</f>
        <v>Private not-for-profit</v>
      </c>
      <c r="G28" s="31">
        <f>_xlfn.XLOOKUP(Top_100_Universities[[#This Row],[University]],Table1[University],Table1[Av. Grant Aid],"NOT FOUND",0)</f>
        <v>43966</v>
      </c>
      <c r="H28" s="31">
        <f>_xlfn.XLOOKUP(Top_100_Universities[[#This Row],[University]],Table1[University],Table1[Av. Debt],"NOT FOUND",0)</f>
        <v>6525</v>
      </c>
      <c r="I28" s="31">
        <f>_xlfn.XLOOKUP(Top_100_Universities[[#This Row],[University]],Table1[University],Table1[Median 10-year Salary],"NOT FOUND",0)</f>
        <v>162100</v>
      </c>
      <c r="J28" s="41">
        <f>_xlfn.XLOOKUP(Top_100_Universities[[#This Row],[Town]],Cost_of_Living[City],Cost_of_Living[Cost of Living Index],"NA",0)</f>
        <v>93.1</v>
      </c>
      <c r="K28" s="63" cm="1">
        <f t="array" ref="K28">_xlfn.XLOOKUP(Top_100_Universities[[#This Row],[Town]], Cost_of_Living[[#All],[City]], Cost_of_Living[[#All],[Normalized Cost of Living]], "NA",0)</f>
        <v>0.7801094890510949</v>
      </c>
      <c r="L28" s="63" cm="1">
        <f t="array" ref="L28">_xlfn.XLOOKUP(Top_100_Universities[[#This Row],[State]], Crime_rate_Index[[#All],[State ]], Crime_rate_Index[[#All],[Normalized Crime Index]], "NA", 0)</f>
        <v>0.86235252055774048</v>
      </c>
      <c r="M28" s="63" cm="1">
        <f t="array" ref="M28">_xlfn.XLOOKUP(Top_100_Universities[[#This Row],[State]], Safest_States[[#All],[state]], Safest_States[[#All],[Normailzed Safety Score]], "NA", 0)</f>
        <v>0.45410497981157455</v>
      </c>
      <c r="N28" s="63">
        <f>0.4*Top_100_Universities[[#This Row],[Normalized Cost of Living Index]] + 0.3*Top_100_Universities[[#This Row],[Normalized Crime Rate Index]] + 0.3*Top_100_Universities[[#This Row],[Normalized Safety Score]]</f>
        <v>0.70698104573123244</v>
      </c>
    </row>
    <row r="29" spans="1:14">
      <c r="A29" s="2">
        <v>28</v>
      </c>
      <c r="B29" s="2" t="s">
        <v>45</v>
      </c>
      <c r="C29" s="2" t="s">
        <v>687</v>
      </c>
      <c r="D29" s="2" t="s">
        <v>753</v>
      </c>
      <c r="E29" s="10" t="s">
        <v>1199</v>
      </c>
      <c r="F29" s="2" t="str">
        <f>_xlfn.XLOOKUP(Top_100_Universities[[#This Row],[University]],Table1[University],Table1[Type],"NOT FOUND",0)</f>
        <v>Public</v>
      </c>
      <c r="G29" s="31">
        <f>_xlfn.XLOOKUP(Top_100_Universities[[#This Row],[University]],Table1[University],Table1[Av. Grant Aid],"NOT FOUND",0)</f>
        <v>12381</v>
      </c>
      <c r="H29" s="31">
        <f>_xlfn.XLOOKUP(Top_100_Universities[[#This Row],[University]],Table1[University],Table1[Av. Debt],"NOT FOUND",0)</f>
        <v>8002</v>
      </c>
      <c r="I29" s="31">
        <f>_xlfn.XLOOKUP(Top_100_Universities[[#This Row],[University]],Table1[University],Table1[Median 10-year Salary],"NOT FOUND",0)</f>
        <v>118000</v>
      </c>
      <c r="J29" s="41">
        <f>_xlfn.XLOOKUP(Top_100_Universities[[#This Row],[Town]],Cost_of_Living[City],Cost_of_Living[Cost of Living Index],"NA",0)</f>
        <v>69</v>
      </c>
      <c r="K29" s="63" cm="1">
        <f t="array" ref="K29">_xlfn.XLOOKUP(Top_100_Universities[[#This Row],[Town]], Cost_of_Living[[#All],[City]], Cost_of_Living[[#All],[Normalized Cost of Living]], "NA",0)</f>
        <v>1</v>
      </c>
      <c r="L29" s="63" cm="1">
        <f t="array" ref="L29">_xlfn.XLOOKUP(Top_100_Universities[[#This Row],[State]], Crime_rate_Index[[#All],[State ]], Crime_rate_Index[[#All],[Normalized Crime Index]], "NA", 0)</f>
        <v>0.61565963532356094</v>
      </c>
      <c r="M29" s="63" cm="1">
        <f t="array" ref="M29">_xlfn.XLOOKUP(Top_100_Universities[[#This Row],[State]], Safest_States[[#All],[state]], Safest_States[[#All],[Normailzed Safety Score]], "NA", 0)</f>
        <v>0.5736204576043068</v>
      </c>
      <c r="N29" s="63">
        <f>0.4*Top_100_Universities[[#This Row],[Normalized Cost of Living Index]] + 0.3*Top_100_Universities[[#This Row],[Normalized Crime Rate Index]] + 0.3*Top_100_Universities[[#This Row],[Normalized Safety Score]]</f>
        <v>0.75678402787836041</v>
      </c>
    </row>
    <row r="30" spans="1:14">
      <c r="A30" s="2">
        <v>29</v>
      </c>
      <c r="B30" s="2" t="s">
        <v>46</v>
      </c>
      <c r="C30" s="2" t="s">
        <v>47</v>
      </c>
      <c r="D30" s="2" t="s">
        <v>752</v>
      </c>
      <c r="E30" s="10" t="s">
        <v>889</v>
      </c>
      <c r="F30" s="2" t="str">
        <f>_xlfn.XLOOKUP(Top_100_Universities[[#This Row],[University]],Table1[University],Table1[Type],"NOT FOUND",0)</f>
        <v>Private not-for-profit</v>
      </c>
      <c r="G30" s="31">
        <f>_xlfn.XLOOKUP(Top_100_Universities[[#This Row],[University]],Table1[University],Table1[Av. Grant Aid],"NOT FOUND",0)</f>
        <v>57444</v>
      </c>
      <c r="H30" s="31">
        <f>_xlfn.XLOOKUP(Top_100_Universities[[#This Row],[University]],Table1[University],Table1[Av. Debt],"NOT FOUND",0)</f>
        <v>6351</v>
      </c>
      <c r="I30" s="31">
        <f>_xlfn.XLOOKUP(Top_100_Universities[[#This Row],[University]],Table1[University],Table1[Median 10-year Salary],"NOT FOUND",0)</f>
        <v>158700</v>
      </c>
      <c r="J30" s="41">
        <f>_xlfn.XLOOKUP(Top_100_Universities[[#This Row],[Town]],Cost_of_Living[City],Cost_of_Living[Cost of Living Index],"NA",0)</f>
        <v>99.8</v>
      </c>
      <c r="K30" s="63" cm="1">
        <f t="array" ref="K30">_xlfn.XLOOKUP(Top_100_Universities[[#This Row],[Town]], Cost_of_Living[[#All],[City]], Cost_of_Living[[#All],[Normalized Cost of Living]], "NA",0)</f>
        <v>0.71897810218978098</v>
      </c>
      <c r="L30" s="63" cm="1">
        <f t="array" ref="L30">_xlfn.XLOOKUP(Top_100_Universities[[#This Row],[State]], Crime_rate_Index[[#All],[State ]], Crime_rate_Index[[#All],[Normalized Crime Index]], "NA", 0)</f>
        <v>0.67143367894172323</v>
      </c>
      <c r="M30" s="63" cm="1">
        <f t="array" ref="M30">_xlfn.XLOOKUP(Top_100_Universities[[#This Row],[State]], Safest_States[[#All],[state]], Safest_States[[#All],[Normailzed Safety Score]], "NA", 0)</f>
        <v>0.55800807537012098</v>
      </c>
      <c r="N30" s="63">
        <f>0.4*Top_100_Universities[[#This Row],[Normalized Cost of Living Index]] + 0.3*Top_100_Universities[[#This Row],[Normalized Crime Rate Index]] + 0.3*Top_100_Universities[[#This Row],[Normalized Safety Score]]</f>
        <v>0.65642376716946571</v>
      </c>
    </row>
    <row r="31" spans="1:14">
      <c r="A31" s="2">
        <v>30</v>
      </c>
      <c r="B31" s="2" t="s">
        <v>48</v>
      </c>
      <c r="C31" s="2" t="s">
        <v>49</v>
      </c>
      <c r="D31" s="2" t="s">
        <v>750</v>
      </c>
      <c r="E31" s="10" t="s">
        <v>862</v>
      </c>
      <c r="F31" s="2" t="str">
        <f>_xlfn.XLOOKUP(Top_100_Universities[[#This Row],[University]],Table1[University],Table1[Type],"NOT FOUND",0)</f>
        <v>Public</v>
      </c>
      <c r="G31" s="31">
        <f>_xlfn.XLOOKUP(Top_100_Universities[[#This Row],[University]],Table1[University],Table1[Av. Grant Aid],"NOT FOUND",0)</f>
        <v>11232</v>
      </c>
      <c r="H31" s="31">
        <f>_xlfn.XLOOKUP(Top_100_Universities[[#This Row],[University]],Table1[University],Table1[Av. Debt],"NOT FOUND",0)</f>
        <v>10201</v>
      </c>
      <c r="I31" s="31">
        <f>_xlfn.XLOOKUP(Top_100_Universities[[#This Row],[University]],Table1[University],Table1[Median 10-year Salary],"NOT FOUND",0)</f>
        <v>134700</v>
      </c>
      <c r="J31" s="41">
        <f>_xlfn.XLOOKUP(Top_100_Universities[[#This Row],[Town]],Cost_of_Living[City],Cost_of_Living[Cost of Living Index],"NA",0)</f>
        <v>84.8</v>
      </c>
      <c r="K31" s="63" cm="1">
        <f t="array" ref="K31">_xlfn.XLOOKUP(Top_100_Universities[[#This Row],[Town]], Cost_of_Living[[#All],[City]], Cost_of_Living[[#All],[Normalized Cost of Living]], "NA",0)</f>
        <v>0.8558394160583942</v>
      </c>
      <c r="L31" s="63" cm="1">
        <f t="array" ref="L31">_xlfn.XLOOKUP(Top_100_Universities[[#This Row],[State]], Crime_rate_Index[[#All],[State ]], Crime_rate_Index[[#All],[Normalized Crime Index]], "NA", 0)</f>
        <v>0.66607079013228465</v>
      </c>
      <c r="M31" s="63" cm="1">
        <f t="array" ref="M31">_xlfn.XLOOKUP(Top_100_Universities[[#This Row],[State]], Safest_States[[#All],[state]], Safest_States[[#All],[Normailzed Safety Score]], "NA", 0)</f>
        <v>0.58115746971736182</v>
      </c>
      <c r="N31" s="63">
        <f>0.4*Top_100_Universities[[#This Row],[Normalized Cost of Living Index]] + 0.3*Top_100_Universities[[#This Row],[Normalized Crime Rate Index]] + 0.3*Top_100_Universities[[#This Row],[Normalized Safety Score]]</f>
        <v>0.71650424437825166</v>
      </c>
    </row>
    <row r="32" spans="1:14">
      <c r="A32" s="2">
        <v>31</v>
      </c>
      <c r="B32" s="2" t="s">
        <v>50</v>
      </c>
      <c r="C32" s="2" t="s">
        <v>754</v>
      </c>
      <c r="D32" s="2" t="s">
        <v>747</v>
      </c>
      <c r="E32" s="10" t="s">
        <v>816</v>
      </c>
      <c r="F32" s="2" t="str">
        <f>_xlfn.XLOOKUP(Top_100_Universities[[#This Row],[University]],Table1[University],Table1[Type],"NOT FOUND",0)</f>
        <v>Public</v>
      </c>
      <c r="G32" s="31">
        <f>_xlfn.XLOOKUP(Top_100_Universities[[#This Row],[University]],Table1[University],Table1[Av. Grant Aid],"NOT FOUND",0)</f>
        <v>12785</v>
      </c>
      <c r="H32" s="31">
        <f>_xlfn.XLOOKUP(Top_100_Universities[[#This Row],[University]],Table1[University],Table1[Av. Debt],"NOT FOUND",0)</f>
        <v>8040</v>
      </c>
      <c r="I32" s="31">
        <f>_xlfn.XLOOKUP(Top_100_Universities[[#This Row],[University]],Table1[University],Table1[Median 10-year Salary],"NOT FOUND",0)</f>
        <v>137000</v>
      </c>
      <c r="J32" s="41">
        <f>_xlfn.XLOOKUP(Top_100_Universities[[#This Row],[Town]],Cost_of_Living[City],Cost_of_Living[Cost of Living Index],"NA",0)</f>
        <v>84.8</v>
      </c>
      <c r="K32" s="63" cm="1">
        <f t="array" ref="K32">_xlfn.XLOOKUP(Top_100_Universities[[#This Row],[Town]], Cost_of_Living[[#All],[City]], Cost_of_Living[[#All],[Normalized Cost of Living]], "NA",0)</f>
        <v>0.8558394160583942</v>
      </c>
      <c r="L32" s="63" cm="1">
        <f t="array" ref="L32">_xlfn.XLOOKUP(Top_100_Universities[[#This Row],[State]], Crime_rate_Index[[#All],[State ]], Crime_rate_Index[[#All],[Normalized Crime Index]], "NA", 0)</f>
        <v>0.91776903825527345</v>
      </c>
      <c r="M32" s="63" cm="1">
        <f t="array" ref="M32">_xlfn.XLOOKUP(Top_100_Universities[[#This Row],[State]], Safest_States[[#All],[state]], Safest_States[[#All],[Normailzed Safety Score]], "NA", 0)</f>
        <v>0.61857335127860014</v>
      </c>
      <c r="N32" s="63">
        <f>0.4*Top_100_Universities[[#This Row],[Normalized Cost of Living Index]] + 0.3*Top_100_Universities[[#This Row],[Normalized Crime Rate Index]] + 0.3*Top_100_Universities[[#This Row],[Normalized Safety Score]]</f>
        <v>0.80323848328351977</v>
      </c>
    </row>
    <row r="33" spans="1:14">
      <c r="A33" s="2">
        <v>32</v>
      </c>
      <c r="B33" s="2" t="s">
        <v>51</v>
      </c>
      <c r="C33" s="2" t="s">
        <v>755</v>
      </c>
      <c r="D33" s="2" t="s">
        <v>746</v>
      </c>
      <c r="E33" s="10" t="s">
        <v>858</v>
      </c>
      <c r="F33" s="2" t="str">
        <f>_xlfn.XLOOKUP(Top_100_Universities[[#This Row],[University]],Table1[University],Table1[Type],"NOT FOUND",0)</f>
        <v>Public</v>
      </c>
      <c r="G33" s="31">
        <f>_xlfn.XLOOKUP(Top_100_Universities[[#This Row],[University]],Table1[University],Table1[Av. Grant Aid],"NOT FOUND",0)</f>
        <v>16552</v>
      </c>
      <c r="H33" s="31">
        <f>_xlfn.XLOOKUP(Top_100_Universities[[#This Row],[University]],Table1[University],Table1[Av. Debt],"NOT FOUND",0)</f>
        <v>6697</v>
      </c>
      <c r="I33" s="31">
        <f>_xlfn.XLOOKUP(Top_100_Universities[[#This Row],[University]],Table1[University],Table1[Median 10-year Salary],"NOT FOUND",0)</f>
        <v>139900</v>
      </c>
      <c r="J33" s="41">
        <f>_xlfn.XLOOKUP(Top_100_Universities[[#This Row],[Town]],Cost_of_Living[City],Cost_of_Living[Cost of Living Index],"NA",0)</f>
        <v>89</v>
      </c>
      <c r="K33" s="63" cm="1">
        <f t="array" ref="K33">_xlfn.XLOOKUP(Top_100_Universities[[#This Row],[Town]], Cost_of_Living[[#All],[City]], Cost_of_Living[[#All],[Normalized Cost of Living]], "NA",0)</f>
        <v>0.81751824817518248</v>
      </c>
      <c r="L33" s="63" cm="1">
        <f t="array" ref="L33">_xlfn.XLOOKUP(Top_100_Universities[[#This Row],[State]], Crime_rate_Index[[#All],[State ]], Crime_rate_Index[[#All],[Normalized Crime Index]], "NA", 0)</f>
        <v>0.76188773686092248</v>
      </c>
      <c r="M33" s="63" cm="1">
        <f t="array" ref="M33">_xlfn.XLOOKUP(Top_100_Universities[[#This Row],[State]], Safest_States[[#All],[state]], Safest_States[[#All],[Normailzed Safety Score]], "NA", 0)</f>
        <v>0.43176312247644677</v>
      </c>
      <c r="N33" s="63">
        <f>0.4*Top_100_Universities[[#This Row],[Normalized Cost of Living Index]] + 0.3*Top_100_Universities[[#This Row],[Normalized Crime Rate Index]] + 0.3*Top_100_Universities[[#This Row],[Normalized Safety Score]]</f>
        <v>0.68510255707128365</v>
      </c>
    </row>
    <row r="34" spans="1:14">
      <c r="A34" s="2">
        <v>33</v>
      </c>
      <c r="B34" s="2" t="s">
        <v>52</v>
      </c>
      <c r="C34" s="2" t="s">
        <v>544</v>
      </c>
      <c r="D34" s="2" t="s">
        <v>756</v>
      </c>
      <c r="E34" s="10" t="s">
        <v>1124</v>
      </c>
      <c r="F34" s="2" t="str">
        <f>_xlfn.XLOOKUP(Top_100_Universities[[#This Row],[University]],Table1[University],Table1[Type],"NOT FOUND",0)</f>
        <v>Public</v>
      </c>
      <c r="G34" s="31">
        <f>_xlfn.XLOOKUP(Top_100_Universities[[#This Row],[University]],Table1[University],Table1[Av. Grant Aid],"NOT FOUND",0)</f>
        <v>10993</v>
      </c>
      <c r="H34" s="31">
        <f>_xlfn.XLOOKUP(Top_100_Universities[[#This Row],[University]],Table1[University],Table1[Av. Debt],"NOT FOUND",0)</f>
        <v>7842</v>
      </c>
      <c r="I34" s="31">
        <f>_xlfn.XLOOKUP(Top_100_Universities[[#This Row],[University]],Table1[University],Table1[Median 10-year Salary],"NOT FOUND",0)</f>
        <v>116900</v>
      </c>
      <c r="J34" s="41">
        <f>_xlfn.XLOOKUP(Top_100_Universities[[#This Row],[Town]],Cost_of_Living[City],Cost_of_Living[Cost of Living Index],"NA",0)</f>
        <v>88.5</v>
      </c>
      <c r="K34" s="63" cm="1">
        <f t="array" ref="K34">_xlfn.XLOOKUP(Top_100_Universities[[#This Row],[Town]], Cost_of_Living[[#All],[City]], Cost_of_Living[[#All],[Normalized Cost of Living]], "NA",0)</f>
        <v>0.8220802919708029</v>
      </c>
      <c r="L34" s="63" cm="1">
        <f t="array" ref="L34">_xlfn.XLOOKUP(Top_100_Universities[[#This Row],[State]], Crime_rate_Index[[#All],[State ]], Crime_rate_Index[[#All],[Normalized Crime Index]], "NA", 0)</f>
        <v>0.73507329281372902</v>
      </c>
      <c r="M34" s="63" cm="1">
        <f t="array" ref="M34">_xlfn.XLOOKUP(Top_100_Universities[[#This Row],[State]], Safest_States[[#All],[state]], Safest_States[[#All],[Normailzed Safety Score]], "NA", 0)</f>
        <v>0.36339165545087476</v>
      </c>
      <c r="N34" s="63">
        <f>0.4*Top_100_Universities[[#This Row],[Normalized Cost of Living Index]] + 0.3*Top_100_Universities[[#This Row],[Normalized Crime Rate Index]] + 0.3*Top_100_Universities[[#This Row],[Normalized Safety Score]]</f>
        <v>0.65837160126770233</v>
      </c>
    </row>
    <row r="35" spans="1:14">
      <c r="A35" s="2">
        <v>34</v>
      </c>
      <c r="B35" s="2" t="s">
        <v>53</v>
      </c>
      <c r="C35" s="2" t="s">
        <v>54</v>
      </c>
      <c r="D35" s="2" t="s">
        <v>757</v>
      </c>
      <c r="E35" s="10" t="s">
        <v>1183</v>
      </c>
      <c r="F35" s="2" t="str">
        <f>_xlfn.XLOOKUP(Top_100_Universities[[#This Row],[University]],Table1[University],Table1[Type],"NOT FOUND",0)</f>
        <v>Public</v>
      </c>
      <c r="G35" s="31">
        <f>_xlfn.XLOOKUP(Top_100_Universities[[#This Row],[University]],Table1[University],Table1[Av. Grant Aid],"NOT FOUND",0)</f>
        <v>10477</v>
      </c>
      <c r="H35" s="31">
        <f>_xlfn.XLOOKUP(Top_100_Universities[[#This Row],[University]],Table1[University],Table1[Av. Debt],"NOT FOUND",0)</f>
        <v>10614</v>
      </c>
      <c r="I35" s="31">
        <f>_xlfn.XLOOKUP(Top_100_Universities[[#This Row],[University]],Table1[University],Table1[Median 10-year Salary],"NOT FOUND",0)</f>
        <v>136500</v>
      </c>
      <c r="J35" s="41">
        <f>_xlfn.XLOOKUP(Top_100_Universities[[#This Row],[Town]],Cost_of_Living[City],Cost_of_Living[Cost of Living Index],"NA",0)</f>
        <v>118.7</v>
      </c>
      <c r="K35" s="63" cm="1">
        <f t="array" ref="K35">_xlfn.XLOOKUP(Top_100_Universities[[#This Row],[Town]], Cost_of_Living[[#All],[City]], Cost_of_Living[[#All],[Normalized Cost of Living]], "NA",0)</f>
        <v>0.54653284671532842</v>
      </c>
      <c r="L35" s="63" cm="1">
        <f t="array" ref="L35">_xlfn.XLOOKUP(Top_100_Universities[[#This Row],[State]], Crime_rate_Index[[#All],[State ]], Crime_rate_Index[[#All],[Normalized Crime Index]], "NA", 0)</f>
        <v>0.79406506971755453</v>
      </c>
      <c r="M35" s="63" cm="1">
        <f t="array" ref="M35">_xlfn.XLOOKUP(Top_100_Universities[[#This Row],[State]], Safest_States[[#All],[state]], Safest_States[[#All],[Normailzed Safety Score]], "NA", 0)</f>
        <v>0.32839838492597578</v>
      </c>
      <c r="N35" s="63">
        <f>0.4*Top_100_Universities[[#This Row],[Normalized Cost of Living Index]] + 0.3*Top_100_Universities[[#This Row],[Normalized Crime Rate Index]] + 0.3*Top_100_Universities[[#This Row],[Normalized Safety Score]]</f>
        <v>0.55535217507919044</v>
      </c>
    </row>
    <row r="36" spans="1:14">
      <c r="A36" s="2">
        <v>35</v>
      </c>
      <c r="B36" s="2" t="s">
        <v>55</v>
      </c>
      <c r="C36" s="2" t="s">
        <v>56</v>
      </c>
      <c r="D36" s="2" t="s">
        <v>745</v>
      </c>
      <c r="E36" s="10" t="s">
        <v>851</v>
      </c>
      <c r="F36" s="2" t="str">
        <f>_xlfn.XLOOKUP(Top_100_Universities[[#This Row],[University]],Table1[University],Table1[Type],"NOT FOUND",0)</f>
        <v>Public</v>
      </c>
      <c r="G36" s="31">
        <f>_xlfn.XLOOKUP(Top_100_Universities[[#This Row],[University]],Table1[University],Table1[Av. Grant Aid],"NOT FOUND",0)</f>
        <v>12278</v>
      </c>
      <c r="H36" s="31">
        <f>_xlfn.XLOOKUP(Top_100_Universities[[#This Row],[University]],Table1[University],Table1[Av. Debt],"NOT FOUND",0)</f>
        <v>8518</v>
      </c>
      <c r="I36" s="31">
        <f>_xlfn.XLOOKUP(Top_100_Universities[[#This Row],[University]],Table1[University],Table1[Median 10-year Salary],"NOT FOUND",0)</f>
        <v>139700</v>
      </c>
      <c r="J36" s="41">
        <f>_xlfn.XLOOKUP(Top_100_Universities[[#This Row],[Town]],Cost_of_Living[City],Cost_of_Living[Cost of Living Index],"NA",0)</f>
        <v>92.3</v>
      </c>
      <c r="K36" s="63" cm="1">
        <f t="array" ref="K36">_xlfn.XLOOKUP(Top_100_Universities[[#This Row],[Town]], Cost_of_Living[[#All],[City]], Cost_of_Living[[#All],[Normalized Cost of Living]], "NA",0)</f>
        <v>0.78740875912408759</v>
      </c>
      <c r="L36" s="63" cm="1">
        <f t="array" ref="L36">_xlfn.XLOOKUP(Top_100_Universities[[#This Row],[State]], Crime_rate_Index[[#All],[State ]], Crime_rate_Index[[#All],[Normalized Crime Index]], "NA", 0)</f>
        <v>0.63818376832320345</v>
      </c>
      <c r="M36" s="63" cm="1">
        <f t="array" ref="M36">_xlfn.XLOOKUP(Top_100_Universities[[#This Row],[State]], Safest_States[[#All],[state]], Safest_States[[#All],[Normailzed Safety Score]], "NA", 0)</f>
        <v>0.13808882907133249</v>
      </c>
      <c r="N36" s="63">
        <f>0.4*Top_100_Universities[[#This Row],[Normalized Cost of Living Index]] + 0.3*Top_100_Universities[[#This Row],[Normalized Crime Rate Index]] + 0.3*Top_100_Universities[[#This Row],[Normalized Safety Score]]</f>
        <v>0.54784528286799583</v>
      </c>
    </row>
    <row r="37" spans="1:14">
      <c r="A37" s="2">
        <v>36</v>
      </c>
      <c r="B37" s="2" t="s">
        <v>57</v>
      </c>
      <c r="C37" s="2" t="s">
        <v>58</v>
      </c>
      <c r="D37" s="2" t="s">
        <v>753</v>
      </c>
      <c r="E37" s="10" t="s">
        <v>1199</v>
      </c>
      <c r="F37" s="2" t="str">
        <f>_xlfn.XLOOKUP(Top_100_Universities[[#This Row],[University]],Table1[University],Table1[Type],"NOT FOUND",0)</f>
        <v>Public</v>
      </c>
      <c r="G37" s="31">
        <f>_xlfn.XLOOKUP(Top_100_Universities[[#This Row],[University]],Table1[University],Table1[Av. Grant Aid],"NOT FOUND",0)</f>
        <v>15279</v>
      </c>
      <c r="H37" s="31">
        <f>_xlfn.XLOOKUP(Top_100_Universities[[#This Row],[University]],Table1[University],Table1[Av. Debt],"NOT FOUND",0)</f>
        <v>6934</v>
      </c>
      <c r="I37" s="31">
        <f>_xlfn.XLOOKUP(Top_100_Universities[[#This Row],[University]],Table1[University],Table1[Median 10-year Salary],"NOT FOUND",0)</f>
        <v>119300</v>
      </c>
      <c r="J37" s="41">
        <f>_xlfn.XLOOKUP(Top_100_Universities[[#This Row],[Town]],Cost_of_Living[City],Cost_of_Living[Cost of Living Index],"NA",0)</f>
        <v>97.7</v>
      </c>
      <c r="K37" s="63" cm="1">
        <f t="array" ref="K37">_xlfn.XLOOKUP(Top_100_Universities[[#This Row],[Town]], Cost_of_Living[[#All],[City]], Cost_of_Living[[#All],[Normalized Cost of Living]], "NA",0)</f>
        <v>0.73813868613138678</v>
      </c>
      <c r="L37" s="63" cm="1">
        <f t="array" ref="L37">_xlfn.XLOOKUP(Top_100_Universities[[#This Row],[State]], Crime_rate_Index[[#All],[State ]], Crime_rate_Index[[#All],[Normalized Crime Index]], "NA", 0)</f>
        <v>0.61565963532356094</v>
      </c>
      <c r="M37" s="63" cm="1">
        <f t="array" ref="M37">_xlfn.XLOOKUP(Top_100_Universities[[#This Row],[State]], Safest_States[[#All],[state]], Safest_States[[#All],[Normailzed Safety Score]], "NA", 0)</f>
        <v>0.5736204576043068</v>
      </c>
      <c r="N37" s="63">
        <f>0.4*Top_100_Universities[[#This Row],[Normalized Cost of Living Index]] + 0.3*Top_100_Universities[[#This Row],[Normalized Crime Rate Index]] + 0.3*Top_100_Universities[[#This Row],[Normalized Safety Score]]</f>
        <v>0.65203950233091512</v>
      </c>
    </row>
    <row r="38" spans="1:14">
      <c r="A38" s="2">
        <v>37</v>
      </c>
      <c r="B38" s="2" t="s">
        <v>59</v>
      </c>
      <c r="C38" s="2" t="s">
        <v>589</v>
      </c>
      <c r="D38" s="2" t="s">
        <v>666</v>
      </c>
      <c r="E38" s="10" t="s">
        <v>822</v>
      </c>
      <c r="F38" s="2" t="str">
        <f>_xlfn.XLOOKUP(Top_100_Universities[[#This Row],[University]],Table1[University],Table1[Type],"NOT FOUND",0)</f>
        <v>Public</v>
      </c>
      <c r="G38" s="31">
        <f>_xlfn.XLOOKUP(Top_100_Universities[[#This Row],[University]],Table1[University],Table1[Av. Grant Aid],"NOT FOUND",0)</f>
        <v>17411</v>
      </c>
      <c r="H38" s="31">
        <f>_xlfn.XLOOKUP(Top_100_Universities[[#This Row],[University]],Table1[University],Table1[Av. Debt],"NOT FOUND",0)</f>
        <v>6561</v>
      </c>
      <c r="I38" s="31">
        <f>_xlfn.XLOOKUP(Top_100_Universities[[#This Row],[University]],Table1[University],Table1[Median 10-year Salary],"NOT FOUND",0)</f>
        <v>148400</v>
      </c>
      <c r="J38" s="41">
        <f>_xlfn.XLOOKUP(Top_100_Universities[[#This Row],[Town]],Cost_of_Living[City],Cost_of_Living[Cost of Living Index],"NA",0)</f>
        <v>86.4</v>
      </c>
      <c r="K38" s="63" cm="1">
        <f t="array" ref="K38">_xlfn.XLOOKUP(Top_100_Universities[[#This Row],[Town]], Cost_of_Living[[#All],[City]], Cost_of_Living[[#All],[Normalized Cost of Living]], "NA",0)</f>
        <v>0.8412408759124087</v>
      </c>
      <c r="L38" s="63" cm="1">
        <f t="array" ref="L38">_xlfn.XLOOKUP(Top_100_Universities[[#This Row],[State]], Crime_rate_Index[[#All],[State ]], Crime_rate_Index[[#All],[Normalized Crime Index]], "NA", 0)</f>
        <v>0.73149803360743659</v>
      </c>
      <c r="M38" s="63" cm="1">
        <f t="array" ref="M38">_xlfn.XLOOKUP(Top_100_Universities[[#This Row],[State]], Safest_States[[#All],[state]], Safest_States[[#All],[Normailzed Safety Score]], "NA", 0)</f>
        <v>0.46567967698519502</v>
      </c>
      <c r="N38" s="63">
        <f>0.4*Top_100_Universities[[#This Row],[Normalized Cost of Living Index]] + 0.3*Top_100_Universities[[#This Row],[Normalized Crime Rate Index]] + 0.3*Top_100_Universities[[#This Row],[Normalized Safety Score]]</f>
        <v>0.69564966354275293</v>
      </c>
    </row>
    <row r="39" spans="1:14">
      <c r="A39" s="2">
        <v>38</v>
      </c>
      <c r="B39" s="2" t="s">
        <v>60</v>
      </c>
      <c r="C39" s="2" t="s">
        <v>758</v>
      </c>
      <c r="D39" s="2" t="s">
        <v>746</v>
      </c>
      <c r="E39" s="10" t="s">
        <v>858</v>
      </c>
      <c r="F39" s="2" t="str">
        <f>_xlfn.XLOOKUP(Top_100_Universities[[#This Row],[University]],Table1[University],Table1[Type],"NOT FOUND",0)</f>
        <v>Private not-for-profit</v>
      </c>
      <c r="G39" s="31">
        <f>_xlfn.XLOOKUP(Top_100_Universities[[#This Row],[University]],Table1[University],Table1[Av. Grant Aid],"NOT FOUND",0)</f>
        <v>61716</v>
      </c>
      <c r="H39" s="31">
        <f>_xlfn.XLOOKUP(Top_100_Universities[[#This Row],[University]],Table1[University],Table1[Av. Debt],"NOT FOUND",0)</f>
        <v>6973</v>
      </c>
      <c r="I39" s="31">
        <f>_xlfn.XLOOKUP(Top_100_Universities[[#This Row],[University]],Table1[University],Table1[Median 10-year Salary],"NOT FOUND",0)</f>
        <v>141300</v>
      </c>
      <c r="J39" s="41">
        <f>_xlfn.XLOOKUP(Top_100_Universities[[#This Row],[Town]],Cost_of_Living[City],Cost_of_Living[Cost of Living Index],"NA",0)</f>
        <v>80</v>
      </c>
      <c r="K39" s="63" cm="1">
        <f t="array" ref="K39">_xlfn.XLOOKUP(Top_100_Universities[[#This Row],[Town]], Cost_of_Living[[#All],[City]], Cost_of_Living[[#All],[Normalized Cost of Living]], "NA",0)</f>
        <v>0.89963503649635035</v>
      </c>
      <c r="L39" s="63" cm="1">
        <f t="array" ref="L39">_xlfn.XLOOKUP(Top_100_Universities[[#This Row],[State]], Crime_rate_Index[[#All],[State ]], Crime_rate_Index[[#All],[Normalized Crime Index]], "NA", 0)</f>
        <v>0.76188773686092248</v>
      </c>
      <c r="M39" s="63" cm="1">
        <f t="array" ref="M39">_xlfn.XLOOKUP(Top_100_Universities[[#This Row],[State]], Safest_States[[#All],[state]], Safest_States[[#All],[Normailzed Safety Score]], "NA", 0)</f>
        <v>0.43176312247644677</v>
      </c>
      <c r="N39" s="63">
        <f>0.4*Top_100_Universities[[#This Row],[Normalized Cost of Living Index]] + 0.3*Top_100_Universities[[#This Row],[Normalized Crime Rate Index]] + 0.3*Top_100_Universities[[#This Row],[Normalized Safety Score]]</f>
        <v>0.71794927239975093</v>
      </c>
    </row>
    <row r="40" spans="1:14">
      <c r="A40" s="2">
        <v>39</v>
      </c>
      <c r="B40" s="2" t="s">
        <v>61</v>
      </c>
      <c r="C40" s="2" t="s">
        <v>759</v>
      </c>
      <c r="D40" s="2" t="s">
        <v>760</v>
      </c>
      <c r="E40" s="10" t="s">
        <v>943</v>
      </c>
      <c r="F40" s="2" t="str">
        <f>_xlfn.XLOOKUP(Top_100_Universities[[#This Row],[University]],Table1[University],Table1[Type],"NOT FOUND",0)</f>
        <v>Public</v>
      </c>
      <c r="G40" s="31">
        <f>_xlfn.XLOOKUP(Top_100_Universities[[#This Row],[University]],Table1[University],Table1[Av. Grant Aid],"NOT FOUND",0)</f>
        <v>26818</v>
      </c>
      <c r="H40" s="31">
        <f>_xlfn.XLOOKUP(Top_100_Universities[[#This Row],[University]],Table1[University],Table1[Av. Debt],"NOT FOUND",0)</f>
        <v>8639</v>
      </c>
      <c r="I40" s="31">
        <f>_xlfn.XLOOKUP(Top_100_Universities[[#This Row],[University]],Table1[University],Table1[Median 10-year Salary],"NOT FOUND",0)</f>
        <v>149100</v>
      </c>
      <c r="J40" s="41">
        <f>_xlfn.XLOOKUP(Top_100_Universities[[#This Row],[Town]],Cost_of_Living[City],Cost_of_Living[Cost of Living Index],"NA",0)</f>
        <v>102.1</v>
      </c>
      <c r="K40" s="63" cm="1">
        <f t="array" ref="K40">_xlfn.XLOOKUP(Top_100_Universities[[#This Row],[Town]], Cost_of_Living[[#All],[City]], Cost_of_Living[[#All],[Normalized Cost of Living]], "NA",0)</f>
        <v>0.69799270072992703</v>
      </c>
      <c r="L40" s="63" cm="1">
        <f t="array" ref="L40">_xlfn.XLOOKUP(Top_100_Universities[[#This Row],[State]], Crime_rate_Index[[#All],[State ]], Crime_rate_Index[[#All],[Normalized Crime Index]], "NA", 0)</f>
        <v>0.93743296388988206</v>
      </c>
      <c r="M40" s="63" cm="1">
        <f t="array" ref="M40">_xlfn.XLOOKUP(Top_100_Universities[[#This Row],[State]], Safest_States[[#All],[state]], Safest_States[[#All],[Normailzed Safety Score]], "NA", 0)</f>
        <v>0.65545087483176301</v>
      </c>
      <c r="N40" s="63">
        <f>0.4*Top_100_Universities[[#This Row],[Normalized Cost of Living Index]] + 0.3*Top_100_Universities[[#This Row],[Normalized Crime Rate Index]] + 0.3*Top_100_Universities[[#This Row],[Normalized Safety Score]]</f>
        <v>0.75706223190846433</v>
      </c>
    </row>
    <row r="41" spans="1:14">
      <c r="A41" s="2">
        <v>40</v>
      </c>
      <c r="B41" s="2" t="s">
        <v>62</v>
      </c>
      <c r="C41" s="2" t="s">
        <v>256</v>
      </c>
      <c r="D41" s="2" t="s">
        <v>738</v>
      </c>
      <c r="E41" s="10" t="s">
        <v>827</v>
      </c>
      <c r="F41" s="2" t="str">
        <f>_xlfn.XLOOKUP(Top_100_Universities[[#This Row],[University]],Table1[University],Table1[Type],"NOT FOUND",0)</f>
        <v>Private not-for-profit</v>
      </c>
      <c r="G41" s="31">
        <f>_xlfn.XLOOKUP(Top_100_Universities[[#This Row],[University]],Table1[University],Table1[Av. Grant Aid],"NOT FOUND",0)</f>
        <v>51565</v>
      </c>
      <c r="H41" s="31">
        <f>_xlfn.XLOOKUP(Top_100_Universities[[#This Row],[University]],Table1[University],Table1[Av. Debt],"NOT FOUND",0)</f>
        <v>10425</v>
      </c>
      <c r="I41" s="31">
        <f>_xlfn.XLOOKUP(Top_100_Universities[[#This Row],[University]],Table1[University],Table1[Median 10-year Salary],"NOT FOUND",0)</f>
        <v>144400</v>
      </c>
      <c r="J41" s="41">
        <f>_xlfn.XLOOKUP(Top_100_Universities[[#This Row],[Town]],Cost_of_Living[City],Cost_of_Living[Cost of Living Index],"NA",0)</f>
        <v>132.6</v>
      </c>
      <c r="K41" s="63" cm="1">
        <f t="array" ref="K41">_xlfn.XLOOKUP(Top_100_Universities[[#This Row],[Town]], Cost_of_Living[[#All],[City]], Cost_of_Living[[#All],[Normalized Cost of Living]], "NA",0)</f>
        <v>0.41970802919708028</v>
      </c>
      <c r="L41" s="63" cm="1">
        <f t="array" ref="L41">_xlfn.XLOOKUP(Top_100_Universities[[#This Row],[State]], Crime_rate_Index[[#All],[State ]], Crime_rate_Index[[#All],[Normalized Crime Index]], "NA", 0)</f>
        <v>0.85055416517697535</v>
      </c>
      <c r="M41" s="63" cm="1">
        <f t="array" ref="M41">_xlfn.XLOOKUP(Top_100_Universities[[#This Row],[State]], Safest_States[[#All],[state]], Safest_States[[#All],[Normailzed Safety Score]], "NA", 0)</f>
        <v>0.76393001345895017</v>
      </c>
      <c r="N41" s="63">
        <f>0.4*Top_100_Universities[[#This Row],[Normalized Cost of Living Index]] + 0.3*Top_100_Universities[[#This Row],[Normalized Crime Rate Index]] + 0.3*Top_100_Universities[[#This Row],[Normalized Safety Score]]</f>
        <v>0.65222846526960976</v>
      </c>
    </row>
    <row r="42" spans="1:14">
      <c r="A42" s="2">
        <v>41</v>
      </c>
      <c r="B42" s="2" t="s">
        <v>63</v>
      </c>
      <c r="C42" s="2" t="s">
        <v>64</v>
      </c>
      <c r="D42" s="2" t="s">
        <v>752</v>
      </c>
      <c r="E42" s="10" t="s">
        <v>889</v>
      </c>
      <c r="F42" s="2" t="str">
        <f>_xlfn.XLOOKUP(Top_100_Universities[[#This Row],[University]],Table1[University],Table1[Type],"NOT FOUND",0)</f>
        <v>Public</v>
      </c>
      <c r="G42" s="31">
        <f>_xlfn.XLOOKUP(Top_100_Universities[[#This Row],[University]],Table1[University],Table1[Av. Grant Aid],"NOT FOUND",0)</f>
        <v>9181</v>
      </c>
      <c r="H42" s="31">
        <f>_xlfn.XLOOKUP(Top_100_Universities[[#This Row],[University]],Table1[University],Table1[Av. Debt],"NOT FOUND",0)</f>
        <v>7194</v>
      </c>
      <c r="I42" s="31">
        <f>_xlfn.XLOOKUP(Top_100_Universities[[#This Row],[University]],Table1[University],Table1[Median 10-year Salary],"NOT FOUND",0)</f>
        <v>128600</v>
      </c>
      <c r="J42" s="41">
        <f>_xlfn.XLOOKUP(Top_100_Universities[[#This Row],[Town]],Cost_of_Living[City],Cost_of_Living[Cost of Living Index],"NA",0)</f>
        <v>99.7</v>
      </c>
      <c r="K42" s="63" cm="1">
        <f t="array" ref="K42">_xlfn.XLOOKUP(Top_100_Universities[[#This Row],[Town]], Cost_of_Living[[#All],[City]], Cost_of_Living[[#All],[Normalized Cost of Living]], "NA",0)</f>
        <v>0.7198905109489051</v>
      </c>
      <c r="L42" s="63" cm="1">
        <f t="array" ref="L42">_xlfn.XLOOKUP(Top_100_Universities[[#This Row],[State]], Crime_rate_Index[[#All],[State ]], Crime_rate_Index[[#All],[Normalized Crime Index]], "NA", 0)</f>
        <v>0.67143367894172323</v>
      </c>
      <c r="M42" s="63" cm="1">
        <f t="array" ref="M42">_xlfn.XLOOKUP(Top_100_Universities[[#This Row],[State]], Safest_States[[#All],[state]], Safest_States[[#All],[Normailzed Safety Score]], "NA", 0)</f>
        <v>0.55800807537012098</v>
      </c>
      <c r="N42" s="63">
        <f>0.4*Top_100_Universities[[#This Row],[Normalized Cost of Living Index]] + 0.3*Top_100_Universities[[#This Row],[Normalized Crime Rate Index]] + 0.3*Top_100_Universities[[#This Row],[Normalized Safety Score]]</f>
        <v>0.65678873067311527</v>
      </c>
    </row>
    <row r="43" spans="1:14">
      <c r="A43" s="2">
        <v>42</v>
      </c>
      <c r="B43" s="2" t="s">
        <v>65</v>
      </c>
      <c r="C43" s="2" t="s">
        <v>66</v>
      </c>
      <c r="D43" s="2" t="s">
        <v>761</v>
      </c>
      <c r="E43" s="10" t="s">
        <v>950</v>
      </c>
      <c r="F43" s="2" t="str">
        <f>_xlfn.XLOOKUP(Top_100_Universities[[#This Row],[University]],Table1[University],Table1[Type],"NOT FOUND",0)</f>
        <v>Public</v>
      </c>
      <c r="G43" s="31">
        <f>_xlfn.XLOOKUP(Top_100_Universities[[#This Row],[University]],Table1[University],Table1[Av. Grant Aid],"NOT FOUND",0)</f>
        <v>9696</v>
      </c>
      <c r="H43" s="31">
        <f>_xlfn.XLOOKUP(Top_100_Universities[[#This Row],[University]],Table1[University],Table1[Av. Debt],"NOT FOUND",0)</f>
        <v>8287</v>
      </c>
      <c r="I43" s="31">
        <f>_xlfn.XLOOKUP(Top_100_Universities[[#This Row],[University]],Table1[University],Table1[Median 10-year Salary],"NOT FOUND",0)</f>
        <v>125900</v>
      </c>
      <c r="J43" s="41">
        <f>_xlfn.XLOOKUP(Top_100_Universities[[#This Row],[Town]],Cost_of_Living[City],Cost_of_Living[Cost of Living Index],"NA",0)</f>
        <v>105.9</v>
      </c>
      <c r="K43" s="63" cm="1">
        <f t="array" ref="K43">_xlfn.XLOOKUP(Top_100_Universities[[#This Row],[Town]], Cost_of_Living[[#All],[City]], Cost_of_Living[[#All],[Normalized Cost of Living]], "NA",0)</f>
        <v>0.6633211678832116</v>
      </c>
      <c r="L43" s="63" cm="1">
        <f t="array" ref="L43">_xlfn.XLOOKUP(Top_100_Universities[[#This Row],[State]], Crime_rate_Index[[#All],[State ]], Crime_rate_Index[[#All],[Normalized Crime Index]], "NA", 0)</f>
        <v>0.83732570611369328</v>
      </c>
      <c r="M43" s="63" cm="1">
        <f t="array" ref="M43">_xlfn.XLOOKUP(Top_100_Universities[[#This Row],[State]], Safest_States[[#All],[state]], Safest_States[[#All],[Normailzed Safety Score]], "NA", 0)</f>
        <v>0.85706594885598897</v>
      </c>
      <c r="N43" s="63">
        <f>0.4*Top_100_Universities[[#This Row],[Normalized Cost of Living Index]] + 0.3*Top_100_Universities[[#This Row],[Normalized Crime Rate Index]] + 0.3*Top_100_Universities[[#This Row],[Normalized Safety Score]]</f>
        <v>0.77364596364418947</v>
      </c>
    </row>
    <row r="44" spans="1:14">
      <c r="A44" s="2">
        <v>43</v>
      </c>
      <c r="B44" s="2" t="s">
        <v>67</v>
      </c>
      <c r="C44" s="2" t="s">
        <v>68</v>
      </c>
      <c r="D44" s="2" t="s">
        <v>416</v>
      </c>
      <c r="E44" s="10" t="s">
        <v>971</v>
      </c>
      <c r="F44" s="2" t="str">
        <f>_xlfn.XLOOKUP(Top_100_Universities[[#This Row],[University]],Table1[University],Table1[Type],"NOT FOUND",0)</f>
        <v>Public</v>
      </c>
      <c r="G44" s="31">
        <f>_xlfn.XLOOKUP(Top_100_Universities[[#This Row],[University]],Table1[University],Table1[Av. Grant Aid],"NOT FOUND",0)</f>
        <v>10336</v>
      </c>
      <c r="H44" s="31">
        <f>_xlfn.XLOOKUP(Top_100_Universities[[#This Row],[University]],Table1[University],Table1[Av. Debt],"NOT FOUND",0)</f>
        <v>9757</v>
      </c>
      <c r="I44" s="31">
        <f>_xlfn.XLOOKUP(Top_100_Universities[[#This Row],[University]],Table1[University],Table1[Median 10-year Salary],"NOT FOUND",0)</f>
        <v>117300</v>
      </c>
      <c r="J44" s="41">
        <f>_xlfn.XLOOKUP(Top_100_Universities[[#This Row],[Town]],Cost_of_Living[City],Cost_of_Living[Cost of Living Index],"NA",0)</f>
        <v>89</v>
      </c>
      <c r="K44" s="63" cm="1">
        <f t="array" ref="K44">_xlfn.XLOOKUP(Top_100_Universities[[#This Row],[Town]], Cost_of_Living[[#All],[City]], Cost_of_Living[[#All],[Normalized Cost of Living]], "NA",0)</f>
        <v>0.81751824817518248</v>
      </c>
      <c r="L44" s="63" cm="1">
        <f t="array" ref="L44">_xlfn.XLOOKUP(Top_100_Universities[[#This Row],[State]], Crime_rate_Index[[#All],[State ]], Crime_rate_Index[[#All],[Normalized Crime Index]], "NA", 0)</f>
        <v>0.76796567751161959</v>
      </c>
      <c r="M44" s="63" cm="1">
        <f t="array" ref="M44">_xlfn.XLOOKUP(Top_100_Universities[[#This Row],[State]], Safest_States[[#All],[state]], Safest_States[[#All],[Normailzed Safety Score]], "NA", 0)</f>
        <v>0.57442799461641969</v>
      </c>
      <c r="N44" s="63">
        <f>0.4*Top_100_Universities[[#This Row],[Normalized Cost of Living Index]] + 0.3*Top_100_Universities[[#This Row],[Normalized Crime Rate Index]] + 0.3*Top_100_Universities[[#This Row],[Normalized Safety Score]]</f>
        <v>0.7297254009084847</v>
      </c>
    </row>
    <row r="45" spans="1:14">
      <c r="A45" s="2">
        <v>44</v>
      </c>
      <c r="B45" s="2" t="s">
        <v>69</v>
      </c>
      <c r="C45" s="2" t="s">
        <v>584</v>
      </c>
      <c r="D45" s="2" t="s">
        <v>666</v>
      </c>
      <c r="E45" s="10" t="s">
        <v>822</v>
      </c>
      <c r="F45" s="2" t="str">
        <f>_xlfn.XLOOKUP(Top_100_Universities[[#This Row],[University]],Table1[University],Table1[Type],"NOT FOUND",0)</f>
        <v>Public</v>
      </c>
      <c r="G45" s="31">
        <f>_xlfn.XLOOKUP(Top_100_Universities[[#This Row],[University]],Table1[University],Table1[Av. Grant Aid],"NOT FOUND",0)</f>
        <v>20389</v>
      </c>
      <c r="H45" s="31">
        <f>_xlfn.XLOOKUP(Top_100_Universities[[#This Row],[University]],Table1[University],Table1[Av. Debt],"NOT FOUND",0)</f>
        <v>7453</v>
      </c>
      <c r="I45" s="31">
        <f>_xlfn.XLOOKUP(Top_100_Universities[[#This Row],[University]],Table1[University],Table1[Median 10-year Salary],"NOT FOUND",0)</f>
        <v>148600</v>
      </c>
      <c r="J45" s="41">
        <f>_xlfn.XLOOKUP(Top_100_Universities[[#This Row],[Town]],Cost_of_Living[City],Cost_of_Living[Cost of Living Index],"NA",0)</f>
        <v>83.7</v>
      </c>
      <c r="K45" s="63" cm="1">
        <f t="array" ref="K45">_xlfn.XLOOKUP(Top_100_Universities[[#This Row],[Town]], Cost_of_Living[[#All],[City]], Cost_of_Living[[#All],[Normalized Cost of Living]], "NA",0)</f>
        <v>0.86587591240875905</v>
      </c>
      <c r="L45" s="63" cm="1">
        <f t="array" ref="L45">_xlfn.XLOOKUP(Top_100_Universities[[#This Row],[State]], Crime_rate_Index[[#All],[State ]], Crime_rate_Index[[#All],[Normalized Crime Index]], "NA", 0)</f>
        <v>0.73149803360743659</v>
      </c>
      <c r="M45" s="63" cm="1">
        <f t="array" ref="M45">_xlfn.XLOOKUP(Top_100_Universities[[#This Row],[State]], Safest_States[[#All],[state]], Safest_States[[#All],[Normailzed Safety Score]], "NA", 0)</f>
        <v>0.46567967698519502</v>
      </c>
      <c r="N45" s="63">
        <f>0.4*Top_100_Universities[[#This Row],[Normalized Cost of Living Index]] + 0.3*Top_100_Universities[[#This Row],[Normalized Crime Rate Index]] + 0.3*Top_100_Universities[[#This Row],[Normalized Safety Score]]</f>
        <v>0.70550367814129311</v>
      </c>
    </row>
    <row r="46" spans="1:14">
      <c r="A46" s="2">
        <v>45</v>
      </c>
      <c r="B46" s="2" t="s">
        <v>70</v>
      </c>
      <c r="C46" s="2" t="s">
        <v>71</v>
      </c>
      <c r="D46" s="2" t="s">
        <v>762</v>
      </c>
      <c r="E46" s="10" t="s">
        <v>934</v>
      </c>
      <c r="F46" s="2" t="str">
        <f>_xlfn.XLOOKUP(Top_100_Universities[[#This Row],[University]],Table1[University],Table1[Type],"NOT FOUND",0)</f>
        <v>Private not-for-profit</v>
      </c>
      <c r="G46" s="31">
        <f>_xlfn.XLOOKUP(Top_100_Universities[[#This Row],[University]],Table1[University],Table1[Av. Grant Aid],"NOT FOUND",0)</f>
        <v>45949</v>
      </c>
      <c r="H46" s="31">
        <f>_xlfn.XLOOKUP(Top_100_Universities[[#This Row],[University]],Table1[University],Table1[Av. Debt],"NOT FOUND",0)</f>
        <v>8982</v>
      </c>
      <c r="I46" s="31">
        <f>_xlfn.XLOOKUP(Top_100_Universities[[#This Row],[University]],Table1[University],Table1[Median 10-year Salary],"NOT FOUND",0)</f>
        <v>163400</v>
      </c>
      <c r="J46" s="41">
        <f>_xlfn.XLOOKUP(Top_100_Universities[[#This Row],[Town]],Cost_of_Living[City],Cost_of_Living[Cost of Living Index],"NA",0)</f>
        <v>120.1</v>
      </c>
      <c r="K46" s="63" cm="1">
        <f t="array" ref="K46">_xlfn.XLOOKUP(Top_100_Universities[[#This Row],[Town]], Cost_of_Living[[#All],[City]], Cost_of_Living[[#All],[Normalized Cost of Living]], "NA",0)</f>
        <v>0.53375912408759119</v>
      </c>
      <c r="L46" s="63" cm="1">
        <f t="array" ref="L46">_xlfn.XLOOKUP(Top_100_Universities[[#This Row],[State]], Crime_rate_Index[[#All],[State ]], Crime_rate_Index[[#All],[Normalized Crime Index]], "NA", 0)</f>
        <v>0</v>
      </c>
      <c r="M46" s="63">
        <v>0.3</v>
      </c>
      <c r="N46" s="63">
        <f>0.4*Top_100_Universities[[#This Row],[Normalized Cost of Living Index]] + 0.3*Top_100_Universities[[#This Row],[Normalized Crime Rate Index]] + 0.3*Top_100_Universities[[#This Row],[Normalized Safety Score]]</f>
        <v>0.30350364963503651</v>
      </c>
    </row>
    <row r="47" spans="1:14">
      <c r="A47" s="2">
        <v>46</v>
      </c>
      <c r="B47" s="2" t="s">
        <v>72</v>
      </c>
      <c r="C47" s="2" t="s">
        <v>356</v>
      </c>
      <c r="D47" s="2" t="s">
        <v>743</v>
      </c>
      <c r="E47" s="10" t="s">
        <v>844</v>
      </c>
      <c r="F47" s="2" t="str">
        <f>_xlfn.XLOOKUP(Top_100_Universities[[#This Row],[University]],Table1[University],Table1[Type],"NOT FOUND",0)</f>
        <v>Public</v>
      </c>
      <c r="G47" s="31">
        <f>_xlfn.XLOOKUP(Top_100_Universities[[#This Row],[University]],Table1[University],Table1[Av. Grant Aid],"NOT FOUND",0)</f>
        <v>10919</v>
      </c>
      <c r="H47" s="31">
        <f>_xlfn.XLOOKUP(Top_100_Universities[[#This Row],[University]],Table1[University],Table1[Av. Debt],"NOT FOUND",0)</f>
        <v>10081</v>
      </c>
      <c r="I47" s="31">
        <f>_xlfn.XLOOKUP(Top_100_Universities[[#This Row],[University]],Table1[University],Table1[Median 10-year Salary],"NOT FOUND",0)</f>
        <v>121200</v>
      </c>
      <c r="J47" s="41">
        <f>_xlfn.XLOOKUP(Top_100_Universities[[#This Row],[Town]],Cost_of_Living[City],Cost_of_Living[Cost of Living Index],"NA",0)</f>
        <v>93.1</v>
      </c>
      <c r="K47" s="63" cm="1">
        <f t="array" ref="K47">_xlfn.XLOOKUP(Top_100_Universities[[#This Row],[Town]], Cost_of_Living[[#All],[City]], Cost_of_Living[[#All],[Normalized Cost of Living]], "NA",0)</f>
        <v>0.7801094890510949</v>
      </c>
      <c r="L47" s="63" cm="1">
        <f t="array" ref="L47">_xlfn.XLOOKUP(Top_100_Universities[[#This Row],[State]], Crime_rate_Index[[#All],[State ]], Crime_rate_Index[[#All],[Normalized Crime Index]], "NA", 0)</f>
        <v>0.86235252055774048</v>
      </c>
      <c r="M47" s="63" cm="1">
        <f t="array" ref="M47">_xlfn.XLOOKUP(Top_100_Universities[[#This Row],[State]], Safest_States[[#All],[state]], Safest_States[[#All],[Normailzed Safety Score]], "NA", 0)</f>
        <v>0.45410497981157455</v>
      </c>
      <c r="N47" s="63">
        <f>0.4*Top_100_Universities[[#This Row],[Normalized Cost of Living Index]] + 0.3*Top_100_Universities[[#This Row],[Normalized Crime Rate Index]] + 0.3*Top_100_Universities[[#This Row],[Normalized Safety Score]]</f>
        <v>0.70698104573123244</v>
      </c>
    </row>
    <row r="48" spans="1:14">
      <c r="A48" s="2">
        <v>47</v>
      </c>
      <c r="B48" s="2" t="s">
        <v>73</v>
      </c>
      <c r="C48" s="2" t="s">
        <v>74</v>
      </c>
      <c r="D48" s="2" t="s">
        <v>763</v>
      </c>
      <c r="E48" s="10" t="s">
        <v>926</v>
      </c>
      <c r="F48" s="2" t="str">
        <f>_xlfn.XLOOKUP(Top_100_Universities[[#This Row],[University]],Table1[University],Table1[Type],"NOT FOUND",0)</f>
        <v>Private not-for-profit</v>
      </c>
      <c r="G48" s="31">
        <f>_xlfn.XLOOKUP(Top_100_Universities[[#This Row],[University]],Table1[University],Table1[Av. Grant Aid],"NOT FOUND",0)</f>
        <v>58188</v>
      </c>
      <c r="H48" s="31">
        <f>_xlfn.XLOOKUP(Top_100_Universities[[#This Row],[University]],Table1[University],Table1[Av. Debt],"NOT FOUND",0)</f>
        <v>9495</v>
      </c>
      <c r="I48" s="31">
        <f>_xlfn.XLOOKUP(Top_100_Universities[[#This Row],[University]],Table1[University],Table1[Median 10-year Salary],"NOT FOUND",0)</f>
        <v>142800</v>
      </c>
      <c r="J48" s="41">
        <f>_xlfn.XLOOKUP(Top_100_Universities[[#This Row],[Town]],Cost_of_Living[City],Cost_of_Living[Cost of Living Index],"NA",0)</f>
        <v>89.6</v>
      </c>
      <c r="K48" s="63" cm="1">
        <f t="array" ref="K48">_xlfn.XLOOKUP(Top_100_Universities[[#This Row],[Town]], Cost_of_Living[[#All],[City]], Cost_of_Living[[#All],[Normalized Cost of Living]], "NA",0)</f>
        <v>0.81204379562043805</v>
      </c>
      <c r="L48" s="63" cm="1">
        <f t="array" ref="L48">_xlfn.XLOOKUP(Top_100_Universities[[#This Row],[State]], Crime_rate_Index[[#All],[State ]], Crime_rate_Index[[#All],[Normalized Crime Index]], "NA", 0)</f>
        <v>0.67536646406864498</v>
      </c>
      <c r="M48" s="63" cm="1">
        <f t="array" ref="M48">_xlfn.XLOOKUP(Top_100_Universities[[#This Row],[State]], Safest_States[[#All],[state]], Safest_States[[#All],[Normailzed Safety Score]], "NA", 0)</f>
        <v>0.23176312247644679</v>
      </c>
      <c r="N48" s="63">
        <f>0.4*Top_100_Universities[[#This Row],[Normalized Cost of Living Index]] + 0.3*Top_100_Universities[[#This Row],[Normalized Crime Rate Index]] + 0.3*Top_100_Universities[[#This Row],[Normalized Safety Score]]</f>
        <v>0.59695639421170277</v>
      </c>
    </row>
    <row r="49" spans="1:14">
      <c r="A49" s="2">
        <v>48</v>
      </c>
      <c r="B49" s="2" t="s">
        <v>75</v>
      </c>
      <c r="C49" s="2" t="s">
        <v>76</v>
      </c>
      <c r="D49" s="2" t="s">
        <v>738</v>
      </c>
      <c r="E49" s="10" t="s">
        <v>827</v>
      </c>
      <c r="F49" s="2" t="str">
        <f>_xlfn.XLOOKUP(Top_100_Universities[[#This Row],[University]],Table1[University],Table1[Type],"NOT FOUND",0)</f>
        <v>Private not-for-profit</v>
      </c>
      <c r="G49" s="31">
        <f>_xlfn.XLOOKUP(Top_100_Universities[[#This Row],[University]],Table1[University],Table1[Av. Grant Aid],"NOT FOUND",0)</f>
        <v>51613</v>
      </c>
      <c r="H49" s="31">
        <f>_xlfn.XLOOKUP(Top_100_Universities[[#This Row],[University]],Table1[University],Table1[Av. Debt],"NOT FOUND",0)</f>
        <v>7034</v>
      </c>
      <c r="I49" s="31">
        <f>_xlfn.XLOOKUP(Top_100_Universities[[#This Row],[University]],Table1[University],Table1[Median 10-year Salary],"NOT FOUND",0)</f>
        <v>144400</v>
      </c>
      <c r="J49" s="41">
        <f>_xlfn.XLOOKUP(Top_100_Universities[[#This Row],[Town]],Cost_of_Living[City],Cost_of_Living[Cost of Living Index],"NA",0)</f>
        <v>107.5</v>
      </c>
      <c r="K49" s="63" cm="1">
        <f t="array" ref="K49">_xlfn.XLOOKUP(Top_100_Universities[[#This Row],[Town]], Cost_of_Living[[#All],[City]], Cost_of_Living[[#All],[Normalized Cost of Living]], "NA",0)</f>
        <v>0.64872262773722622</v>
      </c>
      <c r="L49" s="63" cm="1">
        <f t="array" ref="L49">_xlfn.XLOOKUP(Top_100_Universities[[#This Row],[State]], Crime_rate_Index[[#All],[State ]], Crime_rate_Index[[#All],[Normalized Crime Index]], "NA", 0)</f>
        <v>0.85055416517697535</v>
      </c>
      <c r="M49" s="63" cm="1">
        <f t="array" ref="M49">_xlfn.XLOOKUP(Top_100_Universities[[#This Row],[State]], Safest_States[[#All],[state]], Safest_States[[#All],[Normailzed Safety Score]], "NA", 0)</f>
        <v>0.76393001345895017</v>
      </c>
      <c r="N49" s="63">
        <f>0.4*Top_100_Universities[[#This Row],[Normalized Cost of Living Index]] + 0.3*Top_100_Universities[[#This Row],[Normalized Crime Rate Index]] + 0.3*Top_100_Universities[[#This Row],[Normalized Safety Score]]</f>
        <v>0.74383430468566814</v>
      </c>
    </row>
    <row r="50" spans="1:14">
      <c r="A50" s="2">
        <v>49</v>
      </c>
      <c r="B50" s="2" t="s">
        <v>77</v>
      </c>
      <c r="C50" s="2" t="s">
        <v>78</v>
      </c>
      <c r="D50" s="2" t="s">
        <v>764</v>
      </c>
      <c r="E50" s="10" t="s">
        <v>1416</v>
      </c>
      <c r="F50" s="2" t="s">
        <v>835</v>
      </c>
      <c r="G50" s="31">
        <f>_xlfn.XLOOKUP(Top_100_Universities[[#This Row],[University]],Table1[University],Table1[Av. Grant Aid],"NOT FOUND",0)</f>
        <v>10941</v>
      </c>
      <c r="H50" s="31">
        <f>_xlfn.XLOOKUP(Top_100_Universities[[#This Row],[University]],Table1[University],Table1[Av. Debt],"NOT FOUND",0)</f>
        <v>6553</v>
      </c>
      <c r="I50" s="31">
        <f>_xlfn.XLOOKUP(Top_100_Universities[[#This Row],[University]],Table1[University],Table1[Median 10-year Salary],"NOT FOUND",0)</f>
        <v>117000</v>
      </c>
      <c r="J50" s="41">
        <f>_xlfn.XLOOKUP(Top_100_Universities[[#This Row],[Town]],Cost_of_Living[City],Cost_of_Living[Cost of Living Index],"NA",0)</f>
        <v>94.7</v>
      </c>
      <c r="K50" s="63" cm="1">
        <f t="array" ref="K50">_xlfn.XLOOKUP(Top_100_Universities[[#This Row],[Town]], Cost_of_Living[[#All],[City]], Cost_of_Living[[#All],[Normalized Cost of Living]], "NA",0)</f>
        <v>0.76551094890510951</v>
      </c>
      <c r="L50" s="63" cm="1">
        <f t="array" ref="L50">_xlfn.XLOOKUP(Top_100_Universities[[#This Row],[State]], Crime_rate_Index[[#All],[State ]], Crime_rate_Index[[#All],[Normalized Crime Index]], "NA", 0)</f>
        <v>0.84268859492313197</v>
      </c>
      <c r="M50" s="63" cm="1">
        <f t="array" ref="M50">_xlfn.XLOOKUP(Top_100_Universities[[#This Row],[State]], Safest_States[[#All],[state]], Safest_States[[#All],[Normailzed Safety Score]], "NA", 0)</f>
        <v>0.40215343203230136</v>
      </c>
      <c r="N50" s="63">
        <f>0.4*Top_100_Universities[[#This Row],[Normalized Cost of Living Index]] + 0.3*Top_100_Universities[[#This Row],[Normalized Crime Rate Index]] + 0.3*Top_100_Universities[[#This Row],[Normalized Safety Score]]</f>
        <v>0.67965698764867388</v>
      </c>
    </row>
    <row r="51" spans="1:14">
      <c r="A51" s="2">
        <v>50</v>
      </c>
      <c r="B51" s="2" t="s">
        <v>79</v>
      </c>
      <c r="C51" s="2" t="s">
        <v>80</v>
      </c>
      <c r="D51" s="2" t="s">
        <v>760</v>
      </c>
      <c r="E51" s="10" t="s">
        <v>943</v>
      </c>
      <c r="F51" s="2" t="str">
        <f>_xlfn.XLOOKUP(Top_100_Universities[[#This Row],[University]],Table1[University],Table1[Type],"NOT FOUND",0)</f>
        <v>Public</v>
      </c>
      <c r="G51" s="31">
        <f>_xlfn.XLOOKUP(Top_100_Universities[[#This Row],[University]],Table1[University],Table1[Av. Grant Aid],"NOT FOUND",0)</f>
        <v>7649</v>
      </c>
      <c r="H51" s="31">
        <f>_xlfn.XLOOKUP(Top_100_Universities[[#This Row],[University]],Table1[University],Table1[Av. Debt],"NOT FOUND",0)</f>
        <v>10100</v>
      </c>
      <c r="I51" s="31">
        <f>_xlfn.XLOOKUP(Top_100_Universities[[#This Row],[University]],Table1[University],Table1[Median 10-year Salary],"NOT FOUND",0)</f>
        <v>136000</v>
      </c>
      <c r="J51" s="41">
        <f>_xlfn.XLOOKUP(Top_100_Universities[[#This Row],[Town]],Cost_of_Living[City],Cost_of_Living[Cost of Living Index],"NA",0)</f>
        <v>94.5</v>
      </c>
      <c r="K51" s="63" cm="1">
        <f t="array" ref="K51">_xlfn.XLOOKUP(Top_100_Universities[[#This Row],[Town]], Cost_of_Living[[#All],[City]], Cost_of_Living[[#All],[Normalized Cost of Living]], "NA",0)</f>
        <v>0.76733576642335766</v>
      </c>
      <c r="L51" s="63" cm="1">
        <f t="array" ref="L51">_xlfn.XLOOKUP(Top_100_Universities[[#This Row],[State]], Crime_rate_Index[[#All],[State ]], Crime_rate_Index[[#All],[Normalized Crime Index]], "NA", 0)</f>
        <v>0.93743296388988206</v>
      </c>
      <c r="M51" s="63" cm="1">
        <f t="array" ref="M51">_xlfn.XLOOKUP(Top_100_Universities[[#This Row],[State]], Safest_States[[#All],[state]], Safest_States[[#All],[Normailzed Safety Score]], "NA", 0)</f>
        <v>0.65545087483176301</v>
      </c>
      <c r="N51" s="63">
        <f>0.4*Top_100_Universities[[#This Row],[Normalized Cost of Living Index]] + 0.3*Top_100_Universities[[#This Row],[Normalized Crime Rate Index]] + 0.3*Top_100_Universities[[#This Row],[Normalized Safety Score]]</f>
        <v>0.78479945818583663</v>
      </c>
    </row>
    <row r="52" spans="1:14">
      <c r="A52" s="2">
        <v>51</v>
      </c>
      <c r="B52" s="2" t="s">
        <v>81</v>
      </c>
      <c r="C52" s="2" t="s">
        <v>765</v>
      </c>
      <c r="D52" s="2" t="s">
        <v>766</v>
      </c>
      <c r="E52" s="10" t="s">
        <v>1236</v>
      </c>
      <c r="F52" s="2" t="str">
        <f>_xlfn.XLOOKUP(Top_100_Universities[[#This Row],[University]],Table1[University],Table1[Type],"NOT FOUND",0)</f>
        <v>Public</v>
      </c>
      <c r="G52" s="31">
        <f>_xlfn.XLOOKUP(Top_100_Universities[[#This Row],[University]],Table1[University],Table1[Av. Grant Aid],"NOT FOUND",0)</f>
        <v>9260</v>
      </c>
      <c r="H52" s="31">
        <f>_xlfn.XLOOKUP(Top_100_Universities[[#This Row],[University]],Table1[University],Table1[Av. Debt],"NOT FOUND",0)</f>
        <v>7622</v>
      </c>
      <c r="I52" s="31">
        <f>_xlfn.XLOOKUP(Top_100_Universities[[#This Row],[University]],Table1[University],Table1[Median 10-year Salary],"NOT FOUND",0)</f>
        <v>124000</v>
      </c>
      <c r="J52" s="41">
        <f>_xlfn.XLOOKUP(Top_100_Universities[[#This Row],[Town]],Cost_of_Living[City],Cost_of_Living[Cost of Living Index],"NA",0)</f>
        <v>110.6</v>
      </c>
      <c r="K52" s="63" cm="1">
        <f t="array" ref="K52">_xlfn.XLOOKUP(Top_100_Universities[[#This Row],[Town]], Cost_of_Living[[#All],[City]], Cost_of_Living[[#All],[Normalized Cost of Living]], "NA",0)</f>
        <v>0.62043795620437958</v>
      </c>
      <c r="L52" s="63" cm="1">
        <f t="array" ref="L52">_xlfn.XLOOKUP(Top_100_Universities[[#This Row],[State]], Crime_rate_Index[[#All],[State ]], Crime_rate_Index[[#All],[Normalized Crime Index]], "NA", 0)</f>
        <v>0.80443332141580259</v>
      </c>
      <c r="M52" s="63" cm="1">
        <f t="array" ref="M52">_xlfn.XLOOKUP(Top_100_Universities[[#This Row],[State]], Safest_States[[#All],[state]], Safest_States[[#All],[Normailzed Safety Score]], "NA", 0)</f>
        <v>0.64172274562584097</v>
      </c>
      <c r="N52" s="63">
        <f>0.4*Top_100_Universities[[#This Row],[Normalized Cost of Living Index]] + 0.3*Top_100_Universities[[#This Row],[Normalized Crime Rate Index]] + 0.3*Top_100_Universities[[#This Row],[Normalized Safety Score]]</f>
        <v>0.68202200259424484</v>
      </c>
    </row>
    <row r="53" spans="1:14">
      <c r="A53" s="2">
        <v>52</v>
      </c>
      <c r="B53" s="2" t="s">
        <v>82</v>
      </c>
      <c r="C53" s="2" t="s">
        <v>83</v>
      </c>
      <c r="D53" s="2" t="s">
        <v>761</v>
      </c>
      <c r="E53" s="10" t="s">
        <v>950</v>
      </c>
      <c r="F53" s="2" t="str">
        <f>_xlfn.XLOOKUP(Top_100_Universities[[#This Row],[University]],Table1[University],Table1[Type],"NOT FOUND",0)</f>
        <v>Private not-for-profit</v>
      </c>
      <c r="G53" s="31">
        <f>_xlfn.XLOOKUP(Top_100_Universities[[#This Row],[University]],Table1[University],Table1[Av. Grant Aid],"NOT FOUND",0)</f>
        <v>6325</v>
      </c>
      <c r="H53" s="31">
        <f>_xlfn.XLOOKUP(Top_100_Universities[[#This Row],[University]],Table1[University],Table1[Av. Debt],"NOT FOUND",0)</f>
        <v>5457</v>
      </c>
      <c r="I53" s="31">
        <f>_xlfn.XLOOKUP(Top_100_Universities[[#This Row],[University]],Table1[University],Table1[Median 10-year Salary],"NOT FOUND",0)</f>
        <v>133900</v>
      </c>
      <c r="J53" s="41">
        <f>_xlfn.XLOOKUP(Top_100_Universities[[#This Row],[Town]],Cost_of_Living[City],Cost_of_Living[Cost of Living Index],"NA",0)</f>
        <v>100.9</v>
      </c>
      <c r="K53" s="63" cm="1">
        <f t="array" ref="K53">_xlfn.XLOOKUP(Top_100_Universities[[#This Row],[Town]], Cost_of_Living[[#All],[City]], Cost_of_Living[[#All],[Normalized Cost of Living]], "NA",0)</f>
        <v>0.70894160583941601</v>
      </c>
      <c r="L53" s="63" cm="1">
        <f t="array" ref="L53">_xlfn.XLOOKUP(Top_100_Universities[[#This Row],[State]], Crime_rate_Index[[#All],[State ]], Crime_rate_Index[[#All],[Normalized Crime Index]], "NA", 0)</f>
        <v>0.83732570611369328</v>
      </c>
      <c r="M53" s="63" cm="1">
        <f t="array" ref="M53">_xlfn.XLOOKUP(Top_100_Universities[[#This Row],[State]], Safest_States[[#All],[state]], Safest_States[[#All],[Normailzed Safety Score]], "NA", 0)</f>
        <v>0.85706594885598897</v>
      </c>
      <c r="N53" s="63">
        <f>0.4*Top_100_Universities[[#This Row],[Normalized Cost of Living Index]] + 0.3*Top_100_Universities[[#This Row],[Normalized Crime Rate Index]] + 0.3*Top_100_Universities[[#This Row],[Normalized Safety Score]]</f>
        <v>0.79189413882667115</v>
      </c>
    </row>
    <row r="54" spans="1:14">
      <c r="A54" s="2">
        <v>53</v>
      </c>
      <c r="B54" s="2" t="s">
        <v>84</v>
      </c>
      <c r="C54" s="2" t="s">
        <v>85</v>
      </c>
      <c r="D54" s="2" t="s">
        <v>767</v>
      </c>
      <c r="E54" s="10" t="s">
        <v>939</v>
      </c>
      <c r="F54" s="2" t="str">
        <f>_xlfn.XLOOKUP(Top_100_Universities[[#This Row],[University]],Table1[University],Table1[Type],"NOT FOUND",0)</f>
        <v>Public</v>
      </c>
      <c r="G54" s="31">
        <f>_xlfn.XLOOKUP(Top_100_Universities[[#This Row],[University]],Table1[University],Table1[Av. Grant Aid],"NOT FOUND",0)</f>
        <v>13992</v>
      </c>
      <c r="H54" s="31">
        <f>_xlfn.XLOOKUP(Top_100_Universities[[#This Row],[University]],Table1[University],Table1[Av. Debt],"NOT FOUND",0)</f>
        <v>7027</v>
      </c>
      <c r="I54" s="31">
        <f>_xlfn.XLOOKUP(Top_100_Universities[[#This Row],[University]],Table1[University],Table1[Median 10-year Salary],"NOT FOUND",0)</f>
        <v>163500</v>
      </c>
      <c r="J54" s="41">
        <f>_xlfn.XLOOKUP(Top_100_Universities[[#This Row],[Town]],Cost_of_Living[City],Cost_of_Living[Cost of Living Index],"NA",0)</f>
        <v>100.3</v>
      </c>
      <c r="K54" s="63" cm="1">
        <f t="array" ref="K54">_xlfn.XLOOKUP(Top_100_Universities[[#This Row],[Town]], Cost_of_Living[[#All],[City]], Cost_of_Living[[#All],[Normalized Cost of Living]], "NA",0)</f>
        <v>0.71441605839416056</v>
      </c>
      <c r="L54" s="63" cm="1">
        <f t="array" ref="L54">_xlfn.XLOOKUP(Top_100_Universities[[#This Row],[State]], Crime_rate_Index[[#All],[State ]], Crime_rate_Index[[#All],[Normalized Crime Index]], "NA", 0)</f>
        <v>0.65641759027529489</v>
      </c>
      <c r="M54" s="63" cm="1">
        <f t="array" ref="M54">_xlfn.XLOOKUP(Top_100_Universities[[#This Row],[State]], Safest_States[[#All],[state]], Safest_States[[#All],[Normailzed Safety Score]], "NA", 0)</f>
        <v>0.36689098250336477</v>
      </c>
      <c r="N54" s="63">
        <f>0.4*Top_100_Universities[[#This Row],[Normalized Cost of Living Index]] + 0.3*Top_100_Universities[[#This Row],[Normalized Crime Rate Index]] + 0.3*Top_100_Universities[[#This Row],[Normalized Safety Score]]</f>
        <v>0.59275899519126207</v>
      </c>
    </row>
    <row r="55" spans="1:14">
      <c r="A55" s="2">
        <v>54</v>
      </c>
      <c r="B55" s="2" t="s">
        <v>86</v>
      </c>
      <c r="C55" s="2" t="s">
        <v>87</v>
      </c>
      <c r="D55" s="2" t="s">
        <v>767</v>
      </c>
      <c r="E55" s="10" t="s">
        <v>939</v>
      </c>
      <c r="F55" s="2" t="str">
        <f>_xlfn.XLOOKUP(Top_100_Universities[[#This Row],[University]],Table1[University],Table1[Type],"NOT FOUND",0)</f>
        <v>Public</v>
      </c>
      <c r="G55" s="31">
        <f>_xlfn.XLOOKUP(Top_100_Universities[[#This Row],[University]],Table1[University],Table1[Av. Grant Aid],"NOT FOUND",0)</f>
        <v>11559</v>
      </c>
      <c r="H55" s="31">
        <f>_xlfn.XLOOKUP(Top_100_Universities[[#This Row],[University]],Table1[University],Table1[Av. Debt],"NOT FOUND",0)</f>
        <v>6778</v>
      </c>
      <c r="I55" s="31">
        <f>_xlfn.XLOOKUP(Top_100_Universities[[#This Row],[University]],Table1[University],Table1[Median 10-year Salary],"NOT FOUND",0)</f>
        <v>124800</v>
      </c>
      <c r="J55" s="41">
        <f>_xlfn.XLOOKUP(Top_100_Universities[[#This Row],[Town]],Cost_of_Living[City],Cost_of_Living[Cost of Living Index],"NA",0)</f>
        <v>95</v>
      </c>
      <c r="K55" s="63" cm="1">
        <f t="array" ref="K55">_xlfn.XLOOKUP(Top_100_Universities[[#This Row],[Town]], Cost_of_Living[[#All],[City]], Cost_of_Living[[#All],[Normalized Cost of Living]], "NA",0)</f>
        <v>0.76277372262773724</v>
      </c>
      <c r="L55" s="63" cm="1">
        <f t="array" ref="L55">_xlfn.XLOOKUP(Top_100_Universities[[#This Row],[State]], Crime_rate_Index[[#All],[State ]], Crime_rate_Index[[#All],[Normalized Crime Index]], "NA", 0)</f>
        <v>0.65641759027529489</v>
      </c>
      <c r="M55" s="63" cm="1">
        <f t="array" ref="M55">_xlfn.XLOOKUP(Top_100_Universities[[#This Row],[State]], Safest_States[[#All],[state]], Safest_States[[#All],[Normailzed Safety Score]], "NA", 0)</f>
        <v>0.36689098250336477</v>
      </c>
      <c r="N55" s="63">
        <f>0.4*Top_100_Universities[[#This Row],[Normalized Cost of Living Index]] + 0.3*Top_100_Universities[[#This Row],[Normalized Crime Rate Index]] + 0.3*Top_100_Universities[[#This Row],[Normalized Safety Score]]</f>
        <v>0.61210206088469277</v>
      </c>
    </row>
    <row r="56" spans="1:14">
      <c r="A56" s="2">
        <v>55</v>
      </c>
      <c r="B56" s="2" t="s">
        <v>88</v>
      </c>
      <c r="C56" s="2" t="s">
        <v>89</v>
      </c>
      <c r="D56" s="2" t="s">
        <v>740</v>
      </c>
      <c r="E56" s="10" t="s">
        <v>840</v>
      </c>
      <c r="F56" s="2" t="str">
        <f>_xlfn.XLOOKUP(Top_100_Universities[[#This Row],[University]],Table1[University],Table1[Type],"NOT FOUND",0)</f>
        <v>Private not-for-profit</v>
      </c>
      <c r="G56" s="31">
        <f>_xlfn.XLOOKUP(Top_100_Universities[[#This Row],[University]],Table1[University],Table1[Av. Grant Aid],"NOT FOUND",0)</f>
        <v>39715</v>
      </c>
      <c r="H56" s="31">
        <f>_xlfn.XLOOKUP(Top_100_Universities[[#This Row],[University]],Table1[University],Table1[Av. Debt],"NOT FOUND",0)</f>
        <v>7198</v>
      </c>
      <c r="I56" s="31">
        <f>_xlfn.XLOOKUP(Top_100_Universities[[#This Row],[University]],Table1[University],Table1[Median 10-year Salary],"NOT FOUND",0)</f>
        <v>140900</v>
      </c>
      <c r="J56" s="41">
        <f>_xlfn.XLOOKUP(Top_100_Universities[[#This Row],[Town]],Cost_of_Living[City],Cost_of_Living[Cost of Living Index],"NA",0)</f>
        <v>96.6</v>
      </c>
      <c r="K56" s="63" cm="1">
        <f t="array" ref="K56">_xlfn.XLOOKUP(Top_100_Universities[[#This Row],[Town]], Cost_of_Living[[#All],[City]], Cost_of_Living[[#All],[Normalized Cost of Living]], "NA",0)</f>
        <v>0.74817518248175185</v>
      </c>
      <c r="L56" s="63" cm="1">
        <f t="array" ref="L56">_xlfn.XLOOKUP(Top_100_Universities[[#This Row],[State]], Crime_rate_Index[[#All],[State ]], Crime_rate_Index[[#All],[Normalized Crime Index]], "NA", 0)</f>
        <v>0.91276367536646408</v>
      </c>
      <c r="M56" s="63" cm="1">
        <f t="array" ref="M56">_xlfn.XLOOKUP(Top_100_Universities[[#This Row],[State]], Safest_States[[#All],[state]], Safest_States[[#All],[Normailzed Safety Score]], "NA", 0)</f>
        <v>0.54589502018842528</v>
      </c>
      <c r="N56" s="63">
        <f>0.4*Top_100_Universities[[#This Row],[Normalized Cost of Living Index]] + 0.3*Top_100_Universities[[#This Row],[Normalized Crime Rate Index]] + 0.3*Top_100_Universities[[#This Row],[Normalized Safety Score]]</f>
        <v>0.73686768165916761</v>
      </c>
    </row>
    <row r="57" spans="1:14">
      <c r="A57" s="2">
        <v>56</v>
      </c>
      <c r="B57" s="2" t="s">
        <v>90</v>
      </c>
      <c r="C57" s="2" t="s">
        <v>91</v>
      </c>
      <c r="D57" s="2" t="s">
        <v>768</v>
      </c>
      <c r="E57" s="10" t="s">
        <v>883</v>
      </c>
      <c r="F57" s="2" t="str">
        <f>_xlfn.XLOOKUP(Top_100_Universities[[#This Row],[University]],Table1[University],Table1[Type],"NOT FOUND",0)</f>
        <v>Private not-for-profit</v>
      </c>
      <c r="G57" s="31">
        <f>_xlfn.XLOOKUP(Top_100_Universities[[#This Row],[University]],Table1[University],Table1[Av. Grant Aid],"NOT FOUND",0)</f>
        <v>55847</v>
      </c>
      <c r="H57" s="31">
        <f>_xlfn.XLOOKUP(Top_100_Universities[[#This Row],[University]],Table1[University],Table1[Av. Debt],"NOT FOUND",0)</f>
        <v>10059</v>
      </c>
      <c r="I57" s="31">
        <f>_xlfn.XLOOKUP(Top_100_Universities[[#This Row],[University]],Table1[University],Table1[Median 10-year Salary],"NOT FOUND",0)</f>
        <v>155000</v>
      </c>
      <c r="J57" s="41">
        <f>_xlfn.XLOOKUP(Top_100_Universities[[#This Row],[Town]],Cost_of_Living[City],Cost_of_Living[Cost of Living Index],"NA",0)</f>
        <v>111.5</v>
      </c>
      <c r="K57" s="63" cm="1">
        <f t="array" ref="K57">_xlfn.XLOOKUP(Top_100_Universities[[#This Row],[Town]], Cost_of_Living[[#All],[City]], Cost_of_Living[[#All],[Normalized Cost of Living]], "NA",0)</f>
        <v>0.61222627737226276</v>
      </c>
      <c r="L57" s="63" cm="1">
        <f t="array" ref="L57">_xlfn.XLOOKUP(Top_100_Universities[[#This Row],[State]], Crime_rate_Index[[#All],[State ]], Crime_rate_Index[[#All],[Normalized Crime Index]], "NA", 0)</f>
        <v>0.88630675723989993</v>
      </c>
      <c r="M57" s="63" cm="1">
        <f t="array" ref="M57">_xlfn.XLOOKUP(Top_100_Universities[[#This Row],[State]], Safest_States[[#All],[state]], Safest_States[[#All],[Normailzed Safety Score]], "NA", 0)</f>
        <v>0.73620457604306855</v>
      </c>
      <c r="N57" s="63">
        <f>0.4*Top_100_Universities[[#This Row],[Normalized Cost of Living Index]] + 0.3*Top_100_Universities[[#This Row],[Normalized Crime Rate Index]] + 0.3*Top_100_Universities[[#This Row],[Normalized Safety Score]]</f>
        <v>0.73164391093379555</v>
      </c>
    </row>
    <row r="58" spans="1:14">
      <c r="A58" s="2">
        <v>57</v>
      </c>
      <c r="B58" s="2" t="s">
        <v>92</v>
      </c>
      <c r="C58" s="2" t="s">
        <v>93</v>
      </c>
      <c r="D58" s="2" t="s">
        <v>666</v>
      </c>
      <c r="E58" s="10" t="s">
        <v>822</v>
      </c>
      <c r="F58" s="2" t="str">
        <f>_xlfn.XLOOKUP(Top_100_Universities[[#This Row],[University]],Table1[University],Table1[Type],"NOT FOUND",0)</f>
        <v>Private not-for-profit</v>
      </c>
      <c r="G58" s="31">
        <f>_xlfn.XLOOKUP(Top_100_Universities[[#This Row],[University]],Table1[University],Table1[Av. Grant Aid],"NOT FOUND",0)</f>
        <v>59192</v>
      </c>
      <c r="H58" s="31">
        <f>_xlfn.XLOOKUP(Top_100_Universities[[#This Row],[University]],Table1[University],Table1[Av. Debt],"NOT FOUND",0)</f>
        <v>12553</v>
      </c>
      <c r="I58" s="31">
        <f>_xlfn.XLOOKUP(Top_100_Universities[[#This Row],[University]],Table1[University],Table1[Median 10-year Salary],"NOT FOUND",0)</f>
        <v>168600</v>
      </c>
      <c r="J58" s="41">
        <f>_xlfn.XLOOKUP(Top_100_Universities[[#This Row],[Town]],Cost_of_Living[City],Cost_of_Living[Cost of Living Index],"NA",0)</f>
        <v>85.1</v>
      </c>
      <c r="K58" s="63" cm="1">
        <f t="array" ref="K58">_xlfn.XLOOKUP(Top_100_Universities[[#This Row],[Town]], Cost_of_Living[[#All],[City]], Cost_of_Living[[#All],[Normalized Cost of Living]], "NA",0)</f>
        <v>0.85310218978102192</v>
      </c>
      <c r="L58" s="63" cm="1">
        <f t="array" ref="L58">_xlfn.XLOOKUP(Top_100_Universities[[#This Row],[State]], Crime_rate_Index[[#All],[State ]], Crime_rate_Index[[#All],[Normalized Crime Index]], "NA", 0)</f>
        <v>0.73149803360743659</v>
      </c>
      <c r="M58" s="63" cm="1">
        <f t="array" ref="M58">_xlfn.XLOOKUP(Top_100_Universities[[#This Row],[State]], Safest_States[[#All],[state]], Safest_States[[#All],[Normailzed Safety Score]], "NA", 0)</f>
        <v>0.46567967698519502</v>
      </c>
      <c r="N58" s="63">
        <f>0.4*Top_100_Universities[[#This Row],[Normalized Cost of Living Index]] + 0.3*Top_100_Universities[[#This Row],[Normalized Crime Rate Index]] + 0.3*Top_100_Universities[[#This Row],[Normalized Safety Score]]</f>
        <v>0.70039418909019824</v>
      </c>
    </row>
    <row r="59" spans="1:14">
      <c r="A59" s="2">
        <v>58</v>
      </c>
      <c r="B59" s="2" t="s">
        <v>94</v>
      </c>
      <c r="C59" s="2" t="s">
        <v>769</v>
      </c>
      <c r="D59" s="2" t="s">
        <v>770</v>
      </c>
      <c r="E59" s="10" t="s">
        <v>1104</v>
      </c>
      <c r="F59" s="2" t="str">
        <f>_xlfn.XLOOKUP(Top_100_Universities[[#This Row],[University]],Table1[University],Table1[Type],"NOT FOUND",0)</f>
        <v>Public</v>
      </c>
      <c r="G59" s="31">
        <f>_xlfn.XLOOKUP(Top_100_Universities[[#This Row],[University]],Table1[University],Table1[Av. Grant Aid],"NOT FOUND",0)</f>
        <v>9959</v>
      </c>
      <c r="H59" s="31">
        <f>_xlfn.XLOOKUP(Top_100_Universities[[#This Row],[University]],Table1[University],Table1[Av. Debt],"NOT FOUND",0)</f>
        <v>8853</v>
      </c>
      <c r="I59" s="31">
        <f>_xlfn.XLOOKUP(Top_100_Universities[[#This Row],[University]],Table1[University],Table1[Median 10-year Salary],"NOT FOUND",0)</f>
        <v>119800</v>
      </c>
      <c r="J59" s="41">
        <f>_xlfn.XLOOKUP(Top_100_Universities[[#This Row],[Town]],Cost_of_Living[City],Cost_of_Living[Cost of Living Index],"NA",0)</f>
        <v>93.5</v>
      </c>
      <c r="K59" s="63" cm="1">
        <f t="array" ref="K59">_xlfn.XLOOKUP(Top_100_Universities[[#This Row],[Town]], Cost_of_Living[[#All],[City]], Cost_of_Living[[#All],[Normalized Cost of Living]], "NA",0)</f>
        <v>0.77645985401459849</v>
      </c>
      <c r="L59" s="63" cm="1">
        <f t="array" ref="L59">_xlfn.XLOOKUP(Top_100_Universities[[#This Row],[State]], Crime_rate_Index[[#All],[State ]], Crime_rate_Index[[#All],[Normalized Crime Index]], "NA", 0)</f>
        <v>0.90954594208080086</v>
      </c>
      <c r="M59" s="63" cm="1">
        <f t="array" ref="M59">_xlfn.XLOOKUP(Top_100_Universities[[#This Row],[State]], Safest_States[[#All],[state]], Safest_States[[#All],[Normailzed Safety Score]], "NA", 0)</f>
        <v>0.63660834454912507</v>
      </c>
      <c r="N59" s="63">
        <f>0.4*Top_100_Universities[[#This Row],[Normalized Cost of Living Index]] + 0.3*Top_100_Universities[[#This Row],[Normalized Crime Rate Index]] + 0.3*Top_100_Universities[[#This Row],[Normalized Safety Score]]</f>
        <v>0.77443022759481728</v>
      </c>
    </row>
    <row r="60" spans="1:14">
      <c r="A60" s="2">
        <v>59</v>
      </c>
      <c r="B60" s="2" t="s">
        <v>95</v>
      </c>
      <c r="C60" s="2" t="s">
        <v>96</v>
      </c>
      <c r="D60" s="2" t="s">
        <v>770</v>
      </c>
      <c r="E60" s="10" t="s">
        <v>1104</v>
      </c>
      <c r="F60" s="2" t="str">
        <f>_xlfn.XLOOKUP(Top_100_Universities[[#This Row],[University]],Table1[University],Table1[Type],"NOT FOUND",0)</f>
        <v>Public</v>
      </c>
      <c r="G60" s="31">
        <f>_xlfn.XLOOKUP(Top_100_Universities[[#This Row],[University]],Table1[University],Table1[Av. Grant Aid],"NOT FOUND",0)</f>
        <v>11043</v>
      </c>
      <c r="H60" s="31">
        <f>_xlfn.XLOOKUP(Top_100_Universities[[#This Row],[University]],Table1[University],Table1[Av. Debt],"NOT FOUND",0)</f>
        <v>7620</v>
      </c>
      <c r="I60" s="31">
        <f>_xlfn.XLOOKUP(Top_100_Universities[[#This Row],[University]],Table1[University],Table1[Median 10-year Salary],"NOT FOUND",0)</f>
        <v>118800</v>
      </c>
      <c r="J60" s="41">
        <f>_xlfn.XLOOKUP(Top_100_Universities[[#This Row],[Town]],Cost_of_Living[City],Cost_of_Living[Cost of Living Index],"NA",0)</f>
        <v>91.5</v>
      </c>
      <c r="K60" s="63" cm="1">
        <f t="array" ref="K60">_xlfn.XLOOKUP(Top_100_Universities[[#This Row],[Town]], Cost_of_Living[[#All],[City]], Cost_of_Living[[#All],[Normalized Cost of Living]], "NA",0)</f>
        <v>0.79470802919708028</v>
      </c>
      <c r="L60" s="63" cm="1">
        <f t="array" ref="L60">_xlfn.XLOOKUP(Top_100_Universities[[#This Row],[State]], Crime_rate_Index[[#All],[State ]], Crime_rate_Index[[#All],[Normalized Crime Index]], "NA", 0)</f>
        <v>0.90954594208080086</v>
      </c>
      <c r="M60" s="63" cm="1">
        <f t="array" ref="M60">_xlfn.XLOOKUP(Top_100_Universities[[#This Row],[State]], Safest_States[[#All],[state]], Safest_States[[#All],[Normailzed Safety Score]], "NA", 0)</f>
        <v>0.63660834454912507</v>
      </c>
      <c r="N60" s="63">
        <f>0.4*Top_100_Universities[[#This Row],[Normalized Cost of Living Index]] + 0.3*Top_100_Universities[[#This Row],[Normalized Crime Rate Index]] + 0.3*Top_100_Universities[[#This Row],[Normalized Safety Score]]</f>
        <v>0.78172949766780997</v>
      </c>
    </row>
    <row r="61" spans="1:14">
      <c r="A61" s="2">
        <v>60</v>
      </c>
      <c r="B61" s="2" t="s">
        <v>97</v>
      </c>
      <c r="C61" s="2" t="s">
        <v>98</v>
      </c>
      <c r="D61" s="2" t="s">
        <v>757</v>
      </c>
      <c r="E61" s="10" t="s">
        <v>1183</v>
      </c>
      <c r="F61" s="2" t="str">
        <f>_xlfn.XLOOKUP(Top_100_Universities[[#This Row],[University]],Table1[University],Table1[Type],"NOT FOUND",0)</f>
        <v>Public</v>
      </c>
      <c r="G61" s="31">
        <f>_xlfn.XLOOKUP(Top_100_Universities[[#This Row],[University]],Table1[University],Table1[Av. Grant Aid],"NOT FOUND",0)</f>
        <v>10727</v>
      </c>
      <c r="H61" s="31">
        <f>_xlfn.XLOOKUP(Top_100_Universities[[#This Row],[University]],Table1[University],Table1[Av. Debt],"NOT FOUND",0)</f>
        <v>8773</v>
      </c>
      <c r="I61" s="31">
        <f>_xlfn.XLOOKUP(Top_100_Universities[[#This Row],[University]],Table1[University],Table1[Median 10-year Salary],"NOT FOUND",0)</f>
        <v>116300</v>
      </c>
      <c r="J61" s="41">
        <f>_xlfn.XLOOKUP(Top_100_Universities[[#This Row],[Town]],Cost_of_Living[City],Cost_of_Living[Cost of Living Index],"NA",0)</f>
        <v>109.2</v>
      </c>
      <c r="K61" s="63" cm="1">
        <f t="array" ref="K61">_xlfn.XLOOKUP(Top_100_Universities[[#This Row],[Town]], Cost_of_Living[[#All],[City]], Cost_of_Living[[#All],[Normalized Cost of Living]], "NA",0)</f>
        <v>0.63321167883211671</v>
      </c>
      <c r="L61" s="63" cm="1">
        <f t="array" ref="L61">_xlfn.XLOOKUP(Top_100_Universities[[#This Row],[State]], Crime_rate_Index[[#All],[State ]], Crime_rate_Index[[#All],[Normalized Crime Index]], "NA", 0)</f>
        <v>0.79406506971755453</v>
      </c>
      <c r="M61" s="63" cm="1">
        <f t="array" ref="M61">_xlfn.XLOOKUP(Top_100_Universities[[#This Row],[State]], Safest_States[[#All],[state]], Safest_States[[#All],[Normailzed Safety Score]], "NA", 0)</f>
        <v>0.32839838492597578</v>
      </c>
      <c r="N61" s="63">
        <f>0.4*Top_100_Universities[[#This Row],[Normalized Cost of Living Index]] + 0.3*Top_100_Universities[[#This Row],[Normalized Crime Rate Index]] + 0.3*Top_100_Universities[[#This Row],[Normalized Safety Score]]</f>
        <v>0.59002370792590575</v>
      </c>
    </row>
    <row r="62" spans="1:14">
      <c r="A62" s="2">
        <v>61</v>
      </c>
      <c r="B62" s="2" t="s">
        <v>99</v>
      </c>
      <c r="C62" s="2" t="s">
        <v>198</v>
      </c>
      <c r="D62" s="2" t="s">
        <v>666</v>
      </c>
      <c r="E62" s="10" t="s">
        <v>822</v>
      </c>
      <c r="F62" s="2" t="str">
        <f>_xlfn.XLOOKUP(Top_100_Universities[[#This Row],[University]],Table1[University],Table1[Type],"NOT FOUND",0)</f>
        <v>Private not-for-profit</v>
      </c>
      <c r="G62" s="31">
        <f>_xlfn.XLOOKUP(Top_100_Universities[[#This Row],[University]],Table1[University],Table1[Av. Grant Aid],"NOT FOUND",0)</f>
        <v>30916</v>
      </c>
      <c r="H62" s="31">
        <f>_xlfn.XLOOKUP(Top_100_Universities[[#This Row],[University]],Table1[University],Table1[Av. Debt],"NOT FOUND",0)</f>
        <v>9671</v>
      </c>
      <c r="I62" s="31">
        <f>_xlfn.XLOOKUP(Top_100_Universities[[#This Row],[University]],Table1[University],Table1[Median 10-year Salary],"NOT FOUND",0)</f>
        <v>133600</v>
      </c>
      <c r="J62" s="41">
        <f>_xlfn.XLOOKUP(Top_100_Universities[[#This Row],[Town]],Cost_of_Living[City],Cost_of_Living[Cost of Living Index],"NA",0)</f>
        <v>178.6</v>
      </c>
      <c r="K62" s="63" cm="1">
        <f t="array" ref="K62">_xlfn.XLOOKUP(Top_100_Universities[[#This Row],[Town]], Cost_of_Living[[#All],[City]], Cost_of_Living[[#All],[Normalized Cost of Living]], "NA",0)</f>
        <v>0</v>
      </c>
      <c r="L62" s="63" cm="1">
        <f t="array" ref="L62">_xlfn.XLOOKUP(Top_100_Universities[[#This Row],[State]], Crime_rate_Index[[#All],[State ]], Crime_rate_Index[[#All],[Normalized Crime Index]], "NA", 0)</f>
        <v>0.73149803360743659</v>
      </c>
      <c r="M62" s="63" cm="1">
        <f t="array" ref="M62">_xlfn.XLOOKUP(Top_100_Universities[[#This Row],[State]], Safest_States[[#All],[state]], Safest_States[[#All],[Normailzed Safety Score]], "NA", 0)</f>
        <v>0.46567967698519502</v>
      </c>
      <c r="N62" s="63">
        <f>0.4*Top_100_Universities[[#This Row],[Normalized Cost of Living Index]] + 0.3*Top_100_Universities[[#This Row],[Normalized Crime Rate Index]] + 0.3*Top_100_Universities[[#This Row],[Normalized Safety Score]]</f>
        <v>0.35915331317778948</v>
      </c>
    </row>
    <row r="63" spans="1:14">
      <c r="A63" s="2">
        <v>62</v>
      </c>
      <c r="B63" s="2" t="s">
        <v>100</v>
      </c>
      <c r="C63" s="2" t="s">
        <v>71</v>
      </c>
      <c r="D63" s="2" t="s">
        <v>762</v>
      </c>
      <c r="E63" s="10" t="s">
        <v>934</v>
      </c>
      <c r="F63" s="2" t="str">
        <f>_xlfn.XLOOKUP(Top_100_Universities[[#This Row],[University]],Table1[University],Table1[Type],"NOT FOUND",0)</f>
        <v>Private not-for-profit</v>
      </c>
      <c r="G63" s="31">
        <f>_xlfn.XLOOKUP(Top_100_Universities[[#This Row],[University]],Table1[University],Table1[Av. Grant Aid],"NOT FOUND",0)</f>
        <v>35257</v>
      </c>
      <c r="H63" s="31">
        <f>_xlfn.XLOOKUP(Top_100_Universities[[#This Row],[University]],Table1[University],Table1[Av. Debt],"NOT FOUND",0)</f>
        <v>10893</v>
      </c>
      <c r="I63" s="31">
        <f>_xlfn.XLOOKUP(Top_100_Universities[[#This Row],[University]],Table1[University],Table1[Median 10-year Salary],"NOT FOUND",0)</f>
        <v>148300</v>
      </c>
      <c r="J63" s="41">
        <f>_xlfn.XLOOKUP(Top_100_Universities[[#This Row],[Town]],Cost_of_Living[City],Cost_of_Living[Cost of Living Index],"NA",0)</f>
        <v>120.1</v>
      </c>
      <c r="K63" s="63" cm="1">
        <f t="array" ref="K63">_xlfn.XLOOKUP(Top_100_Universities[[#This Row],[Town]], Cost_of_Living[[#All],[City]], Cost_of_Living[[#All],[Normalized Cost of Living]], "NA",0)</f>
        <v>0.53375912408759119</v>
      </c>
      <c r="L63" s="63" cm="1">
        <f t="array" ref="L63">_xlfn.XLOOKUP(Top_100_Universities[[#This Row],[State]], Crime_rate_Index[[#All],[State ]], Crime_rate_Index[[#All],[Normalized Crime Index]], "NA", 0)</f>
        <v>0</v>
      </c>
      <c r="M63" s="63">
        <v>0.3</v>
      </c>
      <c r="N63" s="63">
        <f>0.4*Top_100_Universities[[#This Row],[Normalized Cost of Living Index]] + 0.3*Top_100_Universities[[#This Row],[Normalized Crime Rate Index]] + 0.3*Top_100_Universities[[#This Row],[Normalized Safety Score]]</f>
        <v>0.30350364963503651</v>
      </c>
    </row>
    <row r="64" spans="1:14">
      <c r="A64" s="2">
        <v>63</v>
      </c>
      <c r="B64" s="2" t="s">
        <v>101</v>
      </c>
      <c r="C64" s="2" t="s">
        <v>102</v>
      </c>
      <c r="D64" s="2" t="s">
        <v>738</v>
      </c>
      <c r="E64" s="10" t="s">
        <v>827</v>
      </c>
      <c r="F64" s="2" t="str">
        <f>_xlfn.XLOOKUP(Top_100_Universities[[#This Row],[University]],Table1[University],Table1[Type],"NOT FOUND",0)</f>
        <v>Public</v>
      </c>
      <c r="G64" s="31">
        <f>_xlfn.XLOOKUP(Top_100_Universities[[#This Row],[University]],Table1[University],Table1[Av. Grant Aid],"NOT FOUND",0)</f>
        <v>12350</v>
      </c>
      <c r="H64" s="31">
        <f>_xlfn.XLOOKUP(Top_100_Universities[[#This Row],[University]],Table1[University],Table1[Av. Debt],"NOT FOUND",0)</f>
        <v>8481</v>
      </c>
      <c r="I64" s="31">
        <f>_xlfn.XLOOKUP(Top_100_Universities[[#This Row],[University]],Table1[University],Table1[Median 10-year Salary],"NOT FOUND",0)</f>
        <v>122300</v>
      </c>
      <c r="J64" s="41">
        <f>_xlfn.XLOOKUP(Top_100_Universities[[#This Row],[Town]],Cost_of_Living[City],Cost_of_Living[Cost of Living Index],"NA",0)</f>
        <v>89.2</v>
      </c>
      <c r="K64" s="63" cm="1">
        <f t="array" ref="K64">_xlfn.XLOOKUP(Top_100_Universities[[#This Row],[Town]], Cost_of_Living[[#All],[City]], Cost_of_Living[[#All],[Normalized Cost of Living]], "NA",0)</f>
        <v>0.81569343065693434</v>
      </c>
      <c r="L64" s="63" cm="1">
        <f t="array" ref="L64">_xlfn.XLOOKUP(Top_100_Universities[[#This Row],[State]], Crime_rate_Index[[#All],[State ]], Crime_rate_Index[[#All],[Normalized Crime Index]], "NA", 0)</f>
        <v>0.85055416517697535</v>
      </c>
      <c r="M64" s="63" cm="1">
        <f t="array" ref="M64">_xlfn.XLOOKUP(Top_100_Universities[[#This Row],[State]], Safest_States[[#All],[state]], Safest_States[[#All],[Normailzed Safety Score]], "NA", 0)</f>
        <v>0.76393001345895017</v>
      </c>
      <c r="N64" s="63">
        <f>0.4*Top_100_Universities[[#This Row],[Normalized Cost of Living Index]] + 0.3*Top_100_Universities[[#This Row],[Normalized Crime Rate Index]] + 0.3*Top_100_Universities[[#This Row],[Normalized Safety Score]]</f>
        <v>0.81062262585355138</v>
      </c>
    </row>
    <row r="65" spans="1:14">
      <c r="A65" s="2">
        <v>64</v>
      </c>
      <c r="B65" s="2" t="s">
        <v>103</v>
      </c>
      <c r="C65" s="2" t="s">
        <v>104</v>
      </c>
      <c r="D65" s="2" t="s">
        <v>760</v>
      </c>
      <c r="E65" s="10" t="s">
        <v>943</v>
      </c>
      <c r="F65" s="2" t="str">
        <f>_xlfn.XLOOKUP(Top_100_Universities[[#This Row],[University]],Table1[University],Table1[Type],"NOT FOUND",0)</f>
        <v>Public</v>
      </c>
      <c r="G65" s="31">
        <f>_xlfn.XLOOKUP(Top_100_Universities[[#This Row],[University]],Table1[University],Table1[Av. Grant Aid],"NOT FOUND",0)</f>
        <v>10760</v>
      </c>
      <c r="H65" s="31">
        <f>_xlfn.XLOOKUP(Top_100_Universities[[#This Row],[University]],Table1[University],Table1[Av. Debt],"NOT FOUND",0)</f>
        <v>8079</v>
      </c>
      <c r="I65" s="31">
        <f>_xlfn.XLOOKUP(Top_100_Universities[[#This Row],[University]],Table1[University],Table1[Median 10-year Salary],"NOT FOUND",0)</f>
        <v>128200</v>
      </c>
      <c r="J65" s="41">
        <f>_xlfn.XLOOKUP(Top_100_Universities[[#This Row],[Town]],Cost_of_Living[City],Cost_of_Living[Cost of Living Index],"NA",0)</f>
        <v>84.8</v>
      </c>
      <c r="K65" s="63" cm="1">
        <f t="array" ref="K65">_xlfn.XLOOKUP(Top_100_Universities[[#This Row],[Town]], Cost_of_Living[[#All],[City]], Cost_of_Living[[#All],[Normalized Cost of Living]], "NA",0)</f>
        <v>0.8558394160583942</v>
      </c>
      <c r="L65" s="63" cm="1">
        <f t="array" ref="L65">_xlfn.XLOOKUP(Top_100_Universities[[#This Row],[State]], Crime_rate_Index[[#All],[State ]], Crime_rate_Index[[#All],[Normalized Crime Index]], "NA", 0)</f>
        <v>0.93743296388988206</v>
      </c>
      <c r="M65" s="63" cm="1">
        <f t="array" ref="M65">_xlfn.XLOOKUP(Top_100_Universities[[#This Row],[State]], Safest_States[[#All],[state]], Safest_States[[#All],[Normailzed Safety Score]], "NA", 0)</f>
        <v>0.65545087483176301</v>
      </c>
      <c r="N65" s="63">
        <f>0.4*Top_100_Universities[[#This Row],[Normalized Cost of Living Index]] + 0.3*Top_100_Universities[[#This Row],[Normalized Crime Rate Index]] + 0.3*Top_100_Universities[[#This Row],[Normalized Safety Score]]</f>
        <v>0.82020091803985129</v>
      </c>
    </row>
    <row r="66" spans="1:14">
      <c r="A66" s="2">
        <v>65</v>
      </c>
      <c r="B66" s="2" t="s">
        <v>105</v>
      </c>
      <c r="C66" s="2" t="s">
        <v>527</v>
      </c>
      <c r="D66" s="2" t="s">
        <v>751</v>
      </c>
      <c r="E66" s="10" t="s">
        <v>910</v>
      </c>
      <c r="F66" s="2" t="str">
        <f>_xlfn.XLOOKUP(Top_100_Universities[[#This Row],[University]],Table1[University],Table1[Type],"NOT FOUND",0)</f>
        <v>Public</v>
      </c>
      <c r="G66" s="31">
        <f>_xlfn.XLOOKUP(Top_100_Universities[[#This Row],[University]],Table1[University],Table1[Av. Grant Aid],"NOT FOUND",0)</f>
        <v>11066</v>
      </c>
      <c r="H66" s="31">
        <f>_xlfn.XLOOKUP(Top_100_Universities[[#This Row],[University]],Table1[University],Table1[Av. Debt],"NOT FOUND",0)</f>
        <v>8261</v>
      </c>
      <c r="I66" s="31">
        <f>_xlfn.XLOOKUP(Top_100_Universities[[#This Row],[University]],Table1[University],Table1[Median 10-year Salary],"NOT FOUND",0)</f>
        <v>110100</v>
      </c>
      <c r="J66" s="41">
        <f>_xlfn.XLOOKUP(Top_100_Universities[[#This Row],[Town]],Cost_of_Living[City],Cost_of_Living[Cost of Living Index],"NA",0)</f>
        <v>101.4</v>
      </c>
      <c r="K66" s="63" cm="1">
        <f t="array" ref="K66">_xlfn.XLOOKUP(Top_100_Universities[[#This Row],[Town]], Cost_of_Living[[#All],[City]], Cost_of_Living[[#All],[Normalized Cost of Living]], "NA",0)</f>
        <v>0.70437956204379559</v>
      </c>
      <c r="L66" s="63" cm="1">
        <f t="array" ref="L66">_xlfn.XLOOKUP(Top_100_Universities[[#This Row],[State]], Crime_rate_Index[[#All],[State ]], Crime_rate_Index[[#All],[Normalized Crime Index]], "NA", 0)</f>
        <v>0.59063282087951374</v>
      </c>
      <c r="M66" s="63" cm="1">
        <f t="array" ref="M66">_xlfn.XLOOKUP(Top_100_Universities[[#This Row],[State]], Safest_States[[#All],[state]], Safest_States[[#All],[Normailzed Safety Score]], "NA", 0)</f>
        <v>0.21211305518169588</v>
      </c>
      <c r="N66" s="63">
        <f>0.4*Top_100_Universities[[#This Row],[Normalized Cost of Living Index]] + 0.3*Top_100_Universities[[#This Row],[Normalized Crime Rate Index]] + 0.3*Top_100_Universities[[#This Row],[Normalized Safety Score]]</f>
        <v>0.52257558763588119</v>
      </c>
    </row>
    <row r="67" spans="1:14">
      <c r="A67" s="2">
        <v>66</v>
      </c>
      <c r="B67" s="2" t="s">
        <v>106</v>
      </c>
      <c r="C67" s="2" t="s">
        <v>107</v>
      </c>
      <c r="D67" s="2" t="s">
        <v>71</v>
      </c>
      <c r="E67" s="10" t="s">
        <v>979</v>
      </c>
      <c r="F67" s="2" t="str">
        <f>_xlfn.XLOOKUP(Top_100_Universities[[#This Row],[University]],Table1[University],Table1[Type],"NOT FOUND",0)</f>
        <v>Public</v>
      </c>
      <c r="G67" s="31">
        <f>_xlfn.XLOOKUP(Top_100_Universities[[#This Row],[University]],Table1[University],Table1[Av. Grant Aid],"NOT FOUND",0)</f>
        <v>10689</v>
      </c>
      <c r="H67" s="31">
        <f>_xlfn.XLOOKUP(Top_100_Universities[[#This Row],[University]],Table1[University],Table1[Av. Debt],"NOT FOUND",0)</f>
        <v>6714</v>
      </c>
      <c r="I67" s="31">
        <f>_xlfn.XLOOKUP(Top_100_Universities[[#This Row],[University]],Table1[University],Table1[Median 10-year Salary],"NOT FOUND",0)</f>
        <v>124000</v>
      </c>
      <c r="J67" s="41">
        <f>_xlfn.XLOOKUP(Top_100_Universities[[#This Row],[Town]],Cost_of_Living[City],Cost_of_Living[Cost of Living Index],"NA",0)</f>
        <v>72.400000000000006</v>
      </c>
      <c r="K67" s="63" cm="1">
        <f t="array" ref="K67">_xlfn.XLOOKUP(Top_100_Universities[[#This Row],[Town]], Cost_of_Living[[#All],[City]], Cost_of_Living[[#All],[Normalized Cost of Living]], "NA",0)</f>
        <v>0.96897810218978098</v>
      </c>
      <c r="L67" s="63" cm="1">
        <f t="array" ref="L67">_xlfn.XLOOKUP(Top_100_Universities[[#This Row],[State]], Crime_rate_Index[[#All],[State ]], Crime_rate_Index[[#All],[Normalized Crime Index]], "NA", 0)</f>
        <v>0.67643904183053272</v>
      </c>
      <c r="M67" s="63" cm="1">
        <f t="array" ref="M67">_xlfn.XLOOKUP(Top_100_Universities[[#This Row],[State]], Safest_States[[#All],[state]], Safest_States[[#All],[Normailzed Safety Score]], "NA", 0)</f>
        <v>0.74831763122476425</v>
      </c>
      <c r="N67" s="63">
        <f>0.4*Top_100_Universities[[#This Row],[Normalized Cost of Living Index]] + 0.3*Top_100_Universities[[#This Row],[Normalized Crime Rate Index]] + 0.3*Top_100_Universities[[#This Row],[Normalized Safety Score]]</f>
        <v>0.81501824279250146</v>
      </c>
    </row>
    <row r="68" spans="1:14">
      <c r="A68" s="2">
        <v>67</v>
      </c>
      <c r="B68" s="2" t="s">
        <v>108</v>
      </c>
      <c r="C68" s="2" t="s">
        <v>446</v>
      </c>
      <c r="D68" s="2" t="s">
        <v>751</v>
      </c>
      <c r="E68" s="10" t="s">
        <v>910</v>
      </c>
      <c r="F68" s="2" t="str">
        <f>_xlfn.XLOOKUP(Top_100_Universities[[#This Row],[University]],Table1[University],Table1[Type],"NOT FOUND",0)</f>
        <v>Public</v>
      </c>
      <c r="G68" s="31">
        <f>_xlfn.XLOOKUP(Top_100_Universities[[#This Row],[University]],Table1[University],Table1[Av. Grant Aid],"NOT FOUND",0)</f>
        <v>10169</v>
      </c>
      <c r="H68" s="31">
        <f>_xlfn.XLOOKUP(Top_100_Universities[[#This Row],[University]],Table1[University],Table1[Av. Debt],"NOT FOUND",0)</f>
        <v>6953</v>
      </c>
      <c r="I68" s="31">
        <f>_xlfn.XLOOKUP(Top_100_Universities[[#This Row],[University]],Table1[University],Table1[Median 10-year Salary],"NOT FOUND",0)</f>
        <v>111900</v>
      </c>
      <c r="J68" s="41">
        <f>_xlfn.XLOOKUP(Top_100_Universities[[#This Row],[Town]],Cost_of_Living[City],Cost_of_Living[Cost of Living Index],"NA",0)</f>
        <v>96.4</v>
      </c>
      <c r="K68" s="63" cm="1">
        <f t="array" ref="K68">_xlfn.XLOOKUP(Top_100_Universities[[#This Row],[Town]], Cost_of_Living[[#All],[City]], Cost_of_Living[[#All],[Normalized Cost of Living]], "NA",0)</f>
        <v>0.75</v>
      </c>
      <c r="L68" s="63" cm="1">
        <f t="array" ref="L68">_xlfn.XLOOKUP(Top_100_Universities[[#This Row],[State]], Crime_rate_Index[[#All],[State ]], Crime_rate_Index[[#All],[Normalized Crime Index]], "NA", 0)</f>
        <v>0.59063282087951374</v>
      </c>
      <c r="M68" s="63" cm="1">
        <f t="array" ref="M68">_xlfn.XLOOKUP(Top_100_Universities[[#This Row],[State]], Safest_States[[#All],[state]], Safest_States[[#All],[Normailzed Safety Score]], "NA", 0)</f>
        <v>0.21211305518169588</v>
      </c>
      <c r="N68" s="63">
        <f>0.4*Top_100_Universities[[#This Row],[Normalized Cost of Living Index]] + 0.3*Top_100_Universities[[#This Row],[Normalized Crime Rate Index]] + 0.3*Top_100_Universities[[#This Row],[Normalized Safety Score]]</f>
        <v>0.54082376281836297</v>
      </c>
    </row>
    <row r="69" spans="1:14">
      <c r="A69" s="2">
        <v>68</v>
      </c>
      <c r="B69" s="2" t="s">
        <v>109</v>
      </c>
      <c r="C69" s="2" t="s">
        <v>110</v>
      </c>
      <c r="D69" s="2" t="s">
        <v>771</v>
      </c>
      <c r="E69" s="10" t="s">
        <v>872</v>
      </c>
      <c r="F69" s="2" t="str">
        <f>_xlfn.XLOOKUP(Top_100_Universities[[#This Row],[University]],Table1[University],Table1[Type],"NOT FOUND",0)</f>
        <v>Private not-for-profit</v>
      </c>
      <c r="G69" s="31">
        <f>_xlfn.XLOOKUP(Top_100_Universities[[#This Row],[University]],Table1[University],Table1[Av. Grant Aid],"NOT FOUND",0)</f>
        <v>53932</v>
      </c>
      <c r="H69" s="31">
        <f>_xlfn.XLOOKUP(Top_100_Universities[[#This Row],[University]],Table1[University],Table1[Av. Debt],"NOT FOUND",0)</f>
        <v>8872</v>
      </c>
      <c r="I69" s="31">
        <f>_xlfn.XLOOKUP(Top_100_Universities[[#This Row],[University]],Table1[University],Table1[Median 10-year Salary],"NOT FOUND",0)</f>
        <v>148000</v>
      </c>
      <c r="J69" s="41">
        <f>_xlfn.XLOOKUP(Top_100_Universities[[#This Row],[Town]],Cost_of_Living[City],Cost_of_Living[Cost of Living Index],"NA",0)</f>
        <v>100.1</v>
      </c>
      <c r="K69" s="63" cm="1">
        <f t="array" ref="K69">_xlfn.XLOOKUP(Top_100_Universities[[#This Row],[Town]], Cost_of_Living[[#All],[City]], Cost_of_Living[[#All],[Normalized Cost of Living]], "NA",0)</f>
        <v>0.71624087591240881</v>
      </c>
      <c r="L69" s="63" cm="1">
        <f t="array" ref="L69">_xlfn.XLOOKUP(Top_100_Universities[[#This Row],[State]], Crime_rate_Index[[#All],[State ]], Crime_rate_Index[[#All],[Normalized Crime Index]], "NA", 0)</f>
        <v>0.55523775473721848</v>
      </c>
      <c r="M69" s="63" cm="1">
        <f t="array" ref="M69">_xlfn.XLOOKUP(Top_100_Universities[[#This Row],[State]], Safest_States[[#All],[state]], Safest_States[[#All],[Normailzed Safety Score]], "NA", 0)</f>
        <v>0.26110363391655456</v>
      </c>
      <c r="N69" s="63">
        <f>0.4*Top_100_Universities[[#This Row],[Normalized Cost of Living Index]] + 0.3*Top_100_Universities[[#This Row],[Normalized Crime Rate Index]] + 0.3*Top_100_Universities[[#This Row],[Normalized Safety Score]]</f>
        <v>0.53139876696109534</v>
      </c>
    </row>
    <row r="70" spans="1:14">
      <c r="A70" s="2">
        <v>69</v>
      </c>
      <c r="B70" s="2" t="s">
        <v>111</v>
      </c>
      <c r="C70" s="2" t="s">
        <v>112</v>
      </c>
      <c r="D70" s="2" t="s">
        <v>740</v>
      </c>
      <c r="E70" s="10" t="s">
        <v>840</v>
      </c>
      <c r="F70" s="2" t="str">
        <f>_xlfn.XLOOKUP(Top_100_Universities[[#This Row],[University]],Table1[University],Table1[Type],"NOT FOUND",0)</f>
        <v>Private not-for-profit</v>
      </c>
      <c r="G70" s="31">
        <f>_xlfn.XLOOKUP(Top_100_Universities[[#This Row],[University]],Table1[University],Table1[Av. Grant Aid],"NOT FOUND",0)</f>
        <v>34737</v>
      </c>
      <c r="H70" s="31">
        <f>_xlfn.XLOOKUP(Top_100_Universities[[#This Row],[University]],Table1[University],Table1[Av. Debt],"NOT FOUND",0)</f>
        <v>10986</v>
      </c>
      <c r="I70" s="31">
        <f>_xlfn.XLOOKUP(Top_100_Universities[[#This Row],[University]],Table1[University],Table1[Median 10-year Salary],"NOT FOUND",0)</f>
        <v>130100</v>
      </c>
      <c r="J70" s="41">
        <f>_xlfn.XLOOKUP(Top_100_Universities[[#This Row],[Town]],Cost_of_Living[City],Cost_of_Living[Cost of Living Index],"NA",0)</f>
        <v>95.1</v>
      </c>
      <c r="K70" s="63" cm="1">
        <f t="array" ref="K70">_xlfn.XLOOKUP(Top_100_Universities[[#This Row],[Town]], Cost_of_Living[[#All],[City]], Cost_of_Living[[#All],[Normalized Cost of Living]], "NA",0)</f>
        <v>0.76186131386861322</v>
      </c>
      <c r="L70" s="63" cm="1">
        <f t="array" ref="L70">_xlfn.XLOOKUP(Top_100_Universities[[#This Row],[State]], Crime_rate_Index[[#All],[State ]], Crime_rate_Index[[#All],[Normalized Crime Index]], "NA", 0)</f>
        <v>0.91276367536646408</v>
      </c>
      <c r="M70" s="63" cm="1">
        <f t="array" ref="M70">_xlfn.XLOOKUP(Top_100_Universities[[#This Row],[State]], Safest_States[[#All],[state]], Safest_States[[#All],[Normailzed Safety Score]], "NA", 0)</f>
        <v>0.54589502018842528</v>
      </c>
      <c r="N70" s="63">
        <f>0.4*Top_100_Universities[[#This Row],[Normalized Cost of Living Index]] + 0.3*Top_100_Universities[[#This Row],[Normalized Crime Rate Index]] + 0.3*Top_100_Universities[[#This Row],[Normalized Safety Score]]</f>
        <v>0.74234213421391215</v>
      </c>
    </row>
    <row r="71" spans="1:14">
      <c r="A71" s="2">
        <v>70</v>
      </c>
      <c r="B71" s="2" t="s">
        <v>113</v>
      </c>
      <c r="C71" s="2" t="s">
        <v>721</v>
      </c>
      <c r="D71" s="2" t="s">
        <v>766</v>
      </c>
      <c r="E71" s="10" t="s">
        <v>1236</v>
      </c>
      <c r="F71" s="2" t="str">
        <f>_xlfn.XLOOKUP(Top_100_Universities[[#This Row],[University]],Table1[University],Table1[Type],"NOT FOUND",0)</f>
        <v>Public</v>
      </c>
      <c r="G71" s="31">
        <f>_xlfn.XLOOKUP(Top_100_Universities[[#This Row],[University]],Table1[University],Table1[Av. Grant Aid],"NOT FOUND",0)</f>
        <v>9767</v>
      </c>
      <c r="H71" s="31">
        <f>_xlfn.XLOOKUP(Top_100_Universities[[#This Row],[University]],Table1[University],Table1[Av. Debt],"NOT FOUND",0)</f>
        <v>7821</v>
      </c>
      <c r="I71" s="31">
        <f>_xlfn.XLOOKUP(Top_100_Universities[[#This Row],[University]],Table1[University],Table1[Median 10-year Salary],"NOT FOUND",0)</f>
        <v>119500</v>
      </c>
      <c r="J71" s="41">
        <f>_xlfn.XLOOKUP(Top_100_Universities[[#This Row],[Town]],Cost_of_Living[City],Cost_of_Living[Cost of Living Index],"NA",0)</f>
        <v>108.4</v>
      </c>
      <c r="K71" s="63" cm="1">
        <f t="array" ref="K71">_xlfn.XLOOKUP(Top_100_Universities[[#This Row],[Town]], Cost_of_Living[[#All],[City]], Cost_of_Living[[#All],[Normalized Cost of Living]], "NA",0)</f>
        <v>0.6405109489051094</v>
      </c>
      <c r="L71" s="63" cm="1">
        <f t="array" ref="L71">_xlfn.XLOOKUP(Top_100_Universities[[#This Row],[State]], Crime_rate_Index[[#All],[State ]], Crime_rate_Index[[#All],[Normalized Crime Index]], "NA", 0)</f>
        <v>0.80443332141580259</v>
      </c>
      <c r="M71" s="63" cm="1">
        <f t="array" ref="M71">_xlfn.XLOOKUP(Top_100_Universities[[#This Row],[State]], Safest_States[[#All],[state]], Safest_States[[#All],[Normailzed Safety Score]], "NA", 0)</f>
        <v>0.64172274562584097</v>
      </c>
      <c r="N71" s="63">
        <f>0.4*Top_100_Universities[[#This Row],[Normalized Cost of Living Index]] + 0.3*Top_100_Universities[[#This Row],[Normalized Crime Rate Index]] + 0.3*Top_100_Universities[[#This Row],[Normalized Safety Score]]</f>
        <v>0.69005119967453676</v>
      </c>
    </row>
    <row r="72" spans="1:14">
      <c r="A72" s="2">
        <v>71</v>
      </c>
      <c r="B72" s="2" t="s">
        <v>114</v>
      </c>
      <c r="C72" s="2" t="s">
        <v>85</v>
      </c>
      <c r="D72" s="2" t="s">
        <v>767</v>
      </c>
      <c r="E72" s="10" t="s">
        <v>939</v>
      </c>
      <c r="F72" s="2" t="str">
        <f>_xlfn.XLOOKUP(Top_100_Universities[[#This Row],[University]],Table1[University],Table1[Type],"NOT FOUND",0)</f>
        <v>Private not-for-profit</v>
      </c>
      <c r="G72" s="31">
        <f>_xlfn.XLOOKUP(Top_100_Universities[[#This Row],[University]],Table1[University],Table1[Av. Grant Aid],"NOT FOUND",0)</f>
        <v>48914</v>
      </c>
      <c r="H72" s="31">
        <f>_xlfn.XLOOKUP(Top_100_Universities[[#This Row],[University]],Table1[University],Table1[Av. Debt],"NOT FOUND",0)</f>
        <v>7280</v>
      </c>
      <c r="I72" s="31">
        <f>_xlfn.XLOOKUP(Top_100_Universities[[#This Row],[University]],Table1[University],Table1[Median 10-year Salary],"NOT FOUND",0)</f>
        <v>138600</v>
      </c>
      <c r="J72" s="41">
        <f>_xlfn.XLOOKUP(Top_100_Universities[[#This Row],[Town]],Cost_of_Living[City],Cost_of_Living[Cost of Living Index],"NA",0)</f>
        <v>100.3</v>
      </c>
      <c r="K72" s="63" cm="1">
        <f t="array" ref="K72">_xlfn.XLOOKUP(Top_100_Universities[[#This Row],[Town]], Cost_of_Living[[#All],[City]], Cost_of_Living[[#All],[Normalized Cost of Living]], "NA",0)</f>
        <v>0.71441605839416056</v>
      </c>
      <c r="L72" s="63" cm="1">
        <f t="array" ref="L72">_xlfn.XLOOKUP(Top_100_Universities[[#This Row],[State]], Crime_rate_Index[[#All],[State ]], Crime_rate_Index[[#All],[Normalized Crime Index]], "NA", 0)</f>
        <v>0.65641759027529489</v>
      </c>
      <c r="M72" s="63" cm="1">
        <f t="array" ref="M72">_xlfn.XLOOKUP(Top_100_Universities[[#This Row],[State]], Safest_States[[#All],[state]], Safest_States[[#All],[Normailzed Safety Score]], "NA", 0)</f>
        <v>0.36689098250336477</v>
      </c>
      <c r="N72" s="63">
        <f>0.4*Top_100_Universities[[#This Row],[Normalized Cost of Living Index]] + 0.3*Top_100_Universities[[#This Row],[Normalized Crime Rate Index]] + 0.3*Top_100_Universities[[#This Row],[Normalized Safety Score]]</f>
        <v>0.59275899519126207</v>
      </c>
    </row>
    <row r="73" spans="1:14">
      <c r="A73" s="2">
        <v>72</v>
      </c>
      <c r="B73" s="2" t="s">
        <v>115</v>
      </c>
      <c r="C73" s="2" t="s">
        <v>772</v>
      </c>
      <c r="D73" s="2" t="s">
        <v>666</v>
      </c>
      <c r="E73" s="10" t="s">
        <v>822</v>
      </c>
      <c r="F73" s="2" t="str">
        <f>_xlfn.XLOOKUP(Top_100_Universities[[#This Row],[University]],Table1[University],Table1[Type],"NOT FOUND",0)</f>
        <v>Public</v>
      </c>
      <c r="G73" s="31">
        <f>_xlfn.XLOOKUP(Top_100_Universities[[#This Row],[University]],Table1[University],Table1[Av. Grant Aid],"NOT FOUND",0)</f>
        <v>21202</v>
      </c>
      <c r="H73" s="31">
        <f>_xlfn.XLOOKUP(Top_100_Universities[[#This Row],[University]],Table1[University],Table1[Av. Debt],"NOT FOUND",0)</f>
        <v>6519</v>
      </c>
      <c r="I73" s="31">
        <f>_xlfn.XLOOKUP(Top_100_Universities[[#This Row],[University]],Table1[University],Table1[Median 10-year Salary],"NOT FOUND",0)</f>
        <v>132000</v>
      </c>
      <c r="J73" s="41">
        <f>_xlfn.XLOOKUP(Top_100_Universities[[#This Row],[Town]],Cost_of_Living[City],Cost_of_Living[Cost of Living Index],"NA",0)</f>
        <v>163.9</v>
      </c>
      <c r="K73" s="63" cm="1">
        <f t="array" ref="K73">_xlfn.XLOOKUP(Top_100_Universities[[#This Row],[Town]], Cost_of_Living[[#All],[City]], Cost_of_Living[[#All],[Normalized Cost of Living]], "NA",0)</f>
        <v>0.13412408759124073</v>
      </c>
      <c r="L73" s="63" cm="1">
        <f t="array" ref="L73">_xlfn.XLOOKUP(Top_100_Universities[[#This Row],[State]], Crime_rate_Index[[#All],[State ]], Crime_rate_Index[[#All],[Normalized Crime Index]], "NA", 0)</f>
        <v>0.73149803360743659</v>
      </c>
      <c r="M73" s="63" cm="1">
        <f t="array" ref="M73">_xlfn.XLOOKUP(Top_100_Universities[[#This Row],[State]], Safest_States[[#All],[state]], Safest_States[[#All],[Normailzed Safety Score]], "NA", 0)</f>
        <v>0.46567967698519502</v>
      </c>
      <c r="N73" s="63">
        <f>0.4*Top_100_Universities[[#This Row],[Normalized Cost of Living Index]] + 0.3*Top_100_Universities[[#This Row],[Normalized Crime Rate Index]] + 0.3*Top_100_Universities[[#This Row],[Normalized Safety Score]]</f>
        <v>0.41280294821428576</v>
      </c>
    </row>
    <row r="74" spans="1:14">
      <c r="A74" s="2">
        <v>73</v>
      </c>
      <c r="B74" s="2" t="s">
        <v>116</v>
      </c>
      <c r="C74" s="2" t="s">
        <v>117</v>
      </c>
      <c r="D74" s="2" t="s">
        <v>416</v>
      </c>
      <c r="E74" s="10" t="s">
        <v>971</v>
      </c>
      <c r="F74" s="2" t="str">
        <f>_xlfn.XLOOKUP(Top_100_Universities[[#This Row],[University]],Table1[University],Table1[Type],"NOT FOUND",0)</f>
        <v>Private not-for-profit</v>
      </c>
      <c r="G74" s="31">
        <f>_xlfn.XLOOKUP(Top_100_Universities[[#This Row],[University]],Table1[University],Table1[Av. Grant Aid],"NOT FOUND",0)</f>
        <v>49859</v>
      </c>
      <c r="H74" s="31">
        <f>_xlfn.XLOOKUP(Top_100_Universities[[#This Row],[University]],Table1[University],Table1[Av. Debt],"NOT FOUND",0)</f>
        <v>7390</v>
      </c>
      <c r="I74" s="31">
        <f>_xlfn.XLOOKUP(Top_100_Universities[[#This Row],[University]],Table1[University],Table1[Median 10-year Salary],"NOT FOUND",0)</f>
        <v>160200</v>
      </c>
      <c r="J74" s="41">
        <f>_xlfn.XLOOKUP(Top_100_Universities[[#This Row],[Town]],Cost_of_Living[City],Cost_of_Living[Cost of Living Index],"NA",0)</f>
        <v>71.3</v>
      </c>
      <c r="K74" s="63" cm="1">
        <f t="array" ref="K74">_xlfn.XLOOKUP(Top_100_Universities[[#This Row],[Town]], Cost_of_Living[[#All],[City]], Cost_of_Living[[#All],[Normalized Cost of Living]], "NA",0)</f>
        <v>0.97901459854014605</v>
      </c>
      <c r="L74" s="63" cm="1">
        <f t="array" ref="L74">_xlfn.XLOOKUP(Top_100_Universities[[#This Row],[State]], Crime_rate_Index[[#All],[State ]], Crime_rate_Index[[#All],[Normalized Crime Index]], "NA", 0)</f>
        <v>0.76796567751161959</v>
      </c>
      <c r="M74" s="63" cm="1">
        <f t="array" ref="M74">_xlfn.XLOOKUP(Top_100_Universities[[#This Row],[State]], Safest_States[[#All],[state]], Safest_States[[#All],[Normailzed Safety Score]], "NA", 0)</f>
        <v>0.57442799461641969</v>
      </c>
      <c r="N74" s="63">
        <f>0.4*Top_100_Universities[[#This Row],[Normalized Cost of Living Index]] + 0.3*Top_100_Universities[[#This Row],[Normalized Crime Rate Index]] + 0.3*Top_100_Universities[[#This Row],[Normalized Safety Score]]</f>
        <v>0.79432394105447013</v>
      </c>
    </row>
    <row r="75" spans="1:14">
      <c r="A75" s="2">
        <v>74</v>
      </c>
      <c r="B75" s="2" t="s">
        <v>118</v>
      </c>
      <c r="C75" s="2" t="s">
        <v>119</v>
      </c>
      <c r="D75" s="2" t="s">
        <v>773</v>
      </c>
      <c r="E75" s="10" t="s">
        <v>876</v>
      </c>
      <c r="F75" s="2" t="str">
        <f>_xlfn.XLOOKUP(Top_100_Universities[[#This Row],[University]],Table1[University],Table1[Type],"NOT FOUND",0)</f>
        <v>Private not-for-profit</v>
      </c>
      <c r="G75" s="31">
        <f>_xlfn.XLOOKUP(Top_100_Universities[[#This Row],[University]],Table1[University],Table1[Av. Grant Aid],"NOT FOUND",0)</f>
        <v>62293</v>
      </c>
      <c r="H75" s="31">
        <f>_xlfn.XLOOKUP(Top_100_Universities[[#This Row],[University]],Table1[University],Table1[Av. Debt],"NOT FOUND",0)</f>
        <v>6404</v>
      </c>
      <c r="I75" s="31">
        <f>_xlfn.XLOOKUP(Top_100_Universities[[#This Row],[University]],Table1[University],Table1[Median 10-year Salary],"NOT FOUND",0)</f>
        <v>173300</v>
      </c>
      <c r="J75" s="41">
        <f>_xlfn.XLOOKUP(Top_100_Universities[[#This Row],[Town]],Cost_of_Living[City],Cost_of_Living[Cost of Living Index],"NA",0)</f>
        <v>70.400000000000006</v>
      </c>
      <c r="K75" s="63" cm="1">
        <f t="array" ref="K75">_xlfn.XLOOKUP(Top_100_Universities[[#This Row],[Town]], Cost_of_Living[[#All],[City]], Cost_of_Living[[#All],[Normalized Cost of Living]], "NA",0)</f>
        <v>0.98722627737226276</v>
      </c>
      <c r="L75" s="63" cm="1">
        <f t="array" ref="L75">_xlfn.XLOOKUP(Top_100_Universities[[#This Row],[State]], Crime_rate_Index[[#All],[State ]], Crime_rate_Index[[#All],[Normalized Crime Index]], "NA", 0)</f>
        <v>0.99785484447622452</v>
      </c>
      <c r="M75" s="63" cm="1">
        <f t="array" ref="M75">_xlfn.XLOOKUP(Top_100_Universities[[#This Row],[State]], Safest_States[[#All],[state]], Safest_States[[#All],[Normailzed Safety Score]], "NA", 0)</f>
        <v>0.87079407806191111</v>
      </c>
      <c r="N75" s="63">
        <f>0.4*Top_100_Universities[[#This Row],[Normalized Cost of Living Index]] + 0.3*Top_100_Universities[[#This Row],[Normalized Crime Rate Index]] + 0.3*Top_100_Universities[[#This Row],[Normalized Safety Score]]</f>
        <v>0.95548518771034585</v>
      </c>
    </row>
    <row r="76" spans="1:14">
      <c r="A76" s="2">
        <v>75</v>
      </c>
      <c r="B76" s="2" t="s">
        <v>120</v>
      </c>
      <c r="C76" s="2" t="s">
        <v>774</v>
      </c>
      <c r="D76" s="2" t="s">
        <v>742</v>
      </c>
      <c r="E76" s="10" t="s">
        <v>831</v>
      </c>
      <c r="F76" s="2" t="str">
        <f>_xlfn.XLOOKUP(Top_100_Universities[[#This Row],[University]],Table1[University],Table1[Type],"NOT FOUND",0)</f>
        <v>Public</v>
      </c>
      <c r="G76" s="31">
        <f>_xlfn.XLOOKUP(Top_100_Universities[[#This Row],[University]],Table1[University],Table1[Av. Grant Aid],"NOT FOUND",0)</f>
        <v>14678</v>
      </c>
      <c r="H76" s="31">
        <f>_xlfn.XLOOKUP(Top_100_Universities[[#This Row],[University]],Table1[University],Table1[Av. Debt],"NOT FOUND",0)</f>
        <v>8108</v>
      </c>
      <c r="I76" s="31">
        <f>_xlfn.XLOOKUP(Top_100_Universities[[#This Row],[University]],Table1[University],Table1[Median 10-year Salary],"NOT FOUND",0)</f>
        <v>126000</v>
      </c>
      <c r="J76" s="41">
        <f>_xlfn.XLOOKUP(Top_100_Universities[[#This Row],[Town]],Cost_of_Living[City],Cost_of_Living[Cost of Living Index],"NA",0)</f>
        <v>89.2</v>
      </c>
      <c r="K76" s="63" cm="1">
        <f t="array" ref="K76">_xlfn.XLOOKUP(Top_100_Universities[[#This Row],[Town]], Cost_of_Living[[#All],[City]], Cost_of_Living[[#All],[Normalized Cost of Living]], "NA",0)</f>
        <v>0.81569343065693434</v>
      </c>
      <c r="L76" s="63" cm="1">
        <f t="array" ref="L76">_xlfn.XLOOKUP(Top_100_Universities[[#This Row],[State]], Crime_rate_Index[[#All],[State ]], Crime_rate_Index[[#All],[Normalized Crime Index]], "NA", 0)</f>
        <v>0.92098677154093678</v>
      </c>
      <c r="M76" s="63" cm="1">
        <f t="array" ref="M76">_xlfn.XLOOKUP(Top_100_Universities[[#This Row],[State]], Safest_States[[#All],[state]], Safest_States[[#All],[Normailzed Safety Score]], "NA", 0)</f>
        <v>0.7601615074024225</v>
      </c>
      <c r="N76" s="63">
        <f>0.4*Top_100_Universities[[#This Row],[Normalized Cost of Living Index]] + 0.3*Top_100_Universities[[#This Row],[Normalized Crime Rate Index]] + 0.3*Top_100_Universities[[#This Row],[Normalized Safety Score]]</f>
        <v>0.83062185594578142</v>
      </c>
    </row>
    <row r="77" spans="1:14">
      <c r="A77" s="2">
        <v>76</v>
      </c>
      <c r="B77" s="2" t="s">
        <v>121</v>
      </c>
      <c r="C77" s="2" t="s">
        <v>122</v>
      </c>
      <c r="D77" s="2" t="s">
        <v>745</v>
      </c>
      <c r="E77" s="10" t="s">
        <v>851</v>
      </c>
      <c r="F77" s="2" t="str">
        <f>_xlfn.XLOOKUP(Top_100_Universities[[#This Row],[University]],Table1[University],Table1[Type],"NOT FOUND",0)</f>
        <v>Public</v>
      </c>
      <c r="G77" s="31">
        <f>_xlfn.XLOOKUP(Top_100_Universities[[#This Row],[University]],Table1[University],Table1[Av. Grant Aid],"NOT FOUND",0)</f>
        <v>11457</v>
      </c>
      <c r="H77" s="31">
        <f>_xlfn.XLOOKUP(Top_100_Universities[[#This Row],[University]],Table1[University],Table1[Av. Debt],"NOT FOUND",0)</f>
        <v>6375</v>
      </c>
      <c r="I77" s="31">
        <f>_xlfn.XLOOKUP(Top_100_Universities[[#This Row],[University]],Table1[University],Table1[Median 10-year Salary],"NOT FOUND",0)</f>
        <v>123300</v>
      </c>
      <c r="J77" s="41">
        <f>_xlfn.XLOOKUP(Top_100_Universities[[#This Row],[Town]],Cost_of_Living[City],Cost_of_Living[Cost of Living Index],"NA",0)</f>
        <v>95.8</v>
      </c>
      <c r="K77" s="63" cm="1">
        <f t="array" ref="K77">_xlfn.XLOOKUP(Top_100_Universities[[#This Row],[Town]], Cost_of_Living[[#All],[City]], Cost_of_Living[[#All],[Normalized Cost of Living]], "NA",0)</f>
        <v>0.75547445255474455</v>
      </c>
      <c r="L77" s="63" cm="1">
        <f t="array" ref="L77">_xlfn.XLOOKUP(Top_100_Universities[[#This Row],[State]], Crime_rate_Index[[#All],[State ]], Crime_rate_Index[[#All],[Normalized Crime Index]], "NA", 0)</f>
        <v>0.63818376832320345</v>
      </c>
      <c r="M77" s="63" cm="1">
        <f t="array" ref="M77">_xlfn.XLOOKUP(Top_100_Universities[[#This Row],[State]], Safest_States[[#All],[state]], Safest_States[[#All],[Normailzed Safety Score]], "NA", 0)</f>
        <v>0.13808882907133249</v>
      </c>
      <c r="N77" s="63">
        <f>0.4*Top_100_Universities[[#This Row],[Normalized Cost of Living Index]] + 0.3*Top_100_Universities[[#This Row],[Normalized Crime Rate Index]] + 0.3*Top_100_Universities[[#This Row],[Normalized Safety Score]]</f>
        <v>0.5350715602402587</v>
      </c>
    </row>
    <row r="78" spans="1:14">
      <c r="A78" s="2">
        <v>77</v>
      </c>
      <c r="B78" s="2" t="s">
        <v>123</v>
      </c>
      <c r="C78" s="2" t="s">
        <v>552</v>
      </c>
      <c r="D78" s="2" t="s">
        <v>740</v>
      </c>
      <c r="E78" s="10" t="s">
        <v>840</v>
      </c>
      <c r="F78" s="2" t="str">
        <f>_xlfn.XLOOKUP(Top_100_Universities[[#This Row],[University]],Table1[University],Table1[Type],"NOT FOUND",0)</f>
        <v>Public</v>
      </c>
      <c r="G78" s="31">
        <f>_xlfn.XLOOKUP(Top_100_Universities[[#This Row],[University]],Table1[University],Table1[Av. Grant Aid],"NOT FOUND",0)</f>
        <v>8521</v>
      </c>
      <c r="H78" s="31">
        <f>_xlfn.XLOOKUP(Top_100_Universities[[#This Row],[University]],Table1[University],Table1[Av. Debt],"NOT FOUND",0)</f>
        <v>7839</v>
      </c>
      <c r="I78" s="31">
        <f>_xlfn.XLOOKUP(Top_100_Universities[[#This Row],[University]],Table1[University],Table1[Median 10-year Salary],"NOT FOUND",0)</f>
        <v>114500</v>
      </c>
      <c r="J78" s="41">
        <f>_xlfn.XLOOKUP(Top_100_Universities[[#This Row],[Town]],Cost_of_Living[City],Cost_of_Living[Cost of Living Index],"NA",0)</f>
        <v>97.3</v>
      </c>
      <c r="K78" s="63" cm="1">
        <f t="array" ref="K78">_xlfn.XLOOKUP(Top_100_Universities[[#This Row],[Town]], Cost_of_Living[[#All],[City]], Cost_of_Living[[#All],[Normalized Cost of Living]], "NA",0)</f>
        <v>0.74178832116788329</v>
      </c>
      <c r="L78" s="63" cm="1">
        <f t="array" ref="L78">_xlfn.XLOOKUP(Top_100_Universities[[#This Row],[State]], Crime_rate_Index[[#All],[State ]], Crime_rate_Index[[#All],[Normalized Crime Index]], "NA", 0)</f>
        <v>0.91276367536646408</v>
      </c>
      <c r="M78" s="63" cm="1">
        <f t="array" ref="M78">_xlfn.XLOOKUP(Top_100_Universities[[#This Row],[State]], Safest_States[[#All],[state]], Safest_States[[#All],[Normailzed Safety Score]], "NA", 0)</f>
        <v>0.54589502018842528</v>
      </c>
      <c r="N78" s="63">
        <f>0.4*Top_100_Universities[[#This Row],[Normalized Cost of Living Index]] + 0.3*Top_100_Universities[[#This Row],[Normalized Crime Rate Index]] + 0.3*Top_100_Universities[[#This Row],[Normalized Safety Score]]</f>
        <v>0.73431293713362011</v>
      </c>
    </row>
    <row r="79" spans="1:14">
      <c r="A79" s="2">
        <v>78</v>
      </c>
      <c r="B79" s="2" t="s">
        <v>124</v>
      </c>
      <c r="C79" s="2" t="s">
        <v>125</v>
      </c>
      <c r="D79" s="2" t="s">
        <v>775</v>
      </c>
      <c r="E79" s="10" t="s">
        <v>1358</v>
      </c>
      <c r="F79" s="2" t="str">
        <f>_xlfn.XLOOKUP(Top_100_Universities[[#This Row],[University]],Table1[University],Table1[Type],"NOT FOUND",0)</f>
        <v>Public</v>
      </c>
      <c r="G79" s="31">
        <f>_xlfn.XLOOKUP(Top_100_Universities[[#This Row],[University]],Table1[University],Table1[Av. Grant Aid],"NOT FOUND",0)</f>
        <v>14114</v>
      </c>
      <c r="H79" s="31">
        <f>_xlfn.XLOOKUP(Top_100_Universities[[#This Row],[University]],Table1[University],Table1[Av. Debt],"NOT FOUND",0)</f>
        <v>8420</v>
      </c>
      <c r="I79" s="31">
        <f>_xlfn.XLOOKUP(Top_100_Universities[[#This Row],[University]],Table1[University],Table1[Median 10-year Salary],"NOT FOUND",0)</f>
        <v>111700</v>
      </c>
      <c r="J79" s="41">
        <f>_xlfn.XLOOKUP(Top_100_Universities[[#This Row],[Town]],Cost_of_Living[City],Cost_of_Living[Cost of Living Index],"NA",0)</f>
        <v>91.1</v>
      </c>
      <c r="K79" s="63" cm="1">
        <f t="array" ref="K79">_xlfn.XLOOKUP(Top_100_Universities[[#This Row],[Town]], Cost_of_Living[[#All],[City]], Cost_of_Living[[#All],[Normalized Cost of Living]], "NA",0)</f>
        <v>0.79835766423357668</v>
      </c>
      <c r="L79" s="63" cm="1">
        <f t="array" ref="L79">_xlfn.XLOOKUP(Top_100_Universities[[#This Row],[State]], Crime_rate_Index[[#All],[State ]], Crime_rate_Index[[#All],[Normalized Crime Index]], "NA", 0)</f>
        <v>0.87307829817661786</v>
      </c>
      <c r="M79" s="63" cm="1">
        <f t="array" ref="M79">_xlfn.XLOOKUP(Top_100_Universities[[#This Row],[State]], Safest_States[[#All],[state]], Safest_States[[#All],[Normailzed Safety Score]], "NA", 0)</f>
        <v>0.46002691790040362</v>
      </c>
      <c r="N79" s="63">
        <f>0.4*Top_100_Universities[[#This Row],[Normalized Cost of Living Index]] + 0.3*Top_100_Universities[[#This Row],[Normalized Crime Rate Index]] + 0.3*Top_100_Universities[[#This Row],[Normalized Safety Score]]</f>
        <v>0.71927463051653706</v>
      </c>
    </row>
    <row r="80" spans="1:14">
      <c r="A80" s="2">
        <v>79</v>
      </c>
      <c r="B80" s="2" t="s">
        <v>126</v>
      </c>
      <c r="C80" s="2" t="s">
        <v>25</v>
      </c>
      <c r="D80" s="2" t="s">
        <v>746</v>
      </c>
      <c r="E80" s="10" t="s">
        <v>858</v>
      </c>
      <c r="F80" s="2" t="str">
        <f>_xlfn.XLOOKUP(Top_100_Universities[[#This Row],[University]],Table1[University],Table1[Type],"NOT FOUND",0)</f>
        <v>Public</v>
      </c>
      <c r="G80" s="31">
        <f>_xlfn.XLOOKUP(Top_100_Universities[[#This Row],[University]],Table1[University],Table1[Av. Grant Aid],"NOT FOUND",0)</f>
        <v>13813</v>
      </c>
      <c r="H80" s="31">
        <f>_xlfn.XLOOKUP(Top_100_Universities[[#This Row],[University]],Table1[University],Table1[Av. Debt],"NOT FOUND",0)</f>
        <v>7514</v>
      </c>
      <c r="I80" s="31">
        <f>_xlfn.XLOOKUP(Top_100_Universities[[#This Row],[University]],Table1[University],Table1[Median 10-year Salary],"NOT FOUND",0)</f>
        <v>121600</v>
      </c>
      <c r="J80" s="41">
        <f>_xlfn.XLOOKUP(Top_100_Universities[[#This Row],[Town]],Cost_of_Living[City],Cost_of_Living[Cost of Living Index],"NA",0)</f>
        <v>100.1</v>
      </c>
      <c r="K80" s="63" cm="1">
        <f t="array" ref="K80">_xlfn.XLOOKUP(Top_100_Universities[[#This Row],[Town]], Cost_of_Living[[#All],[City]], Cost_of_Living[[#All],[Normalized Cost of Living]], "NA",0)</f>
        <v>0.71624087591240881</v>
      </c>
      <c r="L80" s="63" cm="1">
        <f t="array" ref="L80">_xlfn.XLOOKUP(Top_100_Universities[[#This Row],[State]], Crime_rate_Index[[#All],[State ]], Crime_rate_Index[[#All],[Normalized Crime Index]], "NA", 0)</f>
        <v>0.76188773686092248</v>
      </c>
      <c r="M80" s="63" cm="1">
        <f t="array" ref="M80">_xlfn.XLOOKUP(Top_100_Universities[[#This Row],[State]], Safest_States[[#All],[state]], Safest_States[[#All],[Normailzed Safety Score]], "NA", 0)</f>
        <v>0.43176312247644677</v>
      </c>
      <c r="N80" s="63">
        <f>0.4*Top_100_Universities[[#This Row],[Normalized Cost of Living Index]] + 0.3*Top_100_Universities[[#This Row],[Normalized Crime Rate Index]] + 0.3*Top_100_Universities[[#This Row],[Normalized Safety Score]]</f>
        <v>0.64459160816617422</v>
      </c>
    </row>
    <row r="81" spans="1:14">
      <c r="A81" s="2">
        <v>80</v>
      </c>
      <c r="B81" s="2" t="s">
        <v>127</v>
      </c>
      <c r="C81" s="2" t="s">
        <v>631</v>
      </c>
      <c r="D81" s="2" t="s">
        <v>666</v>
      </c>
      <c r="E81" s="10" t="s">
        <v>822</v>
      </c>
      <c r="F81" s="2" t="str">
        <f>_xlfn.XLOOKUP(Top_100_Universities[[#This Row],[University]],Table1[University],Table1[Type],"NOT FOUND",0)</f>
        <v>Public</v>
      </c>
      <c r="G81" s="31">
        <f>_xlfn.XLOOKUP(Top_100_Universities[[#This Row],[University]],Table1[University],Table1[Av. Grant Aid],"NOT FOUND",0)</f>
        <v>22042</v>
      </c>
      <c r="H81" s="31">
        <f>_xlfn.XLOOKUP(Top_100_Universities[[#This Row],[University]],Table1[University],Table1[Av. Debt],"NOT FOUND",0)</f>
        <v>5140</v>
      </c>
      <c r="I81" s="31">
        <f>_xlfn.XLOOKUP(Top_100_Universities[[#This Row],[University]],Table1[University],Table1[Median 10-year Salary],"NOT FOUND",0)</f>
        <v>128800</v>
      </c>
      <c r="J81" s="41">
        <f>_xlfn.XLOOKUP(Top_100_Universities[[#This Row],[Town]],Cost_of_Living[City],Cost_of_Living[Cost of Living Index],"NA",0)</f>
        <v>116.1</v>
      </c>
      <c r="K81" s="63" cm="1">
        <f t="array" ref="K81">_xlfn.XLOOKUP(Top_100_Universities[[#This Row],[Town]], Cost_of_Living[[#All],[City]], Cost_of_Living[[#All],[Normalized Cost of Living]], "NA",0)</f>
        <v>0.57025547445255476</v>
      </c>
      <c r="L81" s="63" cm="1">
        <f t="array" ref="L81">_xlfn.XLOOKUP(Top_100_Universities[[#This Row],[State]], Crime_rate_Index[[#All],[State ]], Crime_rate_Index[[#All],[Normalized Crime Index]], "NA", 0)</f>
        <v>0.73149803360743659</v>
      </c>
      <c r="M81" s="63" cm="1">
        <f t="array" ref="M81">_xlfn.XLOOKUP(Top_100_Universities[[#This Row],[State]], Safest_States[[#All],[state]], Safest_States[[#All],[Normailzed Safety Score]], "NA", 0)</f>
        <v>0.46567967698519502</v>
      </c>
      <c r="N81" s="63">
        <f>0.4*Top_100_Universities[[#This Row],[Normalized Cost of Living Index]] + 0.3*Top_100_Universities[[#This Row],[Normalized Crime Rate Index]] + 0.3*Top_100_Universities[[#This Row],[Normalized Safety Score]]</f>
        <v>0.58725550295881135</v>
      </c>
    </row>
    <row r="82" spans="1:14">
      <c r="A82" s="2">
        <v>81</v>
      </c>
      <c r="B82" s="2" t="s">
        <v>128</v>
      </c>
      <c r="C82" s="2" t="s">
        <v>122</v>
      </c>
      <c r="D82" s="2" t="s">
        <v>745</v>
      </c>
      <c r="E82" s="10" t="s">
        <v>851</v>
      </c>
      <c r="F82" s="2" t="str">
        <f>_xlfn.XLOOKUP(Top_100_Universities[[#This Row],[University]],Table1[University],Table1[Type],"NOT FOUND",0)</f>
        <v>Private not-for-profit</v>
      </c>
      <c r="G82" s="31">
        <f>_xlfn.XLOOKUP(Top_100_Universities[[#This Row],[University]],Table1[University],Table1[Av. Grant Aid],"NOT FOUND",0)</f>
        <v>51955</v>
      </c>
      <c r="H82" s="31">
        <f>_xlfn.XLOOKUP(Top_100_Universities[[#This Row],[University]],Table1[University],Table1[Av. Debt],"NOT FOUND",0)</f>
        <v>10818</v>
      </c>
      <c r="I82" s="31">
        <f>_xlfn.XLOOKUP(Top_100_Universities[[#This Row],[University]],Table1[University],Table1[Median 10-year Salary],"NOT FOUND",0)</f>
        <v>152100</v>
      </c>
      <c r="J82" s="41">
        <f>_xlfn.XLOOKUP(Top_100_Universities[[#This Row],[Town]],Cost_of_Living[City],Cost_of_Living[Cost of Living Index],"NA",0)</f>
        <v>95.8</v>
      </c>
      <c r="K82" s="63" cm="1">
        <f t="array" ref="K82">_xlfn.XLOOKUP(Top_100_Universities[[#This Row],[Town]], Cost_of_Living[[#All],[City]], Cost_of_Living[[#All],[Normalized Cost of Living]], "NA",0)</f>
        <v>0.75547445255474455</v>
      </c>
      <c r="L82" s="63" cm="1">
        <f t="array" ref="L82">_xlfn.XLOOKUP(Top_100_Universities[[#This Row],[State]], Crime_rate_Index[[#All],[State ]], Crime_rate_Index[[#All],[Normalized Crime Index]], "NA", 0)</f>
        <v>0.63818376832320345</v>
      </c>
      <c r="M82" s="63" cm="1">
        <f t="array" ref="M82">_xlfn.XLOOKUP(Top_100_Universities[[#This Row],[State]], Safest_States[[#All],[state]], Safest_States[[#All],[Normailzed Safety Score]], "NA", 0)</f>
        <v>0.13808882907133249</v>
      </c>
      <c r="N82" s="63">
        <f>0.4*Top_100_Universities[[#This Row],[Normalized Cost of Living Index]] + 0.3*Top_100_Universities[[#This Row],[Normalized Crime Rate Index]] + 0.3*Top_100_Universities[[#This Row],[Normalized Safety Score]]</f>
        <v>0.5350715602402587</v>
      </c>
    </row>
    <row r="83" spans="1:14">
      <c r="A83" s="2">
        <v>82</v>
      </c>
      <c r="B83" s="2" t="s">
        <v>129</v>
      </c>
      <c r="C83" s="2" t="s">
        <v>433</v>
      </c>
      <c r="D83" s="2" t="s">
        <v>751</v>
      </c>
      <c r="E83" s="10" t="s">
        <v>910</v>
      </c>
      <c r="F83" s="2" t="str">
        <f>_xlfn.XLOOKUP(Top_100_Universities[[#This Row],[University]],Table1[University],Table1[Type],"NOT FOUND",0)</f>
        <v>Public</v>
      </c>
      <c r="G83" s="31">
        <f>_xlfn.XLOOKUP(Top_100_Universities[[#This Row],[University]],Table1[University],Table1[Av. Grant Aid],"NOT FOUND",0)</f>
        <v>9986</v>
      </c>
      <c r="H83" s="31">
        <f>_xlfn.XLOOKUP(Top_100_Universities[[#This Row],[University]],Table1[University],Table1[Av. Debt],"NOT FOUND",0)</f>
        <v>6526</v>
      </c>
      <c r="I83" s="31">
        <f>_xlfn.XLOOKUP(Top_100_Universities[[#This Row],[University]],Table1[University],Table1[Median 10-year Salary],"NOT FOUND",0)</f>
        <v>105500</v>
      </c>
      <c r="J83" s="41">
        <f>_xlfn.XLOOKUP(Top_100_Universities[[#This Row],[Town]],Cost_of_Living[City],Cost_of_Living[Cost of Living Index],"NA",0)</f>
        <v>101.4</v>
      </c>
      <c r="K83" s="63" cm="1">
        <f t="array" ref="K83">_xlfn.XLOOKUP(Top_100_Universities[[#This Row],[Town]], Cost_of_Living[[#All],[City]], Cost_of_Living[[#All],[Normalized Cost of Living]], "NA",0)</f>
        <v>0.70437956204379559</v>
      </c>
      <c r="L83" s="63" cm="1">
        <f t="array" ref="L83">_xlfn.XLOOKUP(Top_100_Universities[[#This Row],[State]], Crime_rate_Index[[#All],[State ]], Crime_rate_Index[[#All],[Normalized Crime Index]], "NA", 0)</f>
        <v>0.59063282087951374</v>
      </c>
      <c r="M83" s="63" cm="1">
        <f t="array" ref="M83">_xlfn.XLOOKUP(Top_100_Universities[[#This Row],[State]], Safest_States[[#All],[state]], Safest_States[[#All],[Normailzed Safety Score]], "NA", 0)</f>
        <v>0.21211305518169588</v>
      </c>
      <c r="N83" s="63">
        <f>0.4*Top_100_Universities[[#This Row],[Normalized Cost of Living Index]] + 0.3*Top_100_Universities[[#This Row],[Normalized Crime Rate Index]] + 0.3*Top_100_Universities[[#This Row],[Normalized Safety Score]]</f>
        <v>0.52257558763588119</v>
      </c>
    </row>
    <row r="84" spans="1:14">
      <c r="A84" s="2">
        <v>83</v>
      </c>
      <c r="B84" s="2" t="s">
        <v>130</v>
      </c>
      <c r="C84" s="2" t="s">
        <v>131</v>
      </c>
      <c r="D84" s="2" t="s">
        <v>763</v>
      </c>
      <c r="E84" s="10" t="s">
        <v>926</v>
      </c>
      <c r="F84" s="2" t="str">
        <f>_xlfn.XLOOKUP(Top_100_Universities[[#This Row],[University]],Table1[University],Table1[Type],"NOT FOUND",0)</f>
        <v>Public</v>
      </c>
      <c r="G84" s="31">
        <f>_xlfn.XLOOKUP(Top_100_Universities[[#This Row],[University]],Table1[University],Table1[Av. Grant Aid],"NOT FOUND",0)</f>
        <v>11545</v>
      </c>
      <c r="H84" s="31">
        <f>_xlfn.XLOOKUP(Top_100_Universities[[#This Row],[University]],Table1[University],Table1[Av. Debt],"NOT FOUND",0)</f>
        <v>9167</v>
      </c>
      <c r="I84" s="31">
        <f>_xlfn.XLOOKUP(Top_100_Universities[[#This Row],[University]],Table1[University],Table1[Median 10-year Salary],"NOT FOUND",0)</f>
        <v>119500</v>
      </c>
      <c r="J84" s="41">
        <f>_xlfn.XLOOKUP(Top_100_Universities[[#This Row],[Town]],Cost_of_Living[City],Cost_of_Living[Cost of Living Index],"NA",0)</f>
        <v>89.8</v>
      </c>
      <c r="K84" s="63" cm="1">
        <f t="array" ref="K84">_xlfn.XLOOKUP(Top_100_Universities[[#This Row],[Town]], Cost_of_Living[[#All],[City]], Cost_of_Living[[#All],[Normalized Cost of Living]], "NA",0)</f>
        <v>0.81021897810218979</v>
      </c>
      <c r="L84" s="63" cm="1">
        <f t="array" ref="L84">_xlfn.XLOOKUP(Top_100_Universities[[#This Row],[State]], Crime_rate_Index[[#All],[State ]], Crime_rate_Index[[#All],[Normalized Crime Index]], "NA", 0)</f>
        <v>0.67536646406864498</v>
      </c>
      <c r="M84" s="63" cm="1">
        <f t="array" ref="M84">_xlfn.XLOOKUP(Top_100_Universities[[#This Row],[State]], Safest_States[[#All],[state]], Safest_States[[#All],[Normailzed Safety Score]], "NA", 0)</f>
        <v>0.23176312247644679</v>
      </c>
      <c r="N84" s="63">
        <f>0.4*Top_100_Universities[[#This Row],[Normalized Cost of Living Index]] + 0.3*Top_100_Universities[[#This Row],[Normalized Crime Rate Index]] + 0.3*Top_100_Universities[[#This Row],[Normalized Safety Score]]</f>
        <v>0.59622646720440342</v>
      </c>
    </row>
    <row r="85" spans="1:14">
      <c r="A85" s="2">
        <v>84</v>
      </c>
      <c r="B85" s="2" t="s">
        <v>132</v>
      </c>
      <c r="C85" s="2" t="s">
        <v>85</v>
      </c>
      <c r="D85" s="2" t="s">
        <v>767</v>
      </c>
      <c r="E85" s="10" t="s">
        <v>939</v>
      </c>
      <c r="F85" s="2" t="str">
        <f>_xlfn.XLOOKUP(Top_100_Universities[[#This Row],[University]],Table1[University],Table1[Type],"NOT FOUND",0)</f>
        <v>Public</v>
      </c>
      <c r="G85" s="31">
        <f>_xlfn.XLOOKUP(Top_100_Universities[[#This Row],[University]],Table1[University],Table1[Av. Grant Aid],"NOT FOUND",0)</f>
        <v>11563</v>
      </c>
      <c r="H85" s="31">
        <f>_xlfn.XLOOKUP(Top_100_Universities[[#This Row],[University]],Table1[University],Table1[Av. Debt],"NOT FOUND",0)</f>
        <v>5857</v>
      </c>
      <c r="I85" s="31">
        <f>_xlfn.XLOOKUP(Top_100_Universities[[#This Row],[University]],Table1[University],Table1[Median 10-year Salary],"NOT FOUND",0)</f>
        <v>108800</v>
      </c>
      <c r="J85" s="41">
        <f>_xlfn.XLOOKUP(Top_100_Universities[[#This Row],[Town]],Cost_of_Living[City],Cost_of_Living[Cost of Living Index],"NA",0)</f>
        <v>100.3</v>
      </c>
      <c r="K85" s="63" cm="1">
        <f t="array" ref="K85">_xlfn.XLOOKUP(Top_100_Universities[[#This Row],[Town]], Cost_of_Living[[#All],[City]], Cost_of_Living[[#All],[Normalized Cost of Living]], "NA",0)</f>
        <v>0.71441605839416056</v>
      </c>
      <c r="L85" s="63" cm="1">
        <f t="array" ref="L85">_xlfn.XLOOKUP(Top_100_Universities[[#This Row],[State]], Crime_rate_Index[[#All],[State ]], Crime_rate_Index[[#All],[Normalized Crime Index]], "NA", 0)</f>
        <v>0.65641759027529489</v>
      </c>
      <c r="M85" s="63" cm="1">
        <f t="array" ref="M85">_xlfn.XLOOKUP(Top_100_Universities[[#This Row],[State]], Safest_States[[#All],[state]], Safest_States[[#All],[Normailzed Safety Score]], "NA", 0)</f>
        <v>0.36689098250336477</v>
      </c>
      <c r="N85" s="63">
        <f>0.4*Top_100_Universities[[#This Row],[Normalized Cost of Living Index]] + 0.3*Top_100_Universities[[#This Row],[Normalized Crime Rate Index]] + 0.3*Top_100_Universities[[#This Row],[Normalized Safety Score]]</f>
        <v>0.59275899519126207</v>
      </c>
    </row>
    <row r="86" spans="1:14">
      <c r="A86" s="2">
        <v>85</v>
      </c>
      <c r="B86" s="2" t="s">
        <v>133</v>
      </c>
      <c r="C86" s="2" t="s">
        <v>256</v>
      </c>
      <c r="D86" s="2" t="s">
        <v>738</v>
      </c>
      <c r="E86" s="10" t="s">
        <v>827</v>
      </c>
      <c r="F86" s="2" t="str">
        <f>_xlfn.XLOOKUP(Top_100_Universities[[#This Row],[University]],Table1[University],Table1[Type],"NOT FOUND",0)</f>
        <v>Private not-for-profit</v>
      </c>
      <c r="G86" s="31">
        <f>_xlfn.XLOOKUP(Top_100_Universities[[#This Row],[University]],Table1[University],Table1[Av. Grant Aid],"NOT FOUND",0)</f>
        <v>42331</v>
      </c>
      <c r="H86" s="31">
        <f>_xlfn.XLOOKUP(Top_100_Universities[[#This Row],[University]],Table1[University],Table1[Av. Debt],"NOT FOUND",0)</f>
        <v>8278</v>
      </c>
      <c r="I86" s="31">
        <f>_xlfn.XLOOKUP(Top_100_Universities[[#This Row],[University]],Table1[University],Table1[Median 10-year Salary],"NOT FOUND",0)</f>
        <v>130300</v>
      </c>
      <c r="J86" s="41">
        <f>_xlfn.XLOOKUP(Top_100_Universities[[#This Row],[Town]],Cost_of_Living[City],Cost_of_Living[Cost of Living Index],"NA",0)</f>
        <v>132.6</v>
      </c>
      <c r="K86" s="63" cm="1">
        <f t="array" ref="K86">_xlfn.XLOOKUP(Top_100_Universities[[#This Row],[Town]], Cost_of_Living[[#All],[City]], Cost_of_Living[[#All],[Normalized Cost of Living]], "NA",0)</f>
        <v>0.41970802919708028</v>
      </c>
      <c r="L86" s="63" cm="1">
        <f t="array" ref="L86">_xlfn.XLOOKUP(Top_100_Universities[[#This Row],[State]], Crime_rate_Index[[#All],[State ]], Crime_rate_Index[[#All],[Normalized Crime Index]], "NA", 0)</f>
        <v>0.85055416517697535</v>
      </c>
      <c r="M86" s="63" cm="1">
        <f t="array" ref="M86">_xlfn.XLOOKUP(Top_100_Universities[[#This Row],[State]], Safest_States[[#All],[state]], Safest_States[[#All],[Normailzed Safety Score]], "NA", 0)</f>
        <v>0.76393001345895017</v>
      </c>
      <c r="N86" s="63">
        <f>0.4*Top_100_Universities[[#This Row],[Normalized Cost of Living Index]] + 0.3*Top_100_Universities[[#This Row],[Normalized Crime Rate Index]] + 0.3*Top_100_Universities[[#This Row],[Normalized Safety Score]]</f>
        <v>0.65222846526960976</v>
      </c>
    </row>
    <row r="87" spans="1:14">
      <c r="A87" s="2">
        <v>86</v>
      </c>
      <c r="B87" s="2" t="s">
        <v>134</v>
      </c>
      <c r="C87" s="2" t="s">
        <v>776</v>
      </c>
      <c r="D87" s="2" t="s">
        <v>777</v>
      </c>
      <c r="E87" s="10" t="s">
        <v>1428</v>
      </c>
      <c r="F87" s="2" t="str">
        <f>_xlfn.XLOOKUP(Top_100_Universities[[#This Row],[University]],Table1[University],Table1[Type],"NOT FOUND",0)</f>
        <v>Public</v>
      </c>
      <c r="G87" s="31">
        <f>_xlfn.XLOOKUP(Top_100_Universities[[#This Row],[University]],Table1[University],Table1[Av. Grant Aid],"NOT FOUND",0)</f>
        <v>11140</v>
      </c>
      <c r="H87" s="31">
        <f>_xlfn.XLOOKUP(Top_100_Universities[[#This Row],[University]],Table1[University],Table1[Av. Debt],"NOT FOUND",0)</f>
        <v>6880</v>
      </c>
      <c r="I87" s="31">
        <f>_xlfn.XLOOKUP(Top_100_Universities[[#This Row],[University]],Table1[University],Table1[Median 10-year Salary],"NOT FOUND",0)</f>
        <v>118100</v>
      </c>
      <c r="J87" s="41">
        <f>_xlfn.XLOOKUP(Top_100_Universities[[#This Row],[Town]],Cost_of_Living[City],Cost_of_Living[Cost of Living Index],"NA",0)</f>
        <v>91.6</v>
      </c>
      <c r="K87" s="63" cm="1">
        <f t="array" ref="K87">_xlfn.XLOOKUP(Top_100_Universities[[#This Row],[Town]], Cost_of_Living[[#All],[City]], Cost_of_Living[[#All],[Normalized Cost of Living]], "NA",0)</f>
        <v>0.79379562043795626</v>
      </c>
      <c r="L87" s="63" cm="1">
        <f t="array" ref="L87">_xlfn.XLOOKUP(Top_100_Universities[[#This Row],[State]], Crime_rate_Index[[#All],[State ]], Crime_rate_Index[[#All],[Normalized Crime Index]], "NA", 0)</f>
        <v>0.74258133714694319</v>
      </c>
      <c r="M87" s="63" cm="1">
        <f t="array" ref="M87">_xlfn.XLOOKUP(Top_100_Universities[[#This Row],[State]], Safest_States[[#All],[state]], Safest_States[[#All],[Normailzed Safety Score]], "NA", 0)</f>
        <v>0.30336473755047089</v>
      </c>
      <c r="N87" s="63">
        <f>0.4*Top_100_Universities[[#This Row],[Normalized Cost of Living Index]] + 0.3*Top_100_Universities[[#This Row],[Normalized Crime Rate Index]] + 0.3*Top_100_Universities[[#This Row],[Normalized Safety Score]]</f>
        <v>0.63130207058440668</v>
      </c>
    </row>
    <row r="88" spans="1:14">
      <c r="A88" s="2">
        <v>87</v>
      </c>
      <c r="B88" s="2" t="s">
        <v>135</v>
      </c>
      <c r="C88" s="2" t="s">
        <v>136</v>
      </c>
      <c r="D88" s="2" t="s">
        <v>778</v>
      </c>
      <c r="E88" s="10" t="s">
        <v>1263</v>
      </c>
      <c r="F88" s="2" t="str">
        <f>_xlfn.XLOOKUP(Top_100_Universities[[#This Row],[University]],Table1[University],Table1[Type],"NOT FOUND",0)</f>
        <v>Public</v>
      </c>
      <c r="G88" s="31">
        <f>_xlfn.XLOOKUP(Top_100_Universities[[#This Row],[University]],Table1[University],Table1[Av. Grant Aid],"NOT FOUND",0)</f>
        <v>12375</v>
      </c>
      <c r="H88" s="31">
        <f>_xlfn.XLOOKUP(Top_100_Universities[[#This Row],[University]],Table1[University],Table1[Av. Debt],"NOT FOUND",0)</f>
        <v>10580</v>
      </c>
      <c r="I88" s="31">
        <f>_xlfn.XLOOKUP(Top_100_Universities[[#This Row],[University]],Table1[University],Table1[Median 10-year Salary],"NOT FOUND",0)</f>
        <v>127600</v>
      </c>
      <c r="J88" s="41">
        <f>_xlfn.XLOOKUP(Top_100_Universities[[#This Row],[Town]],Cost_of_Living[City],Cost_of_Living[Cost of Living Index],"NA",0)</f>
        <v>76.599999999999994</v>
      </c>
      <c r="K88" s="63" cm="1">
        <f t="array" ref="K88">_xlfn.XLOOKUP(Top_100_Universities[[#This Row],[Town]], Cost_of_Living[[#All],[City]], Cost_of_Living[[#All],[Normalized Cost of Living]], "NA",0)</f>
        <v>0.93065693430656937</v>
      </c>
      <c r="L88" s="63" cm="1">
        <f t="array" ref="L88">_xlfn.XLOOKUP(Top_100_Universities[[#This Row],[State]], Crime_rate_Index[[#All],[State ]], Crime_rate_Index[[#All],[Normalized Crime Index]], "NA", 0)</f>
        <v>0.63389345727565249</v>
      </c>
      <c r="M88" s="63" cm="1">
        <f t="array" ref="M88">_xlfn.XLOOKUP(Top_100_Universities[[#This Row],[State]], Safest_States[[#All],[state]], Safest_States[[#All],[Normailzed Safety Score]], "NA", 0)</f>
        <v>0.5308209959623148</v>
      </c>
      <c r="N88" s="63">
        <f>0.4*Top_100_Universities[[#This Row],[Normalized Cost of Living Index]] + 0.3*Top_100_Universities[[#This Row],[Normalized Crime Rate Index]] + 0.3*Top_100_Universities[[#This Row],[Normalized Safety Score]]</f>
        <v>0.72167710969401799</v>
      </c>
    </row>
    <row r="89" spans="1:14">
      <c r="A89" s="2">
        <v>88</v>
      </c>
      <c r="B89" s="2" t="s">
        <v>137</v>
      </c>
      <c r="C89" s="2" t="s">
        <v>659</v>
      </c>
      <c r="D89" s="2" t="s">
        <v>771</v>
      </c>
      <c r="E89" s="10" t="s">
        <v>872</v>
      </c>
      <c r="F89" s="2" t="str">
        <f>_xlfn.XLOOKUP(Top_100_Universities[[#This Row],[University]],Table1[University],Table1[Type],"NOT FOUND",0)</f>
        <v>Public</v>
      </c>
      <c r="G89" s="31">
        <f>_xlfn.XLOOKUP(Top_100_Universities[[#This Row],[University]],Table1[University],Table1[Av. Grant Aid],"NOT FOUND",0)</f>
        <v>10593</v>
      </c>
      <c r="H89" s="31">
        <f>_xlfn.XLOOKUP(Top_100_Universities[[#This Row],[University]],Table1[University],Table1[Av. Debt],"NOT FOUND",0)</f>
        <v>10094</v>
      </c>
      <c r="I89" s="31">
        <f>_xlfn.XLOOKUP(Top_100_Universities[[#This Row],[University]],Table1[University],Table1[Median 10-year Salary],"NOT FOUND",0)</f>
        <v>110500</v>
      </c>
      <c r="J89" s="41">
        <f>_xlfn.XLOOKUP(Top_100_Universities[[#This Row],[Town]],Cost_of_Living[City],Cost_of_Living[Cost of Living Index],"NA",0)</f>
        <v>91.6</v>
      </c>
      <c r="K89" s="63" cm="1">
        <f t="array" ref="K89">_xlfn.XLOOKUP(Top_100_Universities[[#This Row],[Town]], Cost_of_Living[[#All],[City]], Cost_of_Living[[#All],[Normalized Cost of Living]], "NA",0)</f>
        <v>0.79379562043795626</v>
      </c>
      <c r="L89" s="63" cm="1">
        <f t="array" ref="L89">_xlfn.XLOOKUP(Top_100_Universities[[#This Row],[State]], Crime_rate_Index[[#All],[State ]], Crime_rate_Index[[#All],[Normalized Crime Index]], "NA", 0)</f>
        <v>0.55523775473721848</v>
      </c>
      <c r="M89" s="63" cm="1">
        <f t="array" ref="M89">_xlfn.XLOOKUP(Top_100_Universities[[#This Row],[State]], Safest_States[[#All],[state]], Safest_States[[#All],[Normailzed Safety Score]], "NA", 0)</f>
        <v>0.26110363391655456</v>
      </c>
      <c r="N89" s="63">
        <f>0.4*Top_100_Universities[[#This Row],[Normalized Cost of Living Index]] + 0.3*Top_100_Universities[[#This Row],[Normalized Crime Rate Index]] + 0.3*Top_100_Universities[[#This Row],[Normalized Safety Score]]</f>
        <v>0.56242066477131436</v>
      </c>
    </row>
    <row r="90" spans="1:14">
      <c r="A90" s="2">
        <v>89</v>
      </c>
      <c r="B90" s="2" t="s">
        <v>138</v>
      </c>
      <c r="C90" s="2" t="s">
        <v>779</v>
      </c>
      <c r="D90" s="2" t="s">
        <v>780</v>
      </c>
      <c r="E90" s="10" t="s">
        <v>1678</v>
      </c>
      <c r="F90" s="2" t="str">
        <f>_xlfn.XLOOKUP(Top_100_Universities[[#This Row],[University]],Table1[University],Table1[Type],"NOT FOUND",0)</f>
        <v>Public</v>
      </c>
      <c r="G90" s="31">
        <f>_xlfn.XLOOKUP(Top_100_Universities[[#This Row],[University]],Table1[University],Table1[Av. Grant Aid],"NOT FOUND",0)</f>
        <v>9280</v>
      </c>
      <c r="H90" s="31">
        <f>_xlfn.XLOOKUP(Top_100_Universities[[#This Row],[University]],Table1[University],Table1[Av. Debt],"NOT FOUND",0)</f>
        <v>5724</v>
      </c>
      <c r="I90" s="31">
        <f>_xlfn.XLOOKUP(Top_100_Universities[[#This Row],[University]],Table1[University],Table1[Median 10-year Salary],"NOT FOUND",0)</f>
        <v>111400</v>
      </c>
      <c r="J90" s="41">
        <f>_xlfn.XLOOKUP(Top_100_Universities[[#This Row],[Town]],Cost_of_Living[City],Cost_of_Living[Cost of Living Index],"NA",0)</f>
        <v>92.9</v>
      </c>
      <c r="K90" s="63" cm="1">
        <f t="array" ref="K90">_xlfn.XLOOKUP(Top_100_Universities[[#This Row],[Town]], Cost_of_Living[[#All],[City]], Cost_of_Living[[#All],[Normalized Cost of Living]], "NA",0)</f>
        <v>0.78193430656934304</v>
      </c>
      <c r="L90" s="63" cm="1">
        <f t="array" ref="L90">_xlfn.XLOOKUP(Top_100_Universities[[#This Row],[State]], Crime_rate_Index[[#All],[State ]], Crime_rate_Index[[#All],[Normalized Crime Index]], "NA", 0)</f>
        <v>0.53843403646764387</v>
      </c>
      <c r="M90" s="63" cm="1">
        <f t="array" ref="M90">_xlfn.XLOOKUP(Top_100_Universities[[#This Row],[State]], Safest_States[[#All],[state]], Safest_States[[#All],[Normailzed Safety Score]], "NA", 0)</f>
        <v>0.49205921938088826</v>
      </c>
      <c r="N90" s="63">
        <f>0.4*Top_100_Universities[[#This Row],[Normalized Cost of Living Index]] + 0.3*Top_100_Universities[[#This Row],[Normalized Crime Rate Index]] + 0.3*Top_100_Universities[[#This Row],[Normalized Safety Score]]</f>
        <v>0.6219216993822968</v>
      </c>
    </row>
    <row r="91" spans="1:14">
      <c r="A91" s="2">
        <v>90</v>
      </c>
      <c r="B91" s="2" t="s">
        <v>139</v>
      </c>
      <c r="C91" s="2" t="s">
        <v>781</v>
      </c>
      <c r="D91" s="2" t="s">
        <v>751</v>
      </c>
      <c r="E91" s="10" t="s">
        <v>910</v>
      </c>
      <c r="F91" s="2" t="str">
        <f>_xlfn.XLOOKUP(Top_100_Universities[[#This Row],[University]],Table1[University],Table1[Type],"NOT FOUND",0)</f>
        <v>Private not-for-profit</v>
      </c>
      <c r="G91" s="31">
        <f>_xlfn.XLOOKUP(Top_100_Universities[[#This Row],[University]],Table1[University],Table1[Av. Grant Aid],"NOT FOUND",0)</f>
        <v>37322</v>
      </c>
      <c r="H91" s="31">
        <f>_xlfn.XLOOKUP(Top_100_Universities[[#This Row],[University]],Table1[University],Table1[Av. Debt],"NOT FOUND",0)</f>
        <v>8432</v>
      </c>
      <c r="I91" s="31">
        <f>_xlfn.XLOOKUP(Top_100_Universities[[#This Row],[University]],Table1[University],Table1[Median 10-year Salary],"NOT FOUND",0)</f>
        <v>120000</v>
      </c>
      <c r="J91" s="41">
        <f>_xlfn.XLOOKUP(Top_100_Universities[[#This Row],[Town]],Cost_of_Living[City],Cost_of_Living[Cost of Living Index],"NA",0)</f>
        <v>77.7</v>
      </c>
      <c r="K91" s="63" cm="1">
        <f t="array" ref="K91">_xlfn.XLOOKUP(Top_100_Universities[[#This Row],[Town]], Cost_of_Living[[#All],[City]], Cost_of_Living[[#All],[Normalized Cost of Living]], "NA",0)</f>
        <v>0.92062043795620441</v>
      </c>
      <c r="L91" s="63" cm="1">
        <f t="array" ref="L91">_xlfn.XLOOKUP(Top_100_Universities[[#This Row],[State]], Crime_rate_Index[[#All],[State ]], Crime_rate_Index[[#All],[Normalized Crime Index]], "NA", 0)</f>
        <v>0.59063282087951374</v>
      </c>
      <c r="M91" s="63" cm="1">
        <f t="array" ref="M91">_xlfn.XLOOKUP(Top_100_Universities[[#This Row],[State]], Safest_States[[#All],[state]], Safest_States[[#All],[Normailzed Safety Score]], "NA", 0)</f>
        <v>0.21211305518169588</v>
      </c>
      <c r="N91" s="63">
        <f>0.4*Top_100_Universities[[#This Row],[Normalized Cost of Living Index]] + 0.3*Top_100_Universities[[#This Row],[Normalized Crime Rate Index]] + 0.3*Top_100_Universities[[#This Row],[Normalized Safety Score]]</f>
        <v>0.60907193800084469</v>
      </c>
    </row>
    <row r="92" spans="1:14">
      <c r="A92" s="2">
        <v>91</v>
      </c>
      <c r="B92" s="2" t="s">
        <v>140</v>
      </c>
      <c r="C92" s="2" t="s">
        <v>782</v>
      </c>
      <c r="D92" s="2" t="s">
        <v>745</v>
      </c>
      <c r="E92" s="10" t="s">
        <v>851</v>
      </c>
      <c r="F92" s="2" t="str">
        <f>_xlfn.XLOOKUP(Top_100_Universities[[#This Row],[University]],Table1[University],Table1[Type],"NOT FOUND",0)</f>
        <v>Public</v>
      </c>
      <c r="G92" s="31">
        <f>_xlfn.XLOOKUP(Top_100_Universities[[#This Row],[University]],Table1[University],Table1[Av. Grant Aid],"NOT FOUND",0)</f>
        <v>9159</v>
      </c>
      <c r="H92" s="31">
        <f>_xlfn.XLOOKUP(Top_100_Universities[[#This Row],[University]],Table1[University],Table1[Av. Debt],"NOT FOUND",0)</f>
        <v>6289</v>
      </c>
      <c r="I92" s="31">
        <f>_xlfn.XLOOKUP(Top_100_Universities[[#This Row],[University]],Table1[University],Table1[Median 10-year Salary],"NOT FOUND",0)</f>
        <v>110000</v>
      </c>
      <c r="J92" s="41">
        <f>_xlfn.XLOOKUP(Top_100_Universities[[#This Row],[Town]],Cost_of_Living[City],Cost_of_Living[Cost of Living Index],"NA",0)</f>
        <v>72.599999999999994</v>
      </c>
      <c r="K92" s="63" cm="1">
        <f t="array" ref="K92">_xlfn.XLOOKUP(Top_100_Universities[[#This Row],[Town]], Cost_of_Living[[#All],[City]], Cost_of_Living[[#All],[Normalized Cost of Living]], "NA",0)</f>
        <v>0.96715328467153294</v>
      </c>
      <c r="L92" s="63" cm="1">
        <f t="array" ref="L92">_xlfn.XLOOKUP(Top_100_Universities[[#This Row],[State]], Crime_rate_Index[[#All],[State ]], Crime_rate_Index[[#All],[Normalized Crime Index]], "NA", 0)</f>
        <v>0.63818376832320345</v>
      </c>
      <c r="M92" s="63" cm="1">
        <f t="array" ref="M92">_xlfn.XLOOKUP(Top_100_Universities[[#This Row],[State]], Safest_States[[#All],[state]], Safest_States[[#All],[Normailzed Safety Score]], "NA", 0)</f>
        <v>0.13808882907133249</v>
      </c>
      <c r="N92" s="63">
        <f>0.4*Top_100_Universities[[#This Row],[Normalized Cost of Living Index]] + 0.3*Top_100_Universities[[#This Row],[Normalized Crime Rate Index]] + 0.3*Top_100_Universities[[#This Row],[Normalized Safety Score]]</f>
        <v>0.61974309308697406</v>
      </c>
    </row>
    <row r="93" spans="1:14">
      <c r="A93" s="2">
        <v>92</v>
      </c>
      <c r="B93" s="2" t="s">
        <v>141</v>
      </c>
      <c r="C93" s="2" t="s">
        <v>131</v>
      </c>
      <c r="D93" s="2" t="s">
        <v>783</v>
      </c>
      <c r="E93" s="10" t="s">
        <v>1164</v>
      </c>
      <c r="F93" s="2" t="str">
        <f>_xlfn.XLOOKUP(Top_100_Universities[[#This Row],[University]],Table1[University],Table1[Type],"NOT FOUND",0)</f>
        <v>Public</v>
      </c>
      <c r="G93" s="31">
        <f>_xlfn.XLOOKUP(Top_100_Universities[[#This Row],[University]],Table1[University],Table1[Av. Grant Aid],"NOT FOUND",0)</f>
        <v>6880</v>
      </c>
      <c r="H93" s="31">
        <f>_xlfn.XLOOKUP(Top_100_Universities[[#This Row],[University]],Table1[University],Table1[Av. Debt],"NOT FOUND",0)</f>
        <v>9631</v>
      </c>
      <c r="I93" s="31">
        <f>_xlfn.XLOOKUP(Top_100_Universities[[#This Row],[University]],Table1[University],Table1[Median 10-year Salary],"NOT FOUND",0)</f>
        <v>104900</v>
      </c>
      <c r="J93" s="41">
        <f>_xlfn.XLOOKUP(Top_100_Universities[[#This Row],[Town]],Cost_of_Living[City],Cost_of_Living[Cost of Living Index],"NA",0)</f>
        <v>89.8</v>
      </c>
      <c r="K93" s="63" cm="1">
        <f t="array" ref="K93">_xlfn.XLOOKUP(Top_100_Universities[[#This Row],[Town]], Cost_of_Living[[#All],[City]], Cost_of_Living[[#All],[Normalized Cost of Living]], "NA",0)</f>
        <v>0.81021897810218979</v>
      </c>
      <c r="L93" s="63" cm="1">
        <f t="array" ref="L93">_xlfn.XLOOKUP(Top_100_Universities[[#This Row],[State]], Crime_rate_Index[[#All],[State ]], Crime_rate_Index[[#All],[Normalized Crime Index]], "NA", 0)</f>
        <v>0.53414372542009292</v>
      </c>
      <c r="M93" s="63" cm="1">
        <f t="array" ref="M93">_xlfn.XLOOKUP(Top_100_Universities[[#This Row],[State]], Safest_States[[#All],[state]], Safest_States[[#All],[Normailzed Safety Score]], "NA", 0)</f>
        <v>0.25275908479138626</v>
      </c>
      <c r="N93" s="63">
        <f>0.4*Top_100_Universities[[#This Row],[Normalized Cost of Living Index]] + 0.3*Top_100_Universities[[#This Row],[Normalized Crime Rate Index]] + 0.3*Top_100_Universities[[#This Row],[Normalized Safety Score]]</f>
        <v>0.56015843430431966</v>
      </c>
    </row>
    <row r="94" spans="1:14">
      <c r="A94" s="2">
        <v>93</v>
      </c>
      <c r="B94" s="2" t="s">
        <v>142</v>
      </c>
      <c r="C94" s="2" t="s">
        <v>143</v>
      </c>
      <c r="D94" s="2" t="s">
        <v>738</v>
      </c>
      <c r="E94" s="10" t="s">
        <v>827</v>
      </c>
      <c r="F94" s="2" t="str">
        <f>_xlfn.XLOOKUP(Top_100_Universities[[#This Row],[University]],Table1[University],Table1[Type],"NOT FOUND",0)</f>
        <v>Private not-for-profit</v>
      </c>
      <c r="G94" s="31">
        <f>_xlfn.XLOOKUP(Top_100_Universities[[#This Row],[University]],Table1[University],Table1[Av. Grant Aid],"NOT FOUND",0)</f>
        <v>49992</v>
      </c>
      <c r="H94" s="31">
        <f>_xlfn.XLOOKUP(Top_100_Universities[[#This Row],[University]],Table1[University],Table1[Av. Debt],"NOT FOUND",0)</f>
        <v>3588</v>
      </c>
      <c r="I94" s="31">
        <f>_xlfn.XLOOKUP(Top_100_Universities[[#This Row],[University]],Table1[University],Table1[Median 10-year Salary],"NOT FOUND",0)</f>
        <v>142200</v>
      </c>
      <c r="J94" s="41">
        <f>_xlfn.XLOOKUP(Top_100_Universities[[#This Row],[Town]],Cost_of_Living[City],Cost_of_Living[Cost of Living Index],"NA",0)</f>
        <v>89.2</v>
      </c>
      <c r="K94" s="63" cm="1">
        <f t="array" ref="K94">_xlfn.XLOOKUP(Top_100_Universities[[#This Row],[Town]], Cost_of_Living[[#All],[City]], Cost_of_Living[[#All],[Normalized Cost of Living]], "NA",0)</f>
        <v>0.81569343065693434</v>
      </c>
      <c r="L94" s="63" cm="1">
        <f t="array" ref="L94">_xlfn.XLOOKUP(Top_100_Universities[[#This Row],[State]], Crime_rate_Index[[#All],[State ]], Crime_rate_Index[[#All],[Normalized Crime Index]], "NA", 0)</f>
        <v>0.85055416517697535</v>
      </c>
      <c r="M94" s="63" cm="1">
        <f t="array" ref="M94">_xlfn.XLOOKUP(Top_100_Universities[[#This Row],[State]], Safest_States[[#All],[state]], Safest_States[[#All],[Normailzed Safety Score]], "NA", 0)</f>
        <v>0.76393001345895017</v>
      </c>
      <c r="N94" s="63">
        <f>0.4*Top_100_Universities[[#This Row],[Normalized Cost of Living Index]] + 0.3*Top_100_Universities[[#This Row],[Normalized Crime Rate Index]] + 0.3*Top_100_Universities[[#This Row],[Normalized Safety Score]]</f>
        <v>0.81062262585355138</v>
      </c>
    </row>
    <row r="95" spans="1:14">
      <c r="A95" s="2">
        <v>94</v>
      </c>
      <c r="B95" s="2" t="s">
        <v>144</v>
      </c>
      <c r="C95" s="2" t="s">
        <v>145</v>
      </c>
      <c r="D95" s="2" t="s">
        <v>784</v>
      </c>
      <c r="E95" s="10" t="s">
        <v>1303</v>
      </c>
      <c r="F95" s="2" t="str">
        <f>_xlfn.XLOOKUP(Top_100_Universities[[#This Row],[University]],Table1[University],Table1[Type],"NOT FOUND",0)</f>
        <v>Public</v>
      </c>
      <c r="G95" s="31">
        <f>_xlfn.XLOOKUP(Top_100_Universities[[#This Row],[University]],Table1[University],Table1[Av. Grant Aid],"NOT FOUND",0)</f>
        <v>12374</v>
      </c>
      <c r="H95" s="31">
        <f>_xlfn.XLOOKUP(Top_100_Universities[[#This Row],[University]],Table1[University],Table1[Av. Debt],"NOT FOUND",0)</f>
        <v>8404</v>
      </c>
      <c r="I95" s="31">
        <f>_xlfn.XLOOKUP(Top_100_Universities[[#This Row],[University]],Table1[University],Table1[Median 10-year Salary],"NOT FOUND",0)</f>
        <v>119500</v>
      </c>
      <c r="J95" s="41">
        <f>_xlfn.XLOOKUP(Top_100_Universities[[#This Row],[Town]],Cost_of_Living[City],Cost_of_Living[Cost of Living Index],"NA",0)</f>
        <v>91.1</v>
      </c>
      <c r="K95" s="63" cm="1">
        <f t="array" ref="K95">_xlfn.XLOOKUP(Top_100_Universities[[#This Row],[Town]], Cost_of_Living[[#All],[City]], Cost_of_Living[[#All],[Normalized Cost of Living]], "NA",0)</f>
        <v>0.79835766423357668</v>
      </c>
      <c r="L95" s="63" cm="1">
        <f t="array" ref="L95">_xlfn.XLOOKUP(Top_100_Universities[[#This Row],[State]], Crime_rate_Index[[#All],[State ]], Crime_rate_Index[[#All],[Normalized Crime Index]], "NA", 0)</f>
        <v>0.56489095459420802</v>
      </c>
      <c r="M95" s="63" cm="1">
        <f t="array" ref="M95">_xlfn.XLOOKUP(Top_100_Universities[[#This Row],[State]], Safest_States[[#All],[state]], Safest_States[[#All],[Normailzed Safety Score]], "NA", 0)</f>
        <v>0</v>
      </c>
      <c r="N95" s="63">
        <f>0.4*Top_100_Universities[[#This Row],[Normalized Cost of Living Index]] + 0.3*Top_100_Universities[[#This Row],[Normalized Crime Rate Index]] + 0.3*Top_100_Universities[[#This Row],[Normalized Safety Score]]</f>
        <v>0.4888103520716931</v>
      </c>
    </row>
    <row r="96" spans="1:14">
      <c r="A96" s="2">
        <v>95</v>
      </c>
      <c r="B96" s="2" t="s">
        <v>146</v>
      </c>
      <c r="C96" s="2" t="s">
        <v>147</v>
      </c>
      <c r="D96" s="2" t="s">
        <v>751</v>
      </c>
      <c r="E96" s="10" t="s">
        <v>910</v>
      </c>
      <c r="F96" s="2" t="str">
        <f>_xlfn.XLOOKUP(Top_100_Universities[[#This Row],[University]],Table1[University],Table1[Type],"NOT FOUND",0)</f>
        <v>Public</v>
      </c>
      <c r="G96" s="31">
        <f>_xlfn.XLOOKUP(Top_100_Universities[[#This Row],[University]],Table1[University],Table1[Av. Grant Aid],"NOT FOUND",0)</f>
        <v>11087</v>
      </c>
      <c r="H96" s="31">
        <f>_xlfn.XLOOKUP(Top_100_Universities[[#This Row],[University]],Table1[University],Table1[Av. Debt],"NOT FOUND",0)</f>
        <v>5614</v>
      </c>
      <c r="I96" s="31">
        <f>_xlfn.XLOOKUP(Top_100_Universities[[#This Row],[University]],Table1[University],Table1[Median 10-year Salary],"NOT FOUND",0)</f>
        <v>106900</v>
      </c>
      <c r="J96" s="41">
        <f>_xlfn.XLOOKUP(Top_100_Universities[[#This Row],[Town]],Cost_of_Living[City],Cost_of_Living[Cost of Living Index],"NA",0)</f>
        <v>110.1</v>
      </c>
      <c r="K96" s="63" cm="1">
        <f t="array" ref="K96">_xlfn.XLOOKUP(Top_100_Universities[[#This Row],[Town]], Cost_of_Living[[#All],[City]], Cost_of_Living[[#All],[Normalized Cost of Living]], "NA",0)</f>
        <v>0.625</v>
      </c>
      <c r="L96" s="63" cm="1">
        <f t="array" ref="L96">_xlfn.XLOOKUP(Top_100_Universities[[#This Row],[State]], Crime_rate_Index[[#All],[State ]], Crime_rate_Index[[#All],[Normalized Crime Index]], "NA", 0)</f>
        <v>0.59063282087951374</v>
      </c>
      <c r="M96" s="63" cm="1">
        <f t="array" ref="M96">_xlfn.XLOOKUP(Top_100_Universities[[#This Row],[State]], Safest_States[[#All],[state]], Safest_States[[#All],[Normailzed Safety Score]], "NA", 0)</f>
        <v>0.21211305518169588</v>
      </c>
      <c r="N96" s="63">
        <f>0.4*Top_100_Universities[[#This Row],[Normalized Cost of Living Index]] + 0.3*Top_100_Universities[[#This Row],[Normalized Crime Rate Index]] + 0.3*Top_100_Universities[[#This Row],[Normalized Safety Score]]</f>
        <v>0.49082376281836293</v>
      </c>
    </row>
    <row r="97" spans="1:14">
      <c r="A97" s="2">
        <v>96</v>
      </c>
      <c r="B97" s="2" t="s">
        <v>148</v>
      </c>
      <c r="C97" s="2" t="s">
        <v>284</v>
      </c>
      <c r="D97" s="2" t="s">
        <v>666</v>
      </c>
      <c r="E97" s="10" t="s">
        <v>822</v>
      </c>
      <c r="F97" s="2" t="str">
        <f>_xlfn.XLOOKUP(Top_100_Universities[[#This Row],[University]],Table1[University],Table1[Type],"NOT FOUND",0)</f>
        <v>Public</v>
      </c>
      <c r="G97" s="31">
        <f>_xlfn.XLOOKUP(Top_100_Universities[[#This Row],[University]],Table1[University],Table1[Av. Grant Aid],"NOT FOUND",0)</f>
        <v>9934</v>
      </c>
      <c r="H97" s="31">
        <f>_xlfn.XLOOKUP(Top_100_Universities[[#This Row],[University]],Table1[University],Table1[Av. Debt],"NOT FOUND",0)</f>
        <v>8240</v>
      </c>
      <c r="I97" s="31">
        <f>_xlfn.XLOOKUP(Top_100_Universities[[#This Row],[University]],Table1[University],Table1[Median 10-year Salary],"NOT FOUND",0)</f>
        <v>124100</v>
      </c>
      <c r="J97" s="41">
        <f>_xlfn.XLOOKUP(Top_100_Universities[[#This Row],[Town]],Cost_of_Living[City],Cost_of_Living[Cost of Living Index],"NA",0)</f>
        <v>136.19999999999999</v>
      </c>
      <c r="K97" s="63" cm="1">
        <f t="array" ref="K97">_xlfn.XLOOKUP(Top_100_Universities[[#This Row],[Town]], Cost_of_Living[[#All],[City]], Cost_of_Living[[#All],[Normalized Cost of Living]], "NA",0)</f>
        <v>0.38686131386861322</v>
      </c>
      <c r="L97" s="63" cm="1">
        <f t="array" ref="L97">_xlfn.XLOOKUP(Top_100_Universities[[#This Row],[State]], Crime_rate_Index[[#All],[State ]], Crime_rate_Index[[#All],[Normalized Crime Index]], "NA", 0)</f>
        <v>0.73149803360743659</v>
      </c>
      <c r="M97" s="63" cm="1">
        <f t="array" ref="M97">_xlfn.XLOOKUP(Top_100_Universities[[#This Row],[State]], Safest_States[[#All],[state]], Safest_States[[#All],[Normailzed Safety Score]], "NA", 0)</f>
        <v>0.46567967698519502</v>
      </c>
      <c r="N97" s="63">
        <f>0.4*Top_100_Universities[[#This Row],[Normalized Cost of Living Index]] + 0.3*Top_100_Universities[[#This Row],[Normalized Crime Rate Index]] + 0.3*Top_100_Universities[[#This Row],[Normalized Safety Score]]</f>
        <v>0.51389783872523476</v>
      </c>
    </row>
    <row r="98" spans="1:14">
      <c r="A98" s="2">
        <v>97</v>
      </c>
      <c r="B98" s="2" t="s">
        <v>149</v>
      </c>
      <c r="C98" s="2" t="s">
        <v>19</v>
      </c>
      <c r="D98" s="2" t="s">
        <v>743</v>
      </c>
      <c r="E98" s="10" t="s">
        <v>844</v>
      </c>
      <c r="F98" s="2" t="str">
        <f>_xlfn.XLOOKUP(Top_100_Universities[[#This Row],[University]],Table1[University],Table1[Type],"NOT FOUND",0)</f>
        <v>Public</v>
      </c>
      <c r="G98" s="31">
        <f>_xlfn.XLOOKUP(Top_100_Universities[[#This Row],[University]],Table1[University],Table1[Av. Grant Aid],"NOT FOUND",0)</f>
        <v>11575</v>
      </c>
      <c r="H98" s="31">
        <f>_xlfn.XLOOKUP(Top_100_Universities[[#This Row],[University]],Table1[University],Table1[Av. Debt],"NOT FOUND",0)</f>
        <v>10571</v>
      </c>
      <c r="I98" s="31">
        <f>_xlfn.XLOOKUP(Top_100_Universities[[#This Row],[University]],Table1[University],Table1[Median 10-year Salary],"NOT FOUND",0)</f>
        <v>113900</v>
      </c>
      <c r="J98" s="41">
        <f>_xlfn.XLOOKUP(Top_100_Universities[[#This Row],[Town]],Cost_of_Living[City],Cost_of_Living[Cost of Living Index],"NA",0)</f>
        <v>103.4</v>
      </c>
      <c r="K98" s="63" cm="1">
        <f t="array" ref="K98">_xlfn.XLOOKUP(Top_100_Universities[[#This Row],[Town]], Cost_of_Living[[#All],[City]], Cost_of_Living[[#All],[Normalized Cost of Living]], "NA",0)</f>
        <v>0.68613138686131381</v>
      </c>
      <c r="L98" s="63" cm="1">
        <f t="array" ref="L98">_xlfn.XLOOKUP(Top_100_Universities[[#This Row],[State]], Crime_rate_Index[[#All],[State ]], Crime_rate_Index[[#All],[Normalized Crime Index]], "NA", 0)</f>
        <v>0.86235252055774048</v>
      </c>
      <c r="M98" s="63" cm="1">
        <f t="array" ref="M98">_xlfn.XLOOKUP(Top_100_Universities[[#This Row],[State]], Safest_States[[#All],[state]], Safest_States[[#All],[Normailzed Safety Score]], "NA", 0)</f>
        <v>0.45410497981157455</v>
      </c>
      <c r="N98" s="63">
        <f>0.4*Top_100_Universities[[#This Row],[Normalized Cost of Living Index]] + 0.3*Top_100_Universities[[#This Row],[Normalized Crime Rate Index]] + 0.3*Top_100_Universities[[#This Row],[Normalized Safety Score]]</f>
        <v>0.66938980485531996</v>
      </c>
    </row>
    <row r="99" spans="1:14">
      <c r="A99" s="2">
        <v>98</v>
      </c>
      <c r="B99" s="2" t="s">
        <v>150</v>
      </c>
      <c r="C99" s="2" t="s">
        <v>19</v>
      </c>
      <c r="D99" s="2" t="s">
        <v>743</v>
      </c>
      <c r="E99" s="10" t="s">
        <v>844</v>
      </c>
      <c r="F99" s="2" t="str">
        <f>_xlfn.XLOOKUP(Top_100_Universities[[#This Row],[University]],Table1[University],Table1[Type],"NOT FOUND",0)</f>
        <v>Private not-for-profit</v>
      </c>
      <c r="G99" s="31">
        <f>_xlfn.XLOOKUP(Top_100_Universities[[#This Row],[University]],Table1[University],Table1[Av. Grant Aid],"NOT FOUND",0)</f>
        <v>33861</v>
      </c>
      <c r="H99" s="31">
        <f>_xlfn.XLOOKUP(Top_100_Universities[[#This Row],[University]],Table1[University],Table1[Av. Debt],"NOT FOUND",0)</f>
        <v>10865</v>
      </c>
      <c r="I99" s="31">
        <f>_xlfn.XLOOKUP(Top_100_Universities[[#This Row],[University]],Table1[University],Table1[Median 10-year Salary],"NOT FOUND",0)</f>
        <v>132600</v>
      </c>
      <c r="J99" s="41">
        <f>_xlfn.XLOOKUP(Top_100_Universities[[#This Row],[Town]],Cost_of_Living[City],Cost_of_Living[Cost of Living Index],"NA",0)</f>
        <v>103.4</v>
      </c>
      <c r="K99" s="63" cm="1">
        <f t="array" ref="K99">_xlfn.XLOOKUP(Top_100_Universities[[#This Row],[Town]], Cost_of_Living[[#All],[City]], Cost_of_Living[[#All],[Normalized Cost of Living]], "NA",0)</f>
        <v>0.68613138686131381</v>
      </c>
      <c r="L99" s="63" cm="1">
        <f t="array" ref="L99">_xlfn.XLOOKUP(Top_100_Universities[[#This Row],[State]], Crime_rate_Index[[#All],[State ]], Crime_rate_Index[[#All],[Normalized Crime Index]], "NA", 0)</f>
        <v>0.86235252055774048</v>
      </c>
      <c r="M99" s="63" cm="1">
        <f t="array" ref="M99">_xlfn.XLOOKUP(Top_100_Universities[[#This Row],[State]], Safest_States[[#All],[state]], Safest_States[[#All],[Normailzed Safety Score]], "NA", 0)</f>
        <v>0.45410497981157455</v>
      </c>
      <c r="N99" s="63">
        <f>0.4*Top_100_Universities[[#This Row],[Normalized Cost of Living Index]] + 0.3*Top_100_Universities[[#This Row],[Normalized Crime Rate Index]] + 0.3*Top_100_Universities[[#This Row],[Normalized Safety Score]]</f>
        <v>0.66938980485531996</v>
      </c>
    </row>
    <row r="100" spans="1:14">
      <c r="A100" s="2">
        <v>99</v>
      </c>
      <c r="B100" s="2" t="s">
        <v>151</v>
      </c>
      <c r="C100" s="2" t="s">
        <v>152</v>
      </c>
      <c r="D100" s="2" t="s">
        <v>756</v>
      </c>
      <c r="E100" s="10" t="s">
        <v>1124</v>
      </c>
      <c r="F100" s="2" t="str">
        <f>_xlfn.XLOOKUP(Top_100_Universities[[#This Row],[University]],Table1[University],Table1[Type],"NOT FOUND",0)</f>
        <v>Public</v>
      </c>
      <c r="G100" s="31">
        <f>_xlfn.XLOOKUP(Top_100_Universities[[#This Row],[University]],Table1[University],Table1[Av. Grant Aid],"NOT FOUND",0)</f>
        <v>8733</v>
      </c>
      <c r="H100" s="31">
        <f>_xlfn.XLOOKUP(Top_100_Universities[[#This Row],[University]],Table1[University],Table1[Av. Debt],"NOT FOUND",0)</f>
        <v>8696</v>
      </c>
      <c r="I100" s="31">
        <f>_xlfn.XLOOKUP(Top_100_Universities[[#This Row],[University]],Table1[University],Table1[Median 10-year Salary],"NOT FOUND",0)</f>
        <v>113600</v>
      </c>
      <c r="J100" s="41">
        <f>_xlfn.XLOOKUP(Top_100_Universities[[#This Row],[Town]],Cost_of_Living[City],Cost_of_Living[Cost of Living Index],"NA",0)</f>
        <v>92.4</v>
      </c>
      <c r="K100" s="63" cm="1">
        <f t="array" ref="K100">_xlfn.XLOOKUP(Top_100_Universities[[#This Row],[Town]], Cost_of_Living[[#All],[City]], Cost_of_Living[[#All],[Normalized Cost of Living]], "NA",0)</f>
        <v>0.78649635036496346</v>
      </c>
      <c r="L100" s="63" cm="1">
        <f t="array" ref="L100">_xlfn.XLOOKUP(Top_100_Universities[[#This Row],[State]], Crime_rate_Index[[#All],[State ]], Crime_rate_Index[[#All],[Normalized Crime Index]], "NA", 0)</f>
        <v>0.73507329281372902</v>
      </c>
      <c r="M100" s="63" cm="1">
        <f t="array" ref="M100">_xlfn.XLOOKUP(Top_100_Universities[[#This Row],[State]], Safest_States[[#All],[state]], Safest_States[[#All],[Normailzed Safety Score]], "NA", 0)</f>
        <v>0.36339165545087476</v>
      </c>
      <c r="N100" s="63">
        <f>0.4*Top_100_Universities[[#This Row],[Normalized Cost of Living Index]] + 0.3*Top_100_Universities[[#This Row],[Normalized Crime Rate Index]] + 0.3*Top_100_Universities[[#This Row],[Normalized Safety Score]]</f>
        <v>0.64413802462536651</v>
      </c>
    </row>
    <row r="101" spans="1:14">
      <c r="A101" s="2">
        <v>100</v>
      </c>
      <c r="B101" s="2" t="s">
        <v>153</v>
      </c>
      <c r="C101" s="2" t="s">
        <v>154</v>
      </c>
      <c r="D101" s="2" t="s">
        <v>783</v>
      </c>
      <c r="E101" s="10" t="s">
        <v>1164</v>
      </c>
      <c r="F101" s="2" t="str">
        <f>_xlfn.XLOOKUP(Top_100_Universities[[#This Row],[University]],Table1[University],Table1[Type],"NOT FOUND",0)</f>
        <v>Public</v>
      </c>
      <c r="G101" s="31">
        <f>_xlfn.XLOOKUP(Top_100_Universities[[#This Row],[University]],Table1[University],Table1[Av. Grant Aid],"NOT FOUND",0)</f>
        <v>10430</v>
      </c>
      <c r="H101" s="31">
        <f>_xlfn.XLOOKUP(Top_100_Universities[[#This Row],[University]],Table1[University],Table1[Av. Debt],"NOT FOUND",0)</f>
        <v>11748</v>
      </c>
      <c r="I101" s="31">
        <f>_xlfn.XLOOKUP(Top_100_Universities[[#This Row],[University]],Table1[University],Table1[Median 10-year Salary],"NOT FOUND",0)</f>
        <v>125200</v>
      </c>
      <c r="J101" s="41">
        <f>_xlfn.XLOOKUP(Top_100_Universities[[#This Row],[Town]],Cost_of_Living[City],Cost_of_Living[Cost of Living Index],"NA",0)</f>
        <v>77</v>
      </c>
      <c r="K101" s="63" cm="1">
        <f t="array" ref="K101">_xlfn.XLOOKUP(Top_100_Universities[[#This Row],[Town]], Cost_of_Living[[#All],[City]], Cost_of_Living[[#All],[Normalized Cost of Living]], "NA",0)</f>
        <v>0.92700729927007297</v>
      </c>
      <c r="L101" s="63" cm="1">
        <f t="array" ref="L101">_xlfn.XLOOKUP(Top_100_Universities[[#This Row],[State]], Crime_rate_Index[[#All],[State ]], Crime_rate_Index[[#All],[Normalized Crime Index]], "NA", 0)</f>
        <v>0.53414372542009292</v>
      </c>
      <c r="M101" s="63" cm="1">
        <f t="array" ref="M101">_xlfn.XLOOKUP(Top_100_Universities[[#This Row],[State]], Safest_States[[#All],[state]], Safest_States[[#All],[Normailzed Safety Score]], "NA", 0)</f>
        <v>0.25275908479138626</v>
      </c>
      <c r="N101" s="63">
        <f>0.4*Top_100_Universities[[#This Row],[Normalized Cost of Living Index]] + 0.3*Top_100_Universities[[#This Row],[Normalized Crime Rate Index]] + 0.3*Top_100_Universities[[#This Row],[Normalized Safety Score]]</f>
        <v>0.60687376277147298</v>
      </c>
    </row>
  </sheetData>
  <conditionalFormatting sqref="B2:B101">
    <cfRule type="duplicateValues" dxfId="99" priority="3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C6E0-48C5-2747-A301-D093DA59B59A}">
  <sheetPr codeName="Sheet6"/>
  <dimension ref="A1:J502"/>
  <sheetViews>
    <sheetView zoomScale="90" zoomScaleNormal="90" workbookViewId="0">
      <selection activeCell="B2" sqref="B2"/>
    </sheetView>
  </sheetViews>
  <sheetFormatPr defaultColWidth="10.81640625" defaultRowHeight="14.5"/>
  <cols>
    <col min="1" max="1" width="16.26953125" style="9" customWidth="1"/>
    <col min="2" max="2" width="84.1796875" style="13" customWidth="1"/>
    <col min="3" max="3" width="12" style="13" customWidth="1"/>
    <col min="4" max="4" width="23.7265625" style="13" customWidth="1"/>
    <col min="5" max="6" width="17.453125" style="29" bestFit="1" customWidth="1"/>
    <col min="7" max="7" width="25.26953125" style="29" bestFit="1" customWidth="1"/>
    <col min="8" max="8" width="25.26953125" style="16" bestFit="1" customWidth="1"/>
    <col min="9" max="9" width="18.26953125" customWidth="1"/>
  </cols>
  <sheetData>
    <row r="1" spans="1:10" ht="15.5">
      <c r="A1" s="8" t="s">
        <v>2330</v>
      </c>
      <c r="B1" s="10" t="s">
        <v>1</v>
      </c>
      <c r="C1" s="11" t="s">
        <v>2331</v>
      </c>
      <c r="D1" s="11" t="s">
        <v>811</v>
      </c>
      <c r="E1" s="27" t="s">
        <v>812</v>
      </c>
      <c r="F1" s="27" t="s">
        <v>813</v>
      </c>
      <c r="G1" s="27" t="s">
        <v>814</v>
      </c>
      <c r="H1" s="3" t="s">
        <v>815</v>
      </c>
    </row>
    <row r="2" spans="1:10" ht="15.5">
      <c r="A2" s="8">
        <v>1</v>
      </c>
      <c r="B2" s="11" t="s">
        <v>26</v>
      </c>
      <c r="C2" s="12" t="s">
        <v>816</v>
      </c>
      <c r="D2" s="12" t="s">
        <v>817</v>
      </c>
      <c r="E2" s="28">
        <v>59792</v>
      </c>
      <c r="F2" s="28">
        <v>7559</v>
      </c>
      <c r="G2" s="28">
        <v>189400</v>
      </c>
      <c r="H2" s="4" t="s">
        <v>821</v>
      </c>
    </row>
    <row r="3" spans="1:10" ht="15.5">
      <c r="A3" s="8">
        <v>2</v>
      </c>
      <c r="B3" s="12" t="s">
        <v>7</v>
      </c>
      <c r="C3" s="12" t="s">
        <v>822</v>
      </c>
      <c r="D3" s="12" t="s">
        <v>817</v>
      </c>
      <c r="E3" s="28">
        <v>60619</v>
      </c>
      <c r="F3" s="28">
        <v>12999</v>
      </c>
      <c r="G3" s="28">
        <v>177500</v>
      </c>
      <c r="H3" s="4" t="s">
        <v>826</v>
      </c>
    </row>
    <row r="4" spans="1:10" ht="15.5">
      <c r="A4" s="8">
        <v>3</v>
      </c>
      <c r="B4" s="12" t="s">
        <v>4</v>
      </c>
      <c r="C4" s="12" t="s">
        <v>827</v>
      </c>
      <c r="D4" s="12" t="s">
        <v>817</v>
      </c>
      <c r="E4" s="28">
        <v>45591</v>
      </c>
      <c r="F4" s="28">
        <v>13792</v>
      </c>
      <c r="G4" s="28">
        <v>189400</v>
      </c>
      <c r="H4" s="4" t="s">
        <v>830</v>
      </c>
      <c r="J4" s="6"/>
    </row>
    <row r="5" spans="1:10" ht="15.5">
      <c r="A5" s="8">
        <v>4</v>
      </c>
      <c r="B5" s="12" t="s">
        <v>16</v>
      </c>
      <c r="C5" s="12" t="s">
        <v>831</v>
      </c>
      <c r="D5" s="12" t="s">
        <v>817</v>
      </c>
      <c r="E5" s="28">
        <v>63523</v>
      </c>
      <c r="F5" s="28">
        <v>4926</v>
      </c>
      <c r="G5" s="28">
        <v>168300</v>
      </c>
      <c r="H5" s="4" t="s">
        <v>826</v>
      </c>
    </row>
    <row r="6" spans="1:10" ht="15.5">
      <c r="A6" s="8">
        <v>5</v>
      </c>
      <c r="B6" s="12" t="s">
        <v>10</v>
      </c>
      <c r="C6" s="12" t="s">
        <v>822</v>
      </c>
      <c r="D6" s="12" t="s">
        <v>835</v>
      </c>
      <c r="E6" s="28">
        <v>21669</v>
      </c>
      <c r="F6" s="28">
        <v>7238</v>
      </c>
      <c r="G6" s="28">
        <v>167000</v>
      </c>
      <c r="H6" s="4"/>
    </row>
    <row r="7" spans="1:10" ht="15.5">
      <c r="A7" s="8">
        <v>6</v>
      </c>
      <c r="B7" s="12" t="s">
        <v>13</v>
      </c>
      <c r="C7" s="12" t="s">
        <v>840</v>
      </c>
      <c r="D7" s="12" t="s">
        <v>817</v>
      </c>
      <c r="E7" s="28">
        <v>61061</v>
      </c>
      <c r="F7" s="28">
        <v>16849</v>
      </c>
      <c r="G7" s="28">
        <v>156000</v>
      </c>
      <c r="H7" s="4" t="s">
        <v>826</v>
      </c>
    </row>
    <row r="8" spans="1:10" ht="15.5">
      <c r="A8" s="8">
        <v>7</v>
      </c>
      <c r="B8" s="12" t="s">
        <v>18</v>
      </c>
      <c r="C8" s="12" t="s">
        <v>844</v>
      </c>
      <c r="D8" s="17" t="s">
        <v>817</v>
      </c>
      <c r="E8" s="28">
        <v>57175</v>
      </c>
      <c r="F8" s="28">
        <v>12499</v>
      </c>
      <c r="G8" s="28">
        <v>171800</v>
      </c>
      <c r="H8" s="4" t="s">
        <v>826</v>
      </c>
    </row>
    <row r="9" spans="1:10" ht="15.5">
      <c r="A9" s="8">
        <v>8</v>
      </c>
      <c r="B9" s="12" t="s">
        <v>6</v>
      </c>
      <c r="C9" s="12" t="s">
        <v>827</v>
      </c>
      <c r="D9" s="12" t="s">
        <v>817</v>
      </c>
      <c r="E9" s="28">
        <v>61801</v>
      </c>
      <c r="F9" s="28">
        <v>9004</v>
      </c>
      <c r="G9" s="28">
        <v>171400</v>
      </c>
      <c r="H9" s="4" t="s">
        <v>830</v>
      </c>
    </row>
    <row r="10" spans="1:10" ht="15.5">
      <c r="A10" s="8">
        <v>9</v>
      </c>
      <c r="B10" s="12" t="s">
        <v>128</v>
      </c>
      <c r="C10" s="12" t="s">
        <v>851</v>
      </c>
      <c r="D10" s="12" t="s">
        <v>817</v>
      </c>
      <c r="E10" s="28">
        <v>51955</v>
      </c>
      <c r="F10" s="28">
        <v>10818</v>
      </c>
      <c r="G10" s="28">
        <v>152100</v>
      </c>
      <c r="H10" s="4" t="s">
        <v>830</v>
      </c>
    </row>
    <row r="11" spans="1:10" ht="15.5">
      <c r="A11" s="8">
        <v>10</v>
      </c>
      <c r="B11" s="12" t="s">
        <v>8</v>
      </c>
      <c r="C11" s="12" t="s">
        <v>840</v>
      </c>
      <c r="D11" s="12" t="s">
        <v>817</v>
      </c>
      <c r="E11" s="28">
        <v>54219</v>
      </c>
      <c r="F11" s="28">
        <v>8309</v>
      </c>
      <c r="G11" s="28">
        <v>155400</v>
      </c>
      <c r="H11" s="4" t="s">
        <v>826</v>
      </c>
    </row>
    <row r="12" spans="1:10" ht="15.5">
      <c r="A12" s="8">
        <v>11</v>
      </c>
      <c r="B12" s="12" t="s">
        <v>60</v>
      </c>
      <c r="C12" s="12" t="s">
        <v>858</v>
      </c>
      <c r="D12" s="12" t="s">
        <v>817</v>
      </c>
      <c r="E12" s="28">
        <v>61716</v>
      </c>
      <c r="F12" s="28">
        <v>6973</v>
      </c>
      <c r="G12" s="28">
        <v>141300</v>
      </c>
      <c r="H12" s="4" t="s">
        <v>830</v>
      </c>
    </row>
    <row r="13" spans="1:10" ht="15.5">
      <c r="A13" s="8">
        <v>12</v>
      </c>
      <c r="B13" s="12" t="s">
        <v>33</v>
      </c>
      <c r="C13" s="12" t="s">
        <v>862</v>
      </c>
      <c r="D13" s="12" t="s">
        <v>817</v>
      </c>
      <c r="E13" s="28">
        <v>54405</v>
      </c>
      <c r="F13" s="28">
        <v>9843</v>
      </c>
      <c r="G13" s="28">
        <v>142300</v>
      </c>
      <c r="H13" s="4" t="s">
        <v>830</v>
      </c>
    </row>
    <row r="14" spans="1:10" ht="15.5">
      <c r="A14" s="8">
        <v>13</v>
      </c>
      <c r="B14" s="12" t="s">
        <v>15</v>
      </c>
      <c r="C14" s="12" t="s">
        <v>822</v>
      </c>
      <c r="D14" s="12" t="s">
        <v>835</v>
      </c>
      <c r="E14" s="28">
        <v>21766</v>
      </c>
      <c r="F14" s="28">
        <v>6418</v>
      </c>
      <c r="G14" s="28">
        <v>144400</v>
      </c>
      <c r="H14" s="4"/>
    </row>
    <row r="15" spans="1:10" ht="15.5">
      <c r="A15" s="8">
        <v>14</v>
      </c>
      <c r="B15" s="12" t="s">
        <v>24</v>
      </c>
      <c r="C15" s="12" t="s">
        <v>858</v>
      </c>
      <c r="D15" s="12" t="s">
        <v>817</v>
      </c>
      <c r="E15" s="28">
        <v>48422</v>
      </c>
      <c r="F15" s="28">
        <v>12150</v>
      </c>
      <c r="G15" s="28">
        <v>150600</v>
      </c>
      <c r="H15" s="4" t="s">
        <v>830</v>
      </c>
    </row>
    <row r="16" spans="1:10" ht="15.5">
      <c r="A16" s="8">
        <v>15</v>
      </c>
      <c r="B16" s="12" t="s">
        <v>109</v>
      </c>
      <c r="C16" s="12" t="s">
        <v>872</v>
      </c>
      <c r="D16" s="12" t="s">
        <v>817</v>
      </c>
      <c r="E16" s="28">
        <v>53932</v>
      </c>
      <c r="F16" s="28">
        <v>8872</v>
      </c>
      <c r="G16" s="28">
        <v>148000</v>
      </c>
      <c r="H16" s="4" t="s">
        <v>821</v>
      </c>
    </row>
    <row r="17" spans="1:8" ht="15.5">
      <c r="A17" s="8">
        <v>16</v>
      </c>
      <c r="B17" s="12" t="s">
        <v>118</v>
      </c>
      <c r="C17" s="12" t="s">
        <v>876</v>
      </c>
      <c r="D17" s="12" t="s">
        <v>817</v>
      </c>
      <c r="E17" s="28">
        <v>62293</v>
      </c>
      <c r="F17" s="28">
        <v>6404</v>
      </c>
      <c r="G17" s="28">
        <v>173300</v>
      </c>
      <c r="H17" s="4" t="s">
        <v>830</v>
      </c>
    </row>
    <row r="18" spans="1:8" ht="15.5">
      <c r="A18" s="8">
        <v>17</v>
      </c>
      <c r="B18" s="12" t="s">
        <v>257</v>
      </c>
      <c r="C18" s="12" t="s">
        <v>827</v>
      </c>
      <c r="D18" s="12" t="s">
        <v>817</v>
      </c>
      <c r="E18" s="28">
        <v>57121</v>
      </c>
      <c r="F18" s="28">
        <v>4143</v>
      </c>
      <c r="G18" s="28">
        <v>169200</v>
      </c>
      <c r="H18" s="4" t="s">
        <v>826</v>
      </c>
    </row>
    <row r="19" spans="1:8" ht="15.5">
      <c r="A19" s="8">
        <v>18</v>
      </c>
      <c r="B19" s="12" t="s">
        <v>90</v>
      </c>
      <c r="C19" s="12" t="s">
        <v>883</v>
      </c>
      <c r="D19" s="12" t="s">
        <v>817</v>
      </c>
      <c r="E19" s="28">
        <v>55847</v>
      </c>
      <c r="F19" s="28">
        <v>10059</v>
      </c>
      <c r="G19" s="28">
        <v>155000</v>
      </c>
      <c r="H19" s="4" t="s">
        <v>830</v>
      </c>
    </row>
    <row r="20" spans="1:8" ht="15.5">
      <c r="A20" s="8">
        <v>19</v>
      </c>
      <c r="B20" s="12" t="s">
        <v>484</v>
      </c>
      <c r="C20" s="12" t="s">
        <v>822</v>
      </c>
      <c r="D20" s="12" t="s">
        <v>817</v>
      </c>
      <c r="E20" s="28">
        <v>50020</v>
      </c>
      <c r="F20" s="28">
        <v>7631</v>
      </c>
      <c r="G20" s="28">
        <v>167000</v>
      </c>
      <c r="H20" s="4" t="s">
        <v>826</v>
      </c>
    </row>
    <row r="21" spans="1:8" ht="15.5">
      <c r="A21" s="8">
        <v>20</v>
      </c>
      <c r="B21" s="12" t="s">
        <v>46</v>
      </c>
      <c r="C21" s="12" t="s">
        <v>889</v>
      </c>
      <c r="D21" s="12" t="s">
        <v>817</v>
      </c>
      <c r="E21" s="28">
        <v>57444</v>
      </c>
      <c r="F21" s="28">
        <v>6351</v>
      </c>
      <c r="G21" s="28">
        <v>158700</v>
      </c>
      <c r="H21" s="4" t="s">
        <v>826</v>
      </c>
    </row>
    <row r="22" spans="1:8" ht="15.5">
      <c r="A22" s="8">
        <v>21</v>
      </c>
      <c r="B22" s="12" t="s">
        <v>32</v>
      </c>
      <c r="C22" s="12" t="s">
        <v>822</v>
      </c>
      <c r="D22" s="12" t="s">
        <v>835</v>
      </c>
      <c r="E22" s="28">
        <v>20782</v>
      </c>
      <c r="F22" s="28">
        <v>6437</v>
      </c>
      <c r="G22" s="28">
        <v>151500</v>
      </c>
      <c r="H22" s="4"/>
    </row>
    <row r="23" spans="1:8" ht="15.5">
      <c r="A23" s="8">
        <v>22</v>
      </c>
      <c r="B23" s="12" t="s">
        <v>92</v>
      </c>
      <c r="C23" s="12" t="s">
        <v>822</v>
      </c>
      <c r="D23" s="12" t="s">
        <v>817</v>
      </c>
      <c r="E23" s="28">
        <v>59192</v>
      </c>
      <c r="F23" s="28">
        <v>12553</v>
      </c>
      <c r="G23" s="28">
        <v>168600</v>
      </c>
      <c r="H23" s="4" t="s">
        <v>899</v>
      </c>
    </row>
    <row r="24" spans="1:8" ht="15.5">
      <c r="A24" s="8">
        <v>23</v>
      </c>
      <c r="B24" s="12" t="s">
        <v>315</v>
      </c>
      <c r="C24" s="12" t="s">
        <v>827</v>
      </c>
      <c r="D24" s="12" t="s">
        <v>817</v>
      </c>
      <c r="E24" s="28">
        <v>61328</v>
      </c>
      <c r="F24" s="28">
        <v>5608</v>
      </c>
      <c r="G24" s="28">
        <v>134100</v>
      </c>
      <c r="H24" s="4" t="s">
        <v>826</v>
      </c>
    </row>
    <row r="25" spans="1:8" ht="15.5">
      <c r="A25" s="8">
        <v>24</v>
      </c>
      <c r="B25" s="12" t="s">
        <v>308</v>
      </c>
      <c r="C25" s="12" t="s">
        <v>827</v>
      </c>
      <c r="D25" s="12" t="s">
        <v>817</v>
      </c>
      <c r="E25" s="28">
        <v>58693</v>
      </c>
      <c r="F25" s="28">
        <v>9293</v>
      </c>
      <c r="G25" s="28">
        <v>139700</v>
      </c>
      <c r="H25" s="4" t="s">
        <v>826</v>
      </c>
    </row>
    <row r="26" spans="1:8" ht="15.5">
      <c r="A26" s="8">
        <v>25</v>
      </c>
      <c r="B26" s="12" t="s">
        <v>343</v>
      </c>
      <c r="C26" s="12" t="s">
        <v>906</v>
      </c>
      <c r="D26" s="12" t="s">
        <v>817</v>
      </c>
      <c r="E26" s="28">
        <v>53534</v>
      </c>
      <c r="F26" s="28">
        <v>10512</v>
      </c>
      <c r="G26" s="28">
        <v>152900</v>
      </c>
      <c r="H26" s="4" t="s">
        <v>826</v>
      </c>
    </row>
    <row r="27" spans="1:8" ht="15.5">
      <c r="A27" s="8">
        <v>26</v>
      </c>
      <c r="B27" s="12" t="s">
        <v>36</v>
      </c>
      <c r="C27" s="12" t="s">
        <v>910</v>
      </c>
      <c r="D27" s="12" t="s">
        <v>835</v>
      </c>
      <c r="E27" s="28">
        <v>10555</v>
      </c>
      <c r="F27" s="28">
        <v>6122</v>
      </c>
      <c r="G27" s="28">
        <v>123700</v>
      </c>
      <c r="H27" s="4"/>
    </row>
    <row r="28" spans="1:8" ht="15.5">
      <c r="A28" s="8">
        <v>27</v>
      </c>
      <c r="B28" s="12" t="s">
        <v>233</v>
      </c>
      <c r="C28" s="12" t="s">
        <v>844</v>
      </c>
      <c r="D28" s="12" t="s">
        <v>817</v>
      </c>
      <c r="E28" s="28">
        <v>47703</v>
      </c>
      <c r="F28" s="28">
        <v>7705</v>
      </c>
      <c r="G28" s="28">
        <v>154900</v>
      </c>
      <c r="H28" s="4" t="s">
        <v>826</v>
      </c>
    </row>
    <row r="29" spans="1:8" ht="15.5">
      <c r="A29" s="8">
        <v>28</v>
      </c>
      <c r="B29" s="12" t="s">
        <v>40</v>
      </c>
      <c r="C29" s="12" t="s">
        <v>822</v>
      </c>
      <c r="D29" s="12" t="s">
        <v>817</v>
      </c>
      <c r="E29" s="28">
        <v>45262</v>
      </c>
      <c r="F29" s="28">
        <v>7526</v>
      </c>
      <c r="G29" s="28">
        <v>150100</v>
      </c>
      <c r="H29" s="4" t="s">
        <v>920</v>
      </c>
    </row>
    <row r="30" spans="1:8" ht="15.5">
      <c r="A30" s="8">
        <v>29</v>
      </c>
      <c r="B30" s="11" t="s">
        <v>11</v>
      </c>
      <c r="C30" s="12" t="s">
        <v>922</v>
      </c>
      <c r="D30" s="12" t="s">
        <v>835</v>
      </c>
      <c r="E30" s="28">
        <v>15121</v>
      </c>
      <c r="F30" s="28">
        <v>8470</v>
      </c>
      <c r="G30" s="28">
        <v>137500</v>
      </c>
      <c r="H30" s="4"/>
    </row>
    <row r="31" spans="1:8" ht="15.5">
      <c r="A31" s="8">
        <v>30</v>
      </c>
      <c r="B31" s="12" t="s">
        <v>73</v>
      </c>
      <c r="C31" s="12" t="s">
        <v>926</v>
      </c>
      <c r="D31" s="12" t="s">
        <v>817</v>
      </c>
      <c r="E31" s="28">
        <v>58188</v>
      </c>
      <c r="F31" s="28">
        <v>9495</v>
      </c>
      <c r="G31" s="28">
        <v>142800</v>
      </c>
      <c r="H31" s="4" t="s">
        <v>826</v>
      </c>
    </row>
    <row r="32" spans="1:8" ht="15.5">
      <c r="A32" s="8">
        <v>31</v>
      </c>
      <c r="B32" s="2" t="s">
        <v>42</v>
      </c>
      <c r="C32" s="12" t="s">
        <v>889</v>
      </c>
      <c r="D32" s="12" t="s">
        <v>835</v>
      </c>
      <c r="E32" s="28">
        <v>18066</v>
      </c>
      <c r="F32" s="28">
        <v>7953</v>
      </c>
      <c r="G32" s="28">
        <v>118200</v>
      </c>
      <c r="H32" s="4"/>
    </row>
    <row r="33" spans="1:8" ht="15.5">
      <c r="A33" s="8">
        <v>32</v>
      </c>
      <c r="B33" s="12" t="s">
        <v>70</v>
      </c>
      <c r="C33" s="12" t="s">
        <v>934</v>
      </c>
      <c r="D33" s="12" t="s">
        <v>817</v>
      </c>
      <c r="E33" s="28">
        <v>45949</v>
      </c>
      <c r="F33" s="28">
        <v>8982</v>
      </c>
      <c r="G33" s="28">
        <v>163400</v>
      </c>
      <c r="H33" s="4" t="s">
        <v>938</v>
      </c>
    </row>
    <row r="34" spans="1:8" ht="15.5">
      <c r="A34" s="8">
        <v>33</v>
      </c>
      <c r="B34" s="12" t="s">
        <v>114</v>
      </c>
      <c r="C34" s="12" t="s">
        <v>939</v>
      </c>
      <c r="D34" s="12" t="s">
        <v>817</v>
      </c>
      <c r="E34" s="28">
        <v>48914</v>
      </c>
      <c r="F34" s="28">
        <v>7280</v>
      </c>
      <c r="G34" s="28">
        <v>138600</v>
      </c>
      <c r="H34" s="4" t="s">
        <v>830</v>
      </c>
    </row>
    <row r="35" spans="1:8" ht="15.5">
      <c r="A35" s="8">
        <v>34</v>
      </c>
      <c r="B35" s="12" t="s">
        <v>61</v>
      </c>
      <c r="C35" s="12" t="s">
        <v>943</v>
      </c>
      <c r="D35" s="12" t="s">
        <v>835</v>
      </c>
      <c r="E35" s="28">
        <v>26818</v>
      </c>
      <c r="F35" s="28">
        <v>8639</v>
      </c>
      <c r="G35" s="28">
        <v>149100</v>
      </c>
      <c r="H35" s="4"/>
    </row>
    <row r="36" spans="1:8" ht="15.5">
      <c r="A36" s="8">
        <v>35</v>
      </c>
      <c r="B36" s="12" t="s">
        <v>69</v>
      </c>
      <c r="C36" s="12" t="s">
        <v>822</v>
      </c>
      <c r="D36" s="12" t="s">
        <v>835</v>
      </c>
      <c r="E36" s="28">
        <v>20389</v>
      </c>
      <c r="F36" s="28">
        <v>7453</v>
      </c>
      <c r="G36" s="28">
        <v>148600</v>
      </c>
      <c r="H36" s="4"/>
    </row>
    <row r="37" spans="1:8" ht="15.5">
      <c r="A37" s="8">
        <v>36</v>
      </c>
      <c r="B37" s="12" t="s">
        <v>82</v>
      </c>
      <c r="C37" s="12" t="s">
        <v>950</v>
      </c>
      <c r="D37" s="12" t="s">
        <v>817</v>
      </c>
      <c r="E37" s="28">
        <v>6325</v>
      </c>
      <c r="F37" s="28">
        <v>5457</v>
      </c>
      <c r="G37" s="28">
        <v>133900</v>
      </c>
      <c r="H37" s="4" t="s">
        <v>826</v>
      </c>
    </row>
    <row r="38" spans="1:8" ht="15.5">
      <c r="A38" s="8">
        <v>37</v>
      </c>
      <c r="B38" s="12" t="s">
        <v>367</v>
      </c>
      <c r="C38" s="12" t="s">
        <v>822</v>
      </c>
      <c r="D38" s="12" t="s">
        <v>817</v>
      </c>
      <c r="E38" s="28">
        <v>57848</v>
      </c>
      <c r="F38" s="28">
        <v>9049</v>
      </c>
      <c r="G38" s="28">
        <v>138900</v>
      </c>
      <c r="H38" s="4" t="s">
        <v>826</v>
      </c>
    </row>
    <row r="39" spans="1:8" ht="15.5">
      <c r="A39" s="8">
        <v>38</v>
      </c>
      <c r="B39" s="12" t="s">
        <v>84</v>
      </c>
      <c r="C39" s="12" t="s">
        <v>939</v>
      </c>
      <c r="D39" s="12" t="s">
        <v>835</v>
      </c>
      <c r="E39" s="28">
        <v>13992</v>
      </c>
      <c r="F39" s="28">
        <v>7027</v>
      </c>
      <c r="G39" s="28">
        <v>163500</v>
      </c>
      <c r="H39" s="4"/>
    </row>
    <row r="40" spans="1:8" ht="15.5">
      <c r="A40" s="8">
        <v>39</v>
      </c>
      <c r="B40" s="12" t="s">
        <v>59</v>
      </c>
      <c r="C40" s="12" t="s">
        <v>822</v>
      </c>
      <c r="D40" s="12" t="s">
        <v>835</v>
      </c>
      <c r="E40" s="28">
        <v>17411</v>
      </c>
      <c r="F40" s="28">
        <v>6561</v>
      </c>
      <c r="G40" s="28">
        <v>148400</v>
      </c>
      <c r="H40" s="4"/>
    </row>
    <row r="41" spans="1:8" ht="15.5">
      <c r="A41" s="8">
        <v>40</v>
      </c>
      <c r="B41" s="2" t="s">
        <v>51</v>
      </c>
      <c r="C41" s="12" t="s">
        <v>858</v>
      </c>
      <c r="D41" s="12" t="s">
        <v>835</v>
      </c>
      <c r="E41" s="28">
        <v>16552</v>
      </c>
      <c r="F41" s="28">
        <v>6697</v>
      </c>
      <c r="G41" s="28">
        <v>139900</v>
      </c>
      <c r="H41" s="4"/>
    </row>
    <row r="42" spans="1:8" ht="15.5">
      <c r="A42" s="8">
        <v>41</v>
      </c>
      <c r="B42" s="11" t="s">
        <v>48</v>
      </c>
      <c r="C42" s="12" t="s">
        <v>862</v>
      </c>
      <c r="D42" s="12" t="s">
        <v>835</v>
      </c>
      <c r="E42" s="28">
        <v>11232</v>
      </c>
      <c r="F42" s="28">
        <v>10201</v>
      </c>
      <c r="G42" s="28">
        <v>134700</v>
      </c>
      <c r="H42" s="4"/>
    </row>
    <row r="43" spans="1:8" ht="15.5">
      <c r="A43" s="8">
        <v>42</v>
      </c>
      <c r="B43" s="12" t="s">
        <v>116</v>
      </c>
      <c r="C43" s="12" t="s">
        <v>971</v>
      </c>
      <c r="D43" s="12" t="s">
        <v>817</v>
      </c>
      <c r="E43" s="28">
        <v>49859</v>
      </c>
      <c r="F43" s="28">
        <v>7390</v>
      </c>
      <c r="G43" s="28">
        <v>160200</v>
      </c>
      <c r="H43" s="4" t="s">
        <v>826</v>
      </c>
    </row>
    <row r="44" spans="1:8" ht="15.5">
      <c r="A44" s="8">
        <v>43</v>
      </c>
      <c r="B44" s="12" t="s">
        <v>31</v>
      </c>
      <c r="C44" s="12" t="s">
        <v>822</v>
      </c>
      <c r="D44" s="12" t="s">
        <v>835</v>
      </c>
      <c r="E44" s="28">
        <v>20548</v>
      </c>
      <c r="F44" s="28">
        <v>5965</v>
      </c>
      <c r="G44" s="28">
        <v>142700</v>
      </c>
      <c r="H44" s="4"/>
    </row>
    <row r="45" spans="1:8" ht="15.5">
      <c r="A45" s="8">
        <v>44</v>
      </c>
      <c r="B45" s="11" t="s">
        <v>12</v>
      </c>
      <c r="C45" s="12" t="s">
        <v>979</v>
      </c>
      <c r="D45" s="12" t="s">
        <v>835</v>
      </c>
      <c r="E45" s="28">
        <v>14731</v>
      </c>
      <c r="F45" s="28">
        <v>6169</v>
      </c>
      <c r="G45" s="28">
        <v>136800</v>
      </c>
      <c r="H45" s="4"/>
    </row>
    <row r="46" spans="1:8" ht="15.5">
      <c r="A46" s="8">
        <v>45</v>
      </c>
      <c r="B46" s="12" t="s">
        <v>389</v>
      </c>
      <c r="C46" s="12" t="s">
        <v>840</v>
      </c>
      <c r="D46" s="12" t="s">
        <v>817</v>
      </c>
      <c r="E46" s="28">
        <v>54647</v>
      </c>
      <c r="F46" s="28">
        <v>9018</v>
      </c>
      <c r="G46" s="28">
        <v>173800</v>
      </c>
      <c r="H46" s="4" t="s">
        <v>821</v>
      </c>
    </row>
    <row r="47" spans="1:8" ht="15.5">
      <c r="A47" s="8">
        <v>46</v>
      </c>
      <c r="B47" s="2" t="s">
        <v>22</v>
      </c>
      <c r="C47" s="12" t="s">
        <v>851</v>
      </c>
      <c r="D47" s="12" t="s">
        <v>835</v>
      </c>
      <c r="E47" s="28">
        <v>8321</v>
      </c>
      <c r="F47" s="28">
        <v>5851</v>
      </c>
      <c r="G47" s="28">
        <v>137000</v>
      </c>
      <c r="H47" s="4"/>
    </row>
    <row r="48" spans="1:8" ht="15.5">
      <c r="A48" s="8">
        <v>47</v>
      </c>
      <c r="B48" s="12" t="s">
        <v>349</v>
      </c>
      <c r="C48" s="12" t="s">
        <v>943</v>
      </c>
      <c r="D48" s="12" t="s">
        <v>817</v>
      </c>
      <c r="E48" s="28">
        <v>55567</v>
      </c>
      <c r="F48" s="28">
        <v>7714</v>
      </c>
      <c r="G48" s="28">
        <v>162500</v>
      </c>
      <c r="H48" s="4" t="s">
        <v>899</v>
      </c>
    </row>
    <row r="49" spans="1:8" ht="15.5">
      <c r="A49" s="8">
        <v>48</v>
      </c>
      <c r="B49" s="12" t="s">
        <v>365</v>
      </c>
      <c r="C49" s="12" t="s">
        <v>889</v>
      </c>
      <c r="D49" s="12" t="s">
        <v>817</v>
      </c>
      <c r="E49" s="28">
        <v>46496</v>
      </c>
      <c r="F49" s="28">
        <v>8422</v>
      </c>
      <c r="G49" s="28">
        <v>140300</v>
      </c>
      <c r="H49" s="4" t="s">
        <v>830</v>
      </c>
    </row>
    <row r="50" spans="1:8" ht="15.5">
      <c r="A50" s="8">
        <v>49</v>
      </c>
      <c r="B50" s="12" t="s">
        <v>34</v>
      </c>
      <c r="C50" s="12" t="s">
        <v>840</v>
      </c>
      <c r="D50" s="12" t="s">
        <v>817</v>
      </c>
      <c r="E50" s="28">
        <v>47096</v>
      </c>
      <c r="F50" s="28">
        <v>8550</v>
      </c>
      <c r="G50" s="28">
        <v>147100</v>
      </c>
      <c r="H50" s="4" t="s">
        <v>938</v>
      </c>
    </row>
    <row r="51" spans="1:8" ht="15.5">
      <c r="A51" s="8">
        <v>50</v>
      </c>
      <c r="B51" s="2" t="s">
        <v>20</v>
      </c>
      <c r="C51" s="12" t="s">
        <v>1000</v>
      </c>
      <c r="D51" s="12" t="s">
        <v>835</v>
      </c>
      <c r="E51" s="28">
        <v>11171</v>
      </c>
      <c r="F51" s="28">
        <v>9299</v>
      </c>
      <c r="G51" s="28">
        <v>125900</v>
      </c>
      <c r="H51"/>
    </row>
    <row r="52" spans="1:8" ht="15.5">
      <c r="A52" s="8">
        <v>51</v>
      </c>
      <c r="B52" s="12" t="s">
        <v>252</v>
      </c>
      <c r="C52" s="12" t="s">
        <v>1004</v>
      </c>
      <c r="D52" s="12" t="s">
        <v>817</v>
      </c>
      <c r="E52" s="28">
        <v>56639</v>
      </c>
      <c r="F52" s="28">
        <v>8541</v>
      </c>
      <c r="G52" s="28">
        <v>139500</v>
      </c>
      <c r="H52" s="4" t="s">
        <v>821</v>
      </c>
    </row>
    <row r="53" spans="1:8" ht="15.5">
      <c r="A53" s="8">
        <v>52</v>
      </c>
      <c r="B53" s="12" t="s">
        <v>75</v>
      </c>
      <c r="C53" s="12" t="s">
        <v>827</v>
      </c>
      <c r="D53" s="12" t="s">
        <v>817</v>
      </c>
      <c r="E53" s="28">
        <v>51613</v>
      </c>
      <c r="F53" s="28">
        <v>7034</v>
      </c>
      <c r="G53" s="28">
        <v>144400</v>
      </c>
      <c r="H53" s="4" t="s">
        <v>899</v>
      </c>
    </row>
    <row r="54" spans="1:8" ht="15.5">
      <c r="A54" s="8">
        <v>53</v>
      </c>
      <c r="B54" s="12" t="s">
        <v>62</v>
      </c>
      <c r="C54" s="12" t="s">
        <v>827</v>
      </c>
      <c r="D54" s="12" t="s">
        <v>817</v>
      </c>
      <c r="E54" s="28">
        <v>51565</v>
      </c>
      <c r="F54" s="28">
        <v>10425</v>
      </c>
      <c r="G54" s="28">
        <v>144400</v>
      </c>
      <c r="H54" s="4" t="s">
        <v>938</v>
      </c>
    </row>
    <row r="55" spans="1:8" ht="15.5">
      <c r="A55" s="8">
        <v>54</v>
      </c>
      <c r="B55" s="12" t="s">
        <v>279</v>
      </c>
      <c r="C55" s="12" t="s">
        <v>831</v>
      </c>
      <c r="D55" s="12" t="s">
        <v>817</v>
      </c>
      <c r="E55" s="28">
        <v>59825</v>
      </c>
      <c r="F55" s="28">
        <v>9716</v>
      </c>
      <c r="G55" s="28">
        <v>149200</v>
      </c>
      <c r="H55" s="4" t="s">
        <v>899</v>
      </c>
    </row>
    <row r="56" spans="1:8" ht="15.5">
      <c r="A56" s="8">
        <v>55</v>
      </c>
      <c r="B56" s="12" t="s">
        <v>1016</v>
      </c>
      <c r="C56" s="12" t="s">
        <v>943</v>
      </c>
      <c r="D56" s="12" t="s">
        <v>835</v>
      </c>
      <c r="E56" s="28">
        <v>15134</v>
      </c>
      <c r="F56" s="28">
        <v>8882</v>
      </c>
      <c r="G56" s="28">
        <v>134200</v>
      </c>
      <c r="H56" s="4"/>
    </row>
    <row r="57" spans="1:8" ht="15.5">
      <c r="A57" s="8">
        <v>56</v>
      </c>
      <c r="B57" s="12" t="s">
        <v>380</v>
      </c>
      <c r="C57" s="12" t="s">
        <v>840</v>
      </c>
      <c r="D57" s="12" t="s">
        <v>817</v>
      </c>
      <c r="E57" s="28">
        <v>53817</v>
      </c>
      <c r="F57" s="28">
        <v>7339</v>
      </c>
      <c r="G57" s="28">
        <v>149300</v>
      </c>
      <c r="H57" s="4" t="s">
        <v>821</v>
      </c>
    </row>
    <row r="58" spans="1:8" ht="15.5">
      <c r="A58" s="8">
        <v>57</v>
      </c>
      <c r="B58" s="11" t="s">
        <v>2350</v>
      </c>
      <c r="C58" s="12" t="s">
        <v>822</v>
      </c>
      <c r="D58" s="12" t="s">
        <v>835</v>
      </c>
      <c r="E58" s="28">
        <v>10065</v>
      </c>
      <c r="F58" s="28">
        <v>6132</v>
      </c>
      <c r="G58" s="28">
        <v>148600</v>
      </c>
      <c r="H58" s="4"/>
    </row>
    <row r="59" spans="1:8" ht="15.5">
      <c r="A59" s="8">
        <v>58</v>
      </c>
      <c r="B59" s="12" t="s">
        <v>44</v>
      </c>
      <c r="C59" s="12" t="s">
        <v>844</v>
      </c>
      <c r="D59" s="12" t="s">
        <v>817</v>
      </c>
      <c r="E59" s="28">
        <v>43966</v>
      </c>
      <c r="F59" s="28">
        <v>6525</v>
      </c>
      <c r="G59" s="28">
        <v>162100</v>
      </c>
      <c r="H59" s="4" t="s">
        <v>826</v>
      </c>
    </row>
    <row r="60" spans="1:8" ht="15.5">
      <c r="A60" s="8">
        <v>59</v>
      </c>
      <c r="B60" s="12" t="s">
        <v>142</v>
      </c>
      <c r="C60" s="12" t="s">
        <v>827</v>
      </c>
      <c r="D60" s="12" t="s">
        <v>817</v>
      </c>
      <c r="E60" s="28">
        <v>49992</v>
      </c>
      <c r="F60" s="28">
        <v>3588</v>
      </c>
      <c r="G60" s="28">
        <v>142200</v>
      </c>
      <c r="H60" s="4" t="s">
        <v>899</v>
      </c>
    </row>
    <row r="61" spans="1:8" ht="15.5">
      <c r="A61" s="8">
        <v>60</v>
      </c>
      <c r="B61" s="12" t="s">
        <v>471</v>
      </c>
      <c r="C61" s="12" t="s">
        <v>844</v>
      </c>
      <c r="D61" s="12" t="s">
        <v>817</v>
      </c>
      <c r="E61" s="28">
        <v>24981</v>
      </c>
      <c r="F61" s="28">
        <v>8349</v>
      </c>
      <c r="G61" s="28">
        <v>158700</v>
      </c>
      <c r="H61" s="4" t="s">
        <v>920</v>
      </c>
    </row>
    <row r="62" spans="1:8" ht="15.5">
      <c r="A62" s="8">
        <v>61</v>
      </c>
      <c r="B62" s="12" t="s">
        <v>225</v>
      </c>
      <c r="C62" s="12" t="s">
        <v>822</v>
      </c>
      <c r="D62" s="12" t="s">
        <v>817</v>
      </c>
      <c r="E62" s="28">
        <v>25295</v>
      </c>
      <c r="F62" s="28">
        <v>7778</v>
      </c>
      <c r="G62" s="28">
        <v>173100</v>
      </c>
      <c r="H62" s="4" t="s">
        <v>938</v>
      </c>
    </row>
    <row r="63" spans="1:8" ht="15.5">
      <c r="A63" s="8">
        <v>62</v>
      </c>
      <c r="B63" s="12" t="s">
        <v>86</v>
      </c>
      <c r="C63" s="12" t="s">
        <v>939</v>
      </c>
      <c r="D63" s="12" t="s">
        <v>835</v>
      </c>
      <c r="E63" s="28">
        <v>11559</v>
      </c>
      <c r="F63" s="28">
        <v>6778</v>
      </c>
      <c r="G63" s="28">
        <v>124800</v>
      </c>
      <c r="H63" s="4"/>
    </row>
    <row r="64" spans="1:8" ht="15.5">
      <c r="A64" s="8">
        <v>63</v>
      </c>
      <c r="B64" s="12" t="s">
        <v>29</v>
      </c>
      <c r="C64" s="12" t="s">
        <v>971</v>
      </c>
      <c r="D64" s="12" t="s">
        <v>835</v>
      </c>
      <c r="E64" s="28">
        <v>8950</v>
      </c>
      <c r="F64" s="28">
        <v>9125</v>
      </c>
      <c r="G64" s="28">
        <v>126300</v>
      </c>
      <c r="H64" s="4"/>
    </row>
    <row r="65" spans="1:8" ht="15.5">
      <c r="A65" s="8">
        <v>64</v>
      </c>
      <c r="B65" s="12" t="s">
        <v>245</v>
      </c>
      <c r="C65" s="12" t="s">
        <v>844</v>
      </c>
      <c r="D65" s="12" t="s">
        <v>817</v>
      </c>
      <c r="E65" s="28">
        <v>44116</v>
      </c>
      <c r="F65" s="28">
        <v>9603</v>
      </c>
      <c r="G65" s="28">
        <v>168200</v>
      </c>
      <c r="H65" s="4" t="s">
        <v>899</v>
      </c>
    </row>
    <row r="66" spans="1:8" ht="15.5">
      <c r="A66" s="8">
        <v>65</v>
      </c>
      <c r="B66" s="12" t="s">
        <v>108</v>
      </c>
      <c r="C66" s="12" t="s">
        <v>910</v>
      </c>
      <c r="D66" s="12" t="s">
        <v>835</v>
      </c>
      <c r="E66" s="28">
        <v>10169</v>
      </c>
      <c r="F66" s="28">
        <v>6953</v>
      </c>
      <c r="G66" s="28">
        <v>111900</v>
      </c>
      <c r="H66" s="4"/>
    </row>
    <row r="67" spans="1:8" ht="15.5">
      <c r="A67" s="8">
        <v>66</v>
      </c>
      <c r="B67" s="12" t="s">
        <v>386</v>
      </c>
      <c r="C67" s="12" t="s">
        <v>840</v>
      </c>
      <c r="D67" s="12" t="s">
        <v>817</v>
      </c>
      <c r="E67" s="28">
        <v>52497</v>
      </c>
      <c r="F67" s="28">
        <v>4749</v>
      </c>
      <c r="G67" s="28">
        <v>125400</v>
      </c>
      <c r="H67" s="4" t="s">
        <v>826</v>
      </c>
    </row>
    <row r="68" spans="1:8" ht="15.5">
      <c r="A68" s="8">
        <v>67</v>
      </c>
      <c r="B68" s="12" t="s">
        <v>100</v>
      </c>
      <c r="C68" s="12" t="s">
        <v>934</v>
      </c>
      <c r="D68" s="12" t="s">
        <v>817</v>
      </c>
      <c r="E68" s="28">
        <v>35257</v>
      </c>
      <c r="F68" s="28">
        <v>10893</v>
      </c>
      <c r="G68" s="28">
        <v>148300</v>
      </c>
      <c r="H68" s="4" t="s">
        <v>920</v>
      </c>
    </row>
    <row r="69" spans="1:8" ht="15.5">
      <c r="A69" s="8">
        <v>68</v>
      </c>
      <c r="B69" s="11" t="s">
        <v>63</v>
      </c>
      <c r="C69" s="12" t="s">
        <v>889</v>
      </c>
      <c r="D69" s="12" t="s">
        <v>835</v>
      </c>
      <c r="E69" s="28">
        <v>9181</v>
      </c>
      <c r="F69" s="28">
        <v>7194</v>
      </c>
      <c r="G69" s="28">
        <v>128600</v>
      </c>
      <c r="H69" s="4"/>
    </row>
    <row r="70" spans="1:8" ht="15.5">
      <c r="A70" s="8">
        <v>69</v>
      </c>
      <c r="B70" s="12" t="s">
        <v>1060</v>
      </c>
      <c r="C70" s="12" t="s">
        <v>827</v>
      </c>
      <c r="D70" s="12" t="s">
        <v>817</v>
      </c>
      <c r="E70" s="28">
        <v>40522</v>
      </c>
      <c r="F70" s="28">
        <v>9042</v>
      </c>
      <c r="G70" s="28"/>
      <c r="H70" s="4"/>
    </row>
    <row r="71" spans="1:8" ht="15.5">
      <c r="A71" s="8">
        <v>70</v>
      </c>
      <c r="B71" s="11" t="s">
        <v>55</v>
      </c>
      <c r="C71" s="12" t="s">
        <v>851</v>
      </c>
      <c r="D71" s="12" t="s">
        <v>835</v>
      </c>
      <c r="E71" s="28">
        <v>12278</v>
      </c>
      <c r="F71" s="28">
        <v>8518</v>
      </c>
      <c r="G71" s="28">
        <v>139700</v>
      </c>
      <c r="H71" s="4"/>
    </row>
    <row r="72" spans="1:8" ht="15.5">
      <c r="A72" s="8">
        <v>71</v>
      </c>
      <c r="B72" s="12" t="s">
        <v>1067</v>
      </c>
      <c r="C72" s="12" t="s">
        <v>831</v>
      </c>
      <c r="D72" s="12" t="s">
        <v>817</v>
      </c>
      <c r="E72" s="28">
        <v>46929</v>
      </c>
      <c r="F72" s="28">
        <v>7819</v>
      </c>
      <c r="G72" s="28">
        <v>141600</v>
      </c>
      <c r="H72" s="4" t="s">
        <v>821</v>
      </c>
    </row>
    <row r="73" spans="1:8" ht="15.5">
      <c r="A73" s="8">
        <v>72</v>
      </c>
      <c r="B73" s="12" t="s">
        <v>411</v>
      </c>
      <c r="C73" s="12" t="s">
        <v>844</v>
      </c>
      <c r="D73" s="12" t="s">
        <v>817</v>
      </c>
      <c r="E73" s="28">
        <v>57999</v>
      </c>
      <c r="F73" s="28">
        <v>10152</v>
      </c>
      <c r="G73" s="28">
        <v>146900</v>
      </c>
      <c r="H73" s="4" t="s">
        <v>899</v>
      </c>
    </row>
    <row r="74" spans="1:8" ht="15.5">
      <c r="A74" s="8">
        <v>73</v>
      </c>
      <c r="B74" s="12" t="s">
        <v>133</v>
      </c>
      <c r="C74" s="12" t="s">
        <v>827</v>
      </c>
      <c r="D74" s="12" t="s">
        <v>817</v>
      </c>
      <c r="E74" s="28">
        <v>42331</v>
      </c>
      <c r="F74" s="28">
        <v>8278</v>
      </c>
      <c r="G74" s="28">
        <v>130300</v>
      </c>
      <c r="H74" s="4" t="s">
        <v>821</v>
      </c>
    </row>
    <row r="75" spans="1:8" ht="15.5">
      <c r="A75" s="8">
        <v>74</v>
      </c>
      <c r="B75" s="12" t="s">
        <v>1077</v>
      </c>
      <c r="C75" s="12" t="s">
        <v>840</v>
      </c>
      <c r="D75" s="12" t="s">
        <v>835</v>
      </c>
      <c r="E75" s="28">
        <v>9423</v>
      </c>
      <c r="F75" s="28">
        <v>5495</v>
      </c>
      <c r="G75" s="28">
        <v>132100</v>
      </c>
      <c r="H75" s="4"/>
    </row>
    <row r="76" spans="1:8" ht="15.5">
      <c r="A76" s="8">
        <v>75</v>
      </c>
      <c r="B76" s="2" t="s">
        <v>28</v>
      </c>
      <c r="C76" s="12" t="s">
        <v>1082</v>
      </c>
      <c r="D76" s="12" t="s">
        <v>835</v>
      </c>
      <c r="E76" s="28">
        <v>11388</v>
      </c>
      <c r="F76" s="28">
        <v>9722</v>
      </c>
      <c r="G76" s="28">
        <v>125700</v>
      </c>
      <c r="H76" s="4"/>
    </row>
    <row r="77" spans="1:8" ht="15.5">
      <c r="A77" s="8">
        <v>76</v>
      </c>
      <c r="B77" s="11" t="s">
        <v>234</v>
      </c>
      <c r="C77" s="12" t="s">
        <v>840</v>
      </c>
      <c r="D77" s="12" t="s">
        <v>835</v>
      </c>
      <c r="E77" s="28">
        <v>11305</v>
      </c>
      <c r="F77" s="28">
        <v>7783</v>
      </c>
      <c r="G77" s="28">
        <v>136600</v>
      </c>
      <c r="H77" s="4"/>
    </row>
    <row r="78" spans="1:8" ht="15.5">
      <c r="A78" s="8">
        <v>77</v>
      </c>
      <c r="B78" s="12" t="s">
        <v>148</v>
      </c>
      <c r="C78" s="12" t="s">
        <v>822</v>
      </c>
      <c r="D78" s="12" t="s">
        <v>835</v>
      </c>
      <c r="E78" s="28">
        <v>9934</v>
      </c>
      <c r="F78" s="28">
        <v>8240</v>
      </c>
      <c r="G78" s="28">
        <v>124100</v>
      </c>
      <c r="H78" s="4"/>
    </row>
    <row r="79" spans="1:8" ht="15.5">
      <c r="A79" s="8">
        <v>78</v>
      </c>
      <c r="B79" s="12" t="s">
        <v>1093</v>
      </c>
      <c r="C79" s="12" t="s">
        <v>840</v>
      </c>
      <c r="D79" s="12" t="s">
        <v>817</v>
      </c>
      <c r="E79" s="28">
        <v>39305</v>
      </c>
      <c r="F79" s="28">
        <v>8310</v>
      </c>
      <c r="G79" s="28">
        <v>156500</v>
      </c>
      <c r="H79" s="4" t="s">
        <v>826</v>
      </c>
    </row>
    <row r="80" spans="1:8" ht="15.5">
      <c r="A80" s="8">
        <v>79</v>
      </c>
      <c r="B80" s="2" t="s">
        <v>50</v>
      </c>
      <c r="C80" s="12" t="s">
        <v>816</v>
      </c>
      <c r="D80" s="12" t="s">
        <v>835</v>
      </c>
      <c r="E80" s="28">
        <v>12785</v>
      </c>
      <c r="F80" s="28">
        <v>8040</v>
      </c>
      <c r="G80" s="28">
        <v>137000</v>
      </c>
      <c r="H80" s="4"/>
    </row>
    <row r="81" spans="1:8" ht="15.5">
      <c r="A81" s="8">
        <v>80</v>
      </c>
      <c r="B81" s="12" t="s">
        <v>399</v>
      </c>
      <c r="C81" s="12" t="s">
        <v>906</v>
      </c>
      <c r="D81" s="12" t="s">
        <v>817</v>
      </c>
      <c r="E81" s="28">
        <v>51414</v>
      </c>
      <c r="F81" s="28">
        <v>8728</v>
      </c>
      <c r="G81" s="28">
        <v>150500</v>
      </c>
      <c r="H81" s="4" t="s">
        <v>899</v>
      </c>
    </row>
    <row r="82" spans="1:8" ht="15.5">
      <c r="A82" s="8">
        <v>81</v>
      </c>
      <c r="B82" s="12" t="s">
        <v>396</v>
      </c>
      <c r="C82" s="12" t="s">
        <v>1104</v>
      </c>
      <c r="D82" s="12" t="s">
        <v>817</v>
      </c>
      <c r="E82" s="28">
        <v>42231</v>
      </c>
      <c r="F82" s="28">
        <v>7707</v>
      </c>
      <c r="G82" s="28">
        <v>121900</v>
      </c>
      <c r="H82" s="4" t="s">
        <v>830</v>
      </c>
    </row>
    <row r="83" spans="1:8" ht="15.5">
      <c r="A83" s="8">
        <v>82</v>
      </c>
      <c r="B83" s="2" t="s">
        <v>139</v>
      </c>
      <c r="C83" s="12" t="s">
        <v>910</v>
      </c>
      <c r="D83" s="12" t="s">
        <v>817</v>
      </c>
      <c r="E83" s="28">
        <v>37322</v>
      </c>
      <c r="F83" s="28">
        <v>8432</v>
      </c>
      <c r="G83" s="28">
        <v>120000</v>
      </c>
      <c r="H83" s="4" t="s">
        <v>899</v>
      </c>
    </row>
    <row r="84" spans="1:8" ht="15.5">
      <c r="A84" s="8">
        <v>83</v>
      </c>
      <c r="B84" s="2" t="s">
        <v>79</v>
      </c>
      <c r="C84" s="12" t="s">
        <v>943</v>
      </c>
      <c r="D84" s="12" t="s">
        <v>835</v>
      </c>
      <c r="E84" s="28">
        <v>7649</v>
      </c>
      <c r="F84" s="28">
        <v>10100</v>
      </c>
      <c r="G84" s="28">
        <v>136000</v>
      </c>
      <c r="H84" s="4"/>
    </row>
    <row r="85" spans="1:8" ht="15.5">
      <c r="A85" s="8">
        <v>84</v>
      </c>
      <c r="B85" s="11" t="s">
        <v>2351</v>
      </c>
      <c r="C85" s="12" t="s">
        <v>840</v>
      </c>
      <c r="D85" s="12" t="s">
        <v>835</v>
      </c>
      <c r="E85" s="28">
        <v>11584</v>
      </c>
      <c r="F85" s="28">
        <v>7068</v>
      </c>
      <c r="G85" s="28">
        <v>129700</v>
      </c>
      <c r="H85" s="4"/>
    </row>
    <row r="86" spans="1:8" ht="15.5">
      <c r="A86" s="8">
        <v>85</v>
      </c>
      <c r="B86" s="12" t="s">
        <v>120</v>
      </c>
      <c r="C86" s="12" t="s">
        <v>831</v>
      </c>
      <c r="D86" s="12" t="s">
        <v>835</v>
      </c>
      <c r="E86" s="28">
        <v>14678</v>
      </c>
      <c r="F86" s="28">
        <v>8108</v>
      </c>
      <c r="G86" s="28">
        <v>126000</v>
      </c>
      <c r="H86" s="4"/>
    </row>
    <row r="87" spans="1:8" ht="15.5">
      <c r="A87" s="8">
        <v>86</v>
      </c>
      <c r="B87" s="11" t="s">
        <v>52</v>
      </c>
      <c r="C87" s="12" t="s">
        <v>1124</v>
      </c>
      <c r="D87" s="12" t="s">
        <v>835</v>
      </c>
      <c r="E87" s="28">
        <v>10993</v>
      </c>
      <c r="F87" s="28">
        <v>7842</v>
      </c>
      <c r="G87" s="28">
        <v>116900</v>
      </c>
      <c r="H87" s="4"/>
    </row>
    <row r="88" spans="1:8" ht="15.5">
      <c r="A88" s="8">
        <v>87</v>
      </c>
      <c r="B88" s="12" t="s">
        <v>271</v>
      </c>
      <c r="C88" s="12" t="s">
        <v>844</v>
      </c>
      <c r="D88" s="12" t="s">
        <v>817</v>
      </c>
      <c r="E88" s="28">
        <v>42834</v>
      </c>
      <c r="F88" s="28">
        <v>10781</v>
      </c>
      <c r="G88" s="28">
        <v>140400</v>
      </c>
      <c r="H88" s="4" t="s">
        <v>830</v>
      </c>
    </row>
    <row r="89" spans="1:8" ht="15.5">
      <c r="A89" s="8">
        <v>88</v>
      </c>
      <c r="B89" s="12" t="s">
        <v>236</v>
      </c>
      <c r="C89" s="12" t="s">
        <v>889</v>
      </c>
      <c r="D89" s="12" t="s">
        <v>817</v>
      </c>
      <c r="E89" s="28">
        <v>54233</v>
      </c>
      <c r="F89" s="28">
        <v>10075</v>
      </c>
      <c r="G89" s="28">
        <v>145200</v>
      </c>
      <c r="H89" s="4" t="s">
        <v>830</v>
      </c>
    </row>
    <row r="90" spans="1:8" ht="15.5">
      <c r="A90" s="8">
        <v>89</v>
      </c>
      <c r="B90" s="12" t="s">
        <v>248</v>
      </c>
      <c r="C90" s="12" t="s">
        <v>822</v>
      </c>
      <c r="D90" s="12" t="s">
        <v>835</v>
      </c>
      <c r="E90" s="28">
        <v>9478</v>
      </c>
      <c r="F90" s="28">
        <v>5404</v>
      </c>
      <c r="G90" s="28">
        <v>121700</v>
      </c>
      <c r="H90" s="4"/>
    </row>
    <row r="91" spans="1:8" ht="15.5">
      <c r="A91" s="8">
        <v>90</v>
      </c>
      <c r="B91" s="12" t="s">
        <v>38</v>
      </c>
      <c r="C91" s="12" t="s">
        <v>922</v>
      </c>
      <c r="D91" s="12" t="s">
        <v>835</v>
      </c>
      <c r="E91" s="28">
        <v>8684</v>
      </c>
      <c r="F91" s="28">
        <v>8138</v>
      </c>
      <c r="G91" s="28">
        <v>118800</v>
      </c>
      <c r="H91" s="4"/>
    </row>
    <row r="92" spans="1:8" ht="15.5">
      <c r="A92" s="8">
        <v>91</v>
      </c>
      <c r="B92" s="12" t="s">
        <v>88</v>
      </c>
      <c r="C92" s="12" t="s">
        <v>840</v>
      </c>
      <c r="D92" s="12" t="s">
        <v>817</v>
      </c>
      <c r="E92" s="28">
        <v>39715</v>
      </c>
      <c r="F92" s="28">
        <v>7198</v>
      </c>
      <c r="G92" s="28">
        <v>140900</v>
      </c>
      <c r="H92" s="4" t="s">
        <v>920</v>
      </c>
    </row>
    <row r="93" spans="1:8" ht="15.5">
      <c r="A93" s="8">
        <v>92</v>
      </c>
      <c r="B93" s="11" t="s">
        <v>67</v>
      </c>
      <c r="C93" s="12" t="s">
        <v>971</v>
      </c>
      <c r="D93" s="12" t="s">
        <v>835</v>
      </c>
      <c r="E93" s="28">
        <v>10336</v>
      </c>
      <c r="F93" s="28">
        <v>9757</v>
      </c>
      <c r="G93" s="28">
        <v>117300</v>
      </c>
      <c r="H93" s="4"/>
    </row>
    <row r="94" spans="1:8" ht="15.5">
      <c r="A94" s="8">
        <v>93</v>
      </c>
      <c r="B94" s="12" t="s">
        <v>307</v>
      </c>
      <c r="C94" s="12" t="s">
        <v>844</v>
      </c>
      <c r="D94" s="12" t="s">
        <v>817</v>
      </c>
      <c r="E94" s="28">
        <v>37775</v>
      </c>
      <c r="F94" s="28">
        <v>11397</v>
      </c>
      <c r="G94" s="28">
        <v>155500</v>
      </c>
      <c r="H94" s="4" t="s">
        <v>899</v>
      </c>
    </row>
    <row r="95" spans="1:8" ht="15.5">
      <c r="A95" s="8">
        <v>94</v>
      </c>
      <c r="B95" s="11" t="s">
        <v>65</v>
      </c>
      <c r="C95" s="12" t="s">
        <v>950</v>
      </c>
      <c r="D95" s="12" t="s">
        <v>835</v>
      </c>
      <c r="E95" s="28">
        <v>9696</v>
      </c>
      <c r="F95" s="28">
        <v>8287</v>
      </c>
      <c r="G95" s="28">
        <v>125900</v>
      </c>
      <c r="H95" s="4"/>
    </row>
    <row r="96" spans="1:8" ht="15.5">
      <c r="A96" s="8">
        <v>95</v>
      </c>
      <c r="B96" s="12" t="s">
        <v>1154</v>
      </c>
      <c r="C96" s="12" t="s">
        <v>851</v>
      </c>
      <c r="D96" s="12" t="s">
        <v>817</v>
      </c>
      <c r="E96" s="28">
        <v>33614</v>
      </c>
      <c r="F96" s="28">
        <v>9574</v>
      </c>
      <c r="G96" s="28">
        <v>130600</v>
      </c>
      <c r="H96" s="4" t="s">
        <v>830</v>
      </c>
    </row>
    <row r="97" spans="1:8" ht="15.5">
      <c r="A97" s="8">
        <v>96</v>
      </c>
      <c r="B97" s="12" t="s">
        <v>370</v>
      </c>
      <c r="C97" s="12" t="s">
        <v>827</v>
      </c>
      <c r="D97" s="12" t="s">
        <v>817</v>
      </c>
      <c r="E97" s="28">
        <v>30513</v>
      </c>
      <c r="F97" s="28">
        <v>9137</v>
      </c>
      <c r="G97" s="28">
        <v>175200</v>
      </c>
      <c r="H97" s="4" t="s">
        <v>899</v>
      </c>
    </row>
    <row r="98" spans="1:8" ht="15.5">
      <c r="A98" s="8">
        <v>97</v>
      </c>
      <c r="B98" s="12" t="s">
        <v>127</v>
      </c>
      <c r="C98" s="12" t="s">
        <v>822</v>
      </c>
      <c r="D98" s="12" t="s">
        <v>835</v>
      </c>
      <c r="E98" s="28">
        <v>22042</v>
      </c>
      <c r="F98" s="28">
        <v>5140</v>
      </c>
      <c r="G98" s="28">
        <v>128800</v>
      </c>
      <c r="H98" s="4"/>
    </row>
    <row r="99" spans="1:8" ht="15.5">
      <c r="A99" s="8">
        <v>98</v>
      </c>
      <c r="B99" s="12" t="s">
        <v>153</v>
      </c>
      <c r="C99" s="12" t="s">
        <v>1164</v>
      </c>
      <c r="D99" s="12" t="s">
        <v>835</v>
      </c>
      <c r="E99" s="28">
        <v>10430</v>
      </c>
      <c r="F99" s="28">
        <v>11748</v>
      </c>
      <c r="G99" s="28">
        <v>125200</v>
      </c>
      <c r="H99" s="4"/>
    </row>
    <row r="100" spans="1:8" ht="15.5">
      <c r="A100" s="8">
        <v>99</v>
      </c>
      <c r="B100" s="12" t="s">
        <v>201</v>
      </c>
      <c r="C100" s="12" t="s">
        <v>851</v>
      </c>
      <c r="D100" s="12" t="s">
        <v>817</v>
      </c>
      <c r="E100" s="28">
        <v>35344</v>
      </c>
      <c r="F100" s="28">
        <v>12369</v>
      </c>
      <c r="G100" s="28">
        <v>139000</v>
      </c>
      <c r="H100" s="4" t="s">
        <v>821</v>
      </c>
    </row>
    <row r="101" spans="1:8" ht="15.5">
      <c r="A101" s="8">
        <v>100</v>
      </c>
      <c r="B101" s="12" t="s">
        <v>247</v>
      </c>
      <c r="C101" s="12" t="s">
        <v>822</v>
      </c>
      <c r="D101" s="12" t="s">
        <v>835</v>
      </c>
      <c r="E101" s="28">
        <v>9194</v>
      </c>
      <c r="F101" s="28">
        <v>5834</v>
      </c>
      <c r="G101" s="28">
        <v>118200</v>
      </c>
      <c r="H101"/>
    </row>
    <row r="102" spans="1:8" ht="15.5">
      <c r="A102" s="8">
        <v>101</v>
      </c>
      <c r="B102" s="12" t="s">
        <v>244</v>
      </c>
      <c r="C102" s="12" t="s">
        <v>943</v>
      </c>
      <c r="D102" s="12" t="s">
        <v>817</v>
      </c>
      <c r="E102" s="28">
        <v>46385</v>
      </c>
      <c r="F102" s="28">
        <v>8250</v>
      </c>
      <c r="G102" s="28">
        <v>129800</v>
      </c>
      <c r="H102" s="4" t="s">
        <v>938</v>
      </c>
    </row>
    <row r="103" spans="1:8" ht="15.5">
      <c r="A103" s="8">
        <v>102</v>
      </c>
      <c r="B103" s="12" t="s">
        <v>301</v>
      </c>
      <c r="C103" s="12" t="s">
        <v>840</v>
      </c>
      <c r="D103" s="12" t="s">
        <v>817</v>
      </c>
      <c r="E103" s="28">
        <v>50193</v>
      </c>
      <c r="F103" s="28">
        <v>6177</v>
      </c>
      <c r="G103" s="28">
        <v>124100</v>
      </c>
      <c r="H103" s="4" t="s">
        <v>899</v>
      </c>
    </row>
    <row r="104" spans="1:8" ht="15.5">
      <c r="A104" s="8">
        <v>103</v>
      </c>
      <c r="B104" s="12" t="s">
        <v>417</v>
      </c>
      <c r="C104" s="12" t="s">
        <v>827</v>
      </c>
      <c r="D104" s="12" t="s">
        <v>817</v>
      </c>
      <c r="E104" s="28">
        <v>39615</v>
      </c>
      <c r="F104" s="28">
        <v>5896</v>
      </c>
      <c r="G104" s="28">
        <v>138100</v>
      </c>
      <c r="H104" s="4" t="s">
        <v>899</v>
      </c>
    </row>
    <row r="105" spans="1:8" ht="15.5">
      <c r="A105" s="8">
        <v>104</v>
      </c>
      <c r="B105" s="11" t="s">
        <v>53</v>
      </c>
      <c r="C105" s="12" t="s">
        <v>1183</v>
      </c>
      <c r="D105" s="12" t="s">
        <v>835</v>
      </c>
      <c r="E105" s="28">
        <v>10477</v>
      </c>
      <c r="F105" s="28">
        <v>10614</v>
      </c>
      <c r="G105" s="28">
        <v>136500</v>
      </c>
      <c r="H105" s="4"/>
    </row>
    <row r="106" spans="1:8" ht="15.5">
      <c r="A106" s="8">
        <v>105</v>
      </c>
      <c r="B106" s="12" t="s">
        <v>199</v>
      </c>
      <c r="C106" s="12" t="s">
        <v>827</v>
      </c>
      <c r="D106" s="12" t="s">
        <v>817</v>
      </c>
      <c r="E106" s="28">
        <v>33733</v>
      </c>
      <c r="F106" s="28">
        <v>7017</v>
      </c>
      <c r="G106" s="28">
        <v>153600</v>
      </c>
      <c r="H106" s="4" t="s">
        <v>938</v>
      </c>
    </row>
    <row r="107" spans="1:8" ht="15.5">
      <c r="A107" s="8">
        <v>106</v>
      </c>
      <c r="B107" s="12" t="s">
        <v>283</v>
      </c>
      <c r="C107" s="12" t="s">
        <v>822</v>
      </c>
      <c r="D107" s="12" t="s">
        <v>817</v>
      </c>
      <c r="E107" s="28">
        <v>36408</v>
      </c>
      <c r="F107" s="28">
        <v>7044</v>
      </c>
      <c r="G107" s="28">
        <v>139000</v>
      </c>
      <c r="H107" s="4" t="s">
        <v>920</v>
      </c>
    </row>
    <row r="108" spans="1:8" ht="15.5">
      <c r="A108" s="8">
        <v>107</v>
      </c>
      <c r="B108" s="12" t="s">
        <v>105</v>
      </c>
      <c r="C108" s="12" t="s">
        <v>910</v>
      </c>
      <c r="D108" s="12" t="s">
        <v>835</v>
      </c>
      <c r="E108" s="28">
        <v>11066</v>
      </c>
      <c r="F108" s="28">
        <v>8261</v>
      </c>
      <c r="G108" s="28">
        <v>110100</v>
      </c>
      <c r="H108" s="4"/>
    </row>
    <row r="109" spans="1:8" ht="15.5">
      <c r="A109" s="8">
        <v>108</v>
      </c>
      <c r="B109" s="12" t="s">
        <v>111</v>
      </c>
      <c r="C109" s="12" t="s">
        <v>840</v>
      </c>
      <c r="D109" s="12" t="s">
        <v>817</v>
      </c>
      <c r="E109" s="28">
        <v>34737</v>
      </c>
      <c r="F109" s="28">
        <v>10986</v>
      </c>
      <c r="G109" s="28">
        <v>130100</v>
      </c>
      <c r="H109" s="4" t="s">
        <v>920</v>
      </c>
    </row>
    <row r="110" spans="1:8" ht="15.5">
      <c r="A110" s="8">
        <v>109</v>
      </c>
      <c r="B110" s="11" t="s">
        <v>45</v>
      </c>
      <c r="C110" s="12" t="s">
        <v>1199</v>
      </c>
      <c r="D110" s="12" t="s">
        <v>835</v>
      </c>
      <c r="E110" s="28">
        <v>12381</v>
      </c>
      <c r="F110" s="28">
        <v>8002</v>
      </c>
      <c r="G110" s="28">
        <v>118000</v>
      </c>
      <c r="H110" s="4"/>
    </row>
    <row r="111" spans="1:8" ht="15.5">
      <c r="A111" s="8">
        <v>110</v>
      </c>
      <c r="B111" s="12" t="s">
        <v>129</v>
      </c>
      <c r="C111" s="12" t="s">
        <v>910</v>
      </c>
      <c r="D111" s="12" t="s">
        <v>835</v>
      </c>
      <c r="E111" s="28">
        <v>9986</v>
      </c>
      <c r="F111" s="28">
        <v>6526</v>
      </c>
      <c r="G111" s="28">
        <v>105500</v>
      </c>
      <c r="H111" s="4"/>
    </row>
    <row r="112" spans="1:8" ht="15.5">
      <c r="A112" s="8">
        <v>111</v>
      </c>
      <c r="B112" s="12" t="s">
        <v>419</v>
      </c>
      <c r="C112" s="12" t="s">
        <v>1183</v>
      </c>
      <c r="D112" s="12" t="s">
        <v>817</v>
      </c>
      <c r="E112" s="28">
        <v>46160</v>
      </c>
      <c r="F112" s="28">
        <v>6626</v>
      </c>
      <c r="G112" s="28">
        <v>121800</v>
      </c>
      <c r="H112" s="4" t="s">
        <v>899</v>
      </c>
    </row>
    <row r="113" spans="1:8" ht="15.5">
      <c r="A113" s="8">
        <v>112</v>
      </c>
      <c r="B113" s="11" t="s">
        <v>57</v>
      </c>
      <c r="C113" s="12" t="s">
        <v>1199</v>
      </c>
      <c r="D113" s="12" t="s">
        <v>835</v>
      </c>
      <c r="E113" s="28">
        <v>15279</v>
      </c>
      <c r="F113" s="28">
        <v>6934</v>
      </c>
      <c r="G113" s="28">
        <v>119300</v>
      </c>
      <c r="H113" s="4"/>
    </row>
    <row r="114" spans="1:8" ht="15.5">
      <c r="A114" s="8">
        <v>113</v>
      </c>
      <c r="B114" s="2" t="s">
        <v>166</v>
      </c>
      <c r="C114" s="12" t="s">
        <v>1214</v>
      </c>
      <c r="D114" s="12" t="s">
        <v>835</v>
      </c>
      <c r="E114" s="28">
        <v>10561</v>
      </c>
      <c r="F114" s="28">
        <v>9429</v>
      </c>
      <c r="G114" s="28">
        <v>116700</v>
      </c>
      <c r="H114" s="4"/>
    </row>
    <row r="115" spans="1:8" ht="15.5">
      <c r="A115" s="8">
        <v>114</v>
      </c>
      <c r="B115" s="12" t="s">
        <v>203</v>
      </c>
      <c r="C115" s="12" t="s">
        <v>1000</v>
      </c>
      <c r="D115" s="12" t="s">
        <v>817</v>
      </c>
      <c r="E115" s="28">
        <v>29102</v>
      </c>
      <c r="F115" s="28">
        <v>9058</v>
      </c>
      <c r="G115" s="28">
        <v>128000</v>
      </c>
      <c r="H115" s="4" t="s">
        <v>1221</v>
      </c>
    </row>
    <row r="116" spans="1:8" ht="15.5">
      <c r="A116" s="8">
        <v>115</v>
      </c>
      <c r="B116" s="12" t="s">
        <v>121</v>
      </c>
      <c r="C116" s="12" t="s">
        <v>851</v>
      </c>
      <c r="D116" s="12" t="s">
        <v>835</v>
      </c>
      <c r="E116" s="28">
        <v>11457</v>
      </c>
      <c r="F116" s="28">
        <v>6375</v>
      </c>
      <c r="G116" s="28">
        <v>123300</v>
      </c>
      <c r="H116" s="4"/>
    </row>
    <row r="117" spans="1:8" ht="15.5">
      <c r="A117" s="8">
        <v>116</v>
      </c>
      <c r="B117" s="11" t="s">
        <v>130</v>
      </c>
      <c r="C117" s="12" t="s">
        <v>926</v>
      </c>
      <c r="D117" s="12" t="s">
        <v>835</v>
      </c>
      <c r="E117" s="28">
        <v>11545</v>
      </c>
      <c r="F117" s="28">
        <v>9167</v>
      </c>
      <c r="G117" s="28">
        <v>119500</v>
      </c>
      <c r="H117" s="4"/>
    </row>
    <row r="118" spans="1:8" ht="15.5">
      <c r="A118" s="8">
        <v>117</v>
      </c>
      <c r="B118" s="12" t="s">
        <v>173</v>
      </c>
      <c r="C118" s="12" t="s">
        <v>1229</v>
      </c>
      <c r="D118" s="12" t="s">
        <v>835</v>
      </c>
      <c r="E118" s="28">
        <v>9791</v>
      </c>
      <c r="F118" s="28">
        <v>9579</v>
      </c>
      <c r="G118" s="28">
        <v>123300</v>
      </c>
      <c r="H118" s="4"/>
    </row>
    <row r="119" spans="1:8" ht="15.5">
      <c r="A119" s="8">
        <v>118</v>
      </c>
      <c r="B119" s="12" t="s">
        <v>163</v>
      </c>
      <c r="C119" s="12" t="s">
        <v>840</v>
      </c>
      <c r="D119" s="12" t="s">
        <v>817</v>
      </c>
      <c r="E119" s="28">
        <v>33129</v>
      </c>
      <c r="F119" s="28">
        <v>9406</v>
      </c>
      <c r="G119" s="28">
        <v>138500</v>
      </c>
      <c r="H119" s="4" t="s">
        <v>1235</v>
      </c>
    </row>
    <row r="120" spans="1:8" ht="15.5">
      <c r="A120" s="8">
        <v>119</v>
      </c>
      <c r="B120" s="12" t="s">
        <v>81</v>
      </c>
      <c r="C120" s="12" t="s">
        <v>1236</v>
      </c>
      <c r="D120" s="12" t="s">
        <v>835</v>
      </c>
      <c r="E120" s="28">
        <v>9260</v>
      </c>
      <c r="F120" s="28">
        <v>7622</v>
      </c>
      <c r="G120" s="28">
        <v>124000</v>
      </c>
      <c r="H120" s="4"/>
    </row>
    <row r="121" spans="1:8" ht="15.5">
      <c r="A121" s="8">
        <v>120</v>
      </c>
      <c r="B121" s="12" t="s">
        <v>1240</v>
      </c>
      <c r="C121" s="12" t="s">
        <v>840</v>
      </c>
      <c r="D121" s="12" t="s">
        <v>835</v>
      </c>
      <c r="E121" s="28">
        <v>9822</v>
      </c>
      <c r="F121" s="28">
        <v>8089</v>
      </c>
      <c r="G121" s="28">
        <v>110500</v>
      </c>
      <c r="H121" s="4"/>
    </row>
    <row r="122" spans="1:8" ht="15.5">
      <c r="A122" s="8">
        <v>121</v>
      </c>
      <c r="B122" s="12" t="s">
        <v>517</v>
      </c>
      <c r="C122" s="12" t="s">
        <v>872</v>
      </c>
      <c r="D122" s="12" t="s">
        <v>817</v>
      </c>
      <c r="E122" s="28">
        <v>35712</v>
      </c>
      <c r="F122" s="28">
        <v>7444</v>
      </c>
      <c r="G122" s="28">
        <v>128200</v>
      </c>
      <c r="H122" s="4" t="s">
        <v>920</v>
      </c>
    </row>
    <row r="123" spans="1:8" ht="15.5">
      <c r="A123" s="8">
        <v>122</v>
      </c>
      <c r="B123" s="12" t="s">
        <v>422</v>
      </c>
      <c r="C123" s="12" t="s">
        <v>840</v>
      </c>
      <c r="D123" s="12" t="s">
        <v>817</v>
      </c>
      <c r="E123" s="28">
        <v>45748</v>
      </c>
      <c r="F123" s="28">
        <v>7660</v>
      </c>
      <c r="G123" s="28">
        <v>124000</v>
      </c>
      <c r="H123" s="4" t="s">
        <v>938</v>
      </c>
    </row>
    <row r="124" spans="1:8" ht="15.5">
      <c r="A124" s="8">
        <v>123</v>
      </c>
      <c r="B124" s="12" t="s">
        <v>1249</v>
      </c>
      <c r="C124" s="12" t="s">
        <v>816</v>
      </c>
      <c r="D124" s="12" t="s">
        <v>835</v>
      </c>
      <c r="E124" s="28">
        <v>11826</v>
      </c>
      <c r="F124" s="28">
        <v>10030</v>
      </c>
      <c r="G124" s="28">
        <v>122400</v>
      </c>
      <c r="H124" s="4"/>
    </row>
    <row r="125" spans="1:8" ht="15.5">
      <c r="A125" s="8">
        <v>124</v>
      </c>
      <c r="B125" s="12" t="s">
        <v>175</v>
      </c>
      <c r="C125" s="12" t="s">
        <v>840</v>
      </c>
      <c r="D125" s="12" t="s">
        <v>817</v>
      </c>
      <c r="E125" s="28">
        <v>38636</v>
      </c>
      <c r="F125" s="28">
        <v>10092</v>
      </c>
      <c r="G125" s="28">
        <v>159100</v>
      </c>
      <c r="H125" s="4" t="s">
        <v>1235</v>
      </c>
    </row>
    <row r="126" spans="1:8" ht="15.5">
      <c r="A126" s="8">
        <v>125</v>
      </c>
      <c r="B126" s="12" t="s">
        <v>290</v>
      </c>
      <c r="C126" s="12" t="s">
        <v>822</v>
      </c>
      <c r="D126" s="12" t="s">
        <v>817</v>
      </c>
      <c r="E126" s="28">
        <v>32348</v>
      </c>
      <c r="F126" s="28">
        <v>8440</v>
      </c>
      <c r="G126" s="28">
        <v>123400</v>
      </c>
      <c r="H126" s="4" t="s">
        <v>920</v>
      </c>
    </row>
    <row r="127" spans="1:8" ht="15.5">
      <c r="A127" s="8">
        <v>126</v>
      </c>
      <c r="B127" s="12" t="s">
        <v>1259</v>
      </c>
      <c r="C127" s="12" t="s">
        <v>851</v>
      </c>
      <c r="D127" s="12" t="s">
        <v>835</v>
      </c>
      <c r="E127" s="28">
        <v>14858</v>
      </c>
      <c r="F127" s="28">
        <v>6970</v>
      </c>
      <c r="G127" s="28">
        <v>117400</v>
      </c>
      <c r="H127" s="4"/>
    </row>
    <row r="128" spans="1:8" ht="15.5">
      <c r="A128" s="8">
        <v>127</v>
      </c>
      <c r="B128" s="12" t="s">
        <v>135</v>
      </c>
      <c r="C128" s="12" t="s">
        <v>1263</v>
      </c>
      <c r="D128" s="12" t="s">
        <v>835</v>
      </c>
      <c r="E128" s="28">
        <v>12375</v>
      </c>
      <c r="F128" s="28">
        <v>10580</v>
      </c>
      <c r="G128" s="28">
        <v>127600</v>
      </c>
      <c r="H128" s="4"/>
    </row>
    <row r="129" spans="1:8" ht="15.5">
      <c r="A129" s="8">
        <v>128</v>
      </c>
      <c r="B129" s="11" t="s">
        <v>101</v>
      </c>
      <c r="C129" s="12" t="s">
        <v>827</v>
      </c>
      <c r="D129" s="12" t="s">
        <v>835</v>
      </c>
      <c r="E129" s="28">
        <v>12350</v>
      </c>
      <c r="F129" s="28">
        <v>8481</v>
      </c>
      <c r="G129" s="28">
        <v>122300</v>
      </c>
      <c r="H129" s="4"/>
    </row>
    <row r="130" spans="1:8" ht="15.5">
      <c r="A130" s="8">
        <v>129</v>
      </c>
      <c r="B130" s="12" t="s">
        <v>347</v>
      </c>
      <c r="C130" s="12" t="s">
        <v>844</v>
      </c>
      <c r="D130" s="12" t="s">
        <v>817</v>
      </c>
      <c r="E130" s="28">
        <v>39554</v>
      </c>
      <c r="F130" s="28">
        <v>7388</v>
      </c>
      <c r="G130" s="28">
        <v>115700</v>
      </c>
      <c r="H130" s="4" t="s">
        <v>938</v>
      </c>
    </row>
    <row r="131" spans="1:8" ht="15.5">
      <c r="A131" s="8">
        <v>130</v>
      </c>
      <c r="B131" s="12" t="s">
        <v>1274</v>
      </c>
      <c r="C131" s="12" t="s">
        <v>840</v>
      </c>
      <c r="D131" s="12" t="s">
        <v>835</v>
      </c>
      <c r="E131" s="28">
        <v>9325</v>
      </c>
      <c r="F131" s="28">
        <v>7182</v>
      </c>
      <c r="G131" s="28">
        <v>113100</v>
      </c>
      <c r="H131" s="4"/>
    </row>
    <row r="132" spans="1:8" ht="15.5">
      <c r="A132" s="8">
        <v>131</v>
      </c>
      <c r="B132" s="11" t="s">
        <v>126</v>
      </c>
      <c r="C132" s="12" t="s">
        <v>858</v>
      </c>
      <c r="D132" s="12" t="s">
        <v>835</v>
      </c>
      <c r="E132" s="28">
        <v>13813</v>
      </c>
      <c r="F132" s="28">
        <v>7514</v>
      </c>
      <c r="G132" s="28">
        <v>121600</v>
      </c>
      <c r="H132" s="4"/>
    </row>
    <row r="133" spans="1:8" ht="15.5">
      <c r="A133" s="8">
        <v>132</v>
      </c>
      <c r="B133" s="12" t="s">
        <v>316</v>
      </c>
      <c r="C133" s="12" t="s">
        <v>822</v>
      </c>
      <c r="D133" s="12" t="s">
        <v>817</v>
      </c>
      <c r="E133" s="28">
        <v>20901</v>
      </c>
      <c r="F133" s="28">
        <v>8634</v>
      </c>
      <c r="G133" s="28">
        <v>144000</v>
      </c>
      <c r="H133" s="4" t="s">
        <v>920</v>
      </c>
    </row>
    <row r="134" spans="1:8" ht="15.5">
      <c r="A134" s="8">
        <v>133</v>
      </c>
      <c r="B134" s="12" t="s">
        <v>526</v>
      </c>
      <c r="C134" s="12" t="s">
        <v>1236</v>
      </c>
      <c r="D134" s="12" t="s">
        <v>817</v>
      </c>
      <c r="E134" s="28">
        <v>33657</v>
      </c>
      <c r="F134" s="28">
        <v>7658</v>
      </c>
      <c r="G134" s="28">
        <v>128400</v>
      </c>
      <c r="H134" s="4" t="s">
        <v>1221</v>
      </c>
    </row>
    <row r="135" spans="1:8" ht="15.5">
      <c r="A135" s="8">
        <v>134</v>
      </c>
      <c r="B135" s="12" t="s">
        <v>123</v>
      </c>
      <c r="C135" s="12" t="s">
        <v>840</v>
      </c>
      <c r="D135" s="12" t="s">
        <v>835</v>
      </c>
      <c r="E135" s="28">
        <v>8521</v>
      </c>
      <c r="F135" s="28">
        <v>7839</v>
      </c>
      <c r="G135" s="28">
        <v>114500</v>
      </c>
      <c r="H135" s="4"/>
    </row>
    <row r="136" spans="1:8" ht="15.5">
      <c r="A136" s="8">
        <v>135</v>
      </c>
      <c r="B136" s="12" t="s">
        <v>269</v>
      </c>
      <c r="C136" s="12" t="s">
        <v>827</v>
      </c>
      <c r="D136" s="12" t="s">
        <v>817</v>
      </c>
      <c r="E136" s="28">
        <v>49109</v>
      </c>
      <c r="F136" s="28">
        <v>4482</v>
      </c>
      <c r="G136" s="28">
        <v>119900</v>
      </c>
      <c r="H136" s="4" t="s">
        <v>821</v>
      </c>
    </row>
    <row r="137" spans="1:8" ht="15.5">
      <c r="A137" s="8">
        <v>136</v>
      </c>
      <c r="B137" s="12" t="s">
        <v>253</v>
      </c>
      <c r="C137" s="12" t="s">
        <v>943</v>
      </c>
      <c r="D137" s="12" t="s">
        <v>835</v>
      </c>
      <c r="E137" s="28">
        <v>10081</v>
      </c>
      <c r="F137" s="28">
        <v>9063</v>
      </c>
      <c r="G137" s="28">
        <v>125700</v>
      </c>
      <c r="H137" s="4"/>
    </row>
    <row r="138" spans="1:8" ht="15.5">
      <c r="A138" s="8">
        <v>137</v>
      </c>
      <c r="B138" s="12" t="s">
        <v>197</v>
      </c>
      <c r="C138" s="12" t="s">
        <v>822</v>
      </c>
      <c r="D138" s="12" t="s">
        <v>835</v>
      </c>
      <c r="E138" s="28">
        <v>9830</v>
      </c>
      <c r="F138" s="28">
        <v>5550</v>
      </c>
      <c r="G138" s="28">
        <v>118700</v>
      </c>
      <c r="H138" s="4"/>
    </row>
    <row r="139" spans="1:8" ht="15.5">
      <c r="A139" s="8">
        <v>138</v>
      </c>
      <c r="B139" s="12" t="s">
        <v>146</v>
      </c>
      <c r="C139" s="12" t="s">
        <v>910</v>
      </c>
      <c r="D139" s="12" t="s">
        <v>835</v>
      </c>
      <c r="E139" s="28">
        <v>11087</v>
      </c>
      <c r="F139" s="28">
        <v>5614</v>
      </c>
      <c r="G139" s="28">
        <v>106900</v>
      </c>
      <c r="H139" s="4"/>
    </row>
    <row r="140" spans="1:8" ht="15.5">
      <c r="A140" s="8">
        <v>139</v>
      </c>
      <c r="B140" s="12" t="s">
        <v>144</v>
      </c>
      <c r="C140" s="12" t="s">
        <v>1303</v>
      </c>
      <c r="D140" s="12" t="s">
        <v>835</v>
      </c>
      <c r="E140" s="28">
        <v>12374</v>
      </c>
      <c r="F140" s="28">
        <v>8404</v>
      </c>
      <c r="G140" s="28">
        <v>119500</v>
      </c>
      <c r="H140" s="4"/>
    </row>
    <row r="141" spans="1:8" ht="15.5">
      <c r="A141" s="8">
        <v>140</v>
      </c>
      <c r="B141" s="12" t="s">
        <v>366</v>
      </c>
      <c r="C141" s="12" t="s">
        <v>1124</v>
      </c>
      <c r="D141" s="12" t="s">
        <v>817</v>
      </c>
      <c r="E141" s="28">
        <v>37226</v>
      </c>
      <c r="F141" s="28">
        <v>7029</v>
      </c>
      <c r="G141" s="28">
        <v>132500</v>
      </c>
      <c r="H141" s="4" t="s">
        <v>899</v>
      </c>
    </row>
    <row r="142" spans="1:8" ht="15.5">
      <c r="A142" s="8">
        <v>141</v>
      </c>
      <c r="B142" s="12" t="s">
        <v>160</v>
      </c>
      <c r="C142" s="12" t="s">
        <v>934</v>
      </c>
      <c r="D142" s="12" t="s">
        <v>817</v>
      </c>
      <c r="E142" s="28">
        <v>27138</v>
      </c>
      <c r="F142" s="28">
        <v>9129</v>
      </c>
      <c r="G142" s="28">
        <v>129900</v>
      </c>
      <c r="H142" s="4" t="s">
        <v>920</v>
      </c>
    </row>
    <row r="143" spans="1:8" ht="15.5">
      <c r="A143" s="8">
        <v>142</v>
      </c>
      <c r="B143" s="11" t="s">
        <v>137</v>
      </c>
      <c r="C143" s="12" t="s">
        <v>872</v>
      </c>
      <c r="D143" s="12" t="s">
        <v>835</v>
      </c>
      <c r="E143" s="28">
        <v>10593</v>
      </c>
      <c r="F143" s="28">
        <v>10094</v>
      </c>
      <c r="G143" s="28">
        <v>110500</v>
      </c>
      <c r="H143" s="4"/>
    </row>
    <row r="144" spans="1:8" ht="15.5">
      <c r="A144" s="8">
        <v>143</v>
      </c>
      <c r="B144" s="12" t="s">
        <v>72</v>
      </c>
      <c r="C144" s="12" t="s">
        <v>844</v>
      </c>
      <c r="D144" s="12" t="s">
        <v>835</v>
      </c>
      <c r="E144" s="28">
        <v>10919</v>
      </c>
      <c r="F144" s="28">
        <v>10081</v>
      </c>
      <c r="G144" s="28">
        <v>121200</v>
      </c>
      <c r="H144" s="4"/>
    </row>
    <row r="145" spans="1:8" ht="15.5">
      <c r="A145" s="8">
        <v>144</v>
      </c>
      <c r="B145" s="12" t="s">
        <v>106</v>
      </c>
      <c r="C145" s="12" t="s">
        <v>979</v>
      </c>
      <c r="D145" s="12" t="s">
        <v>835</v>
      </c>
      <c r="E145" s="28">
        <v>10689</v>
      </c>
      <c r="F145" s="28">
        <v>6714</v>
      </c>
      <c r="G145" s="28">
        <v>124000</v>
      </c>
      <c r="H145" s="4"/>
    </row>
    <row r="146" spans="1:8" ht="15.5">
      <c r="A146" s="8">
        <v>145</v>
      </c>
      <c r="B146" s="12" t="s">
        <v>322</v>
      </c>
      <c r="C146" s="12" t="s">
        <v>906</v>
      </c>
      <c r="D146" s="12" t="s">
        <v>817</v>
      </c>
      <c r="E146" s="28">
        <v>61714</v>
      </c>
      <c r="F146" s="28">
        <v>8426</v>
      </c>
      <c r="G146" s="28">
        <v>128500</v>
      </c>
      <c r="H146" s="4" t="s">
        <v>899</v>
      </c>
    </row>
    <row r="147" spans="1:8" ht="15.5">
      <c r="A147" s="8">
        <v>146</v>
      </c>
      <c r="B147" s="12" t="s">
        <v>150</v>
      </c>
      <c r="C147" s="12" t="s">
        <v>844</v>
      </c>
      <c r="D147" s="12" t="s">
        <v>817</v>
      </c>
      <c r="E147" s="28">
        <v>33861</v>
      </c>
      <c r="F147" s="28">
        <v>10865</v>
      </c>
      <c r="G147" s="28">
        <v>132600</v>
      </c>
      <c r="H147" s="4" t="s">
        <v>1235</v>
      </c>
    </row>
    <row r="148" spans="1:8" ht="15.5">
      <c r="A148" s="8">
        <v>147</v>
      </c>
      <c r="B148" s="12" t="s">
        <v>176</v>
      </c>
      <c r="C148" s="12" t="s">
        <v>1303</v>
      </c>
      <c r="D148" s="12" t="s">
        <v>817</v>
      </c>
      <c r="E148" s="28">
        <v>30747</v>
      </c>
      <c r="F148" s="28">
        <v>8283</v>
      </c>
      <c r="G148" s="28">
        <v>133200</v>
      </c>
      <c r="H148" s="4" t="s">
        <v>830</v>
      </c>
    </row>
    <row r="149" spans="1:8" ht="15.5">
      <c r="A149" s="8">
        <v>148</v>
      </c>
      <c r="B149" s="12" t="s">
        <v>113</v>
      </c>
      <c r="C149" s="12" t="s">
        <v>1236</v>
      </c>
      <c r="D149" s="12" t="s">
        <v>835</v>
      </c>
      <c r="E149" s="28">
        <v>9767</v>
      </c>
      <c r="F149" s="28">
        <v>7821</v>
      </c>
      <c r="G149" s="28">
        <v>119500</v>
      </c>
      <c r="H149" s="4"/>
    </row>
    <row r="150" spans="1:8" ht="15.5">
      <c r="A150" s="8">
        <v>149</v>
      </c>
      <c r="B150" s="12" t="s">
        <v>374</v>
      </c>
      <c r="C150" s="12" t="s">
        <v>1164</v>
      </c>
      <c r="D150" s="12" t="s">
        <v>817</v>
      </c>
      <c r="E150" s="28">
        <v>36384</v>
      </c>
      <c r="F150" s="28">
        <v>7962</v>
      </c>
      <c r="G150" s="28">
        <v>121000</v>
      </c>
      <c r="H150" s="4" t="s">
        <v>938</v>
      </c>
    </row>
    <row r="151" spans="1:8" ht="15.5">
      <c r="A151" s="8">
        <v>150</v>
      </c>
      <c r="B151" s="12" t="s">
        <v>379</v>
      </c>
      <c r="C151" s="12" t="s">
        <v>816</v>
      </c>
      <c r="D151" s="12" t="s">
        <v>817</v>
      </c>
      <c r="E151" s="28">
        <v>31949</v>
      </c>
      <c r="F151" s="28">
        <v>10599</v>
      </c>
      <c r="G151" s="28">
        <v>168700</v>
      </c>
      <c r="H151" s="4" t="s">
        <v>1336</v>
      </c>
    </row>
    <row r="152" spans="1:8" ht="15.5">
      <c r="A152" s="8">
        <v>151</v>
      </c>
      <c r="B152" s="12" t="s">
        <v>134</v>
      </c>
      <c r="C152" s="12" t="s">
        <v>1428</v>
      </c>
      <c r="D152" s="12" t="s">
        <v>835</v>
      </c>
      <c r="E152" s="28">
        <v>11140</v>
      </c>
      <c r="F152" s="28">
        <v>6880</v>
      </c>
      <c r="G152" s="28">
        <v>118100</v>
      </c>
      <c r="H152"/>
    </row>
    <row r="153" spans="1:8" ht="15.5">
      <c r="A153" s="8">
        <v>152</v>
      </c>
      <c r="B153" s="12" t="s">
        <v>186</v>
      </c>
      <c r="C153" s="12" t="s">
        <v>851</v>
      </c>
      <c r="D153" s="12" t="s">
        <v>817</v>
      </c>
      <c r="E153" s="28">
        <v>22553</v>
      </c>
      <c r="F153" s="28">
        <v>14404</v>
      </c>
      <c r="G153" s="28">
        <v>123300</v>
      </c>
      <c r="H153" s="4" t="s">
        <v>821</v>
      </c>
    </row>
    <row r="154" spans="1:8" ht="15.5">
      <c r="A154" s="8">
        <v>153</v>
      </c>
      <c r="B154" s="12" t="s">
        <v>402</v>
      </c>
      <c r="C154" s="12" t="s">
        <v>979</v>
      </c>
      <c r="D154" s="12" t="s">
        <v>817</v>
      </c>
      <c r="E154" s="28">
        <v>27601</v>
      </c>
      <c r="F154" s="28">
        <v>8172</v>
      </c>
      <c r="G154" s="28">
        <v>133500</v>
      </c>
      <c r="H154" s="4" t="s">
        <v>920</v>
      </c>
    </row>
    <row r="155" spans="1:8" ht="15.5">
      <c r="A155" s="8">
        <v>154</v>
      </c>
      <c r="B155" s="12" t="s">
        <v>95</v>
      </c>
      <c r="C155" s="12" t="s">
        <v>1104</v>
      </c>
      <c r="D155" s="12" t="s">
        <v>835</v>
      </c>
      <c r="E155" s="28">
        <v>11043</v>
      </c>
      <c r="F155" s="28">
        <v>7620</v>
      </c>
      <c r="G155" s="28">
        <v>118800</v>
      </c>
      <c r="H155" s="4"/>
    </row>
    <row r="156" spans="1:8" ht="15.5">
      <c r="A156" s="8">
        <v>155</v>
      </c>
      <c r="B156" s="12" t="s">
        <v>94</v>
      </c>
      <c r="C156" s="12" t="s">
        <v>1104</v>
      </c>
      <c r="D156" s="12" t="s">
        <v>835</v>
      </c>
      <c r="E156" s="28">
        <v>9959</v>
      </c>
      <c r="F156" s="28">
        <v>8853</v>
      </c>
      <c r="G156" s="28">
        <v>119800</v>
      </c>
      <c r="H156" s="4"/>
    </row>
    <row r="157" spans="1:8" ht="15.5">
      <c r="A157" s="8">
        <v>156</v>
      </c>
      <c r="B157" s="12" t="s">
        <v>1347</v>
      </c>
      <c r="C157" s="12" t="s">
        <v>840</v>
      </c>
      <c r="D157" s="12" t="s">
        <v>835</v>
      </c>
      <c r="E157" s="28">
        <v>8089</v>
      </c>
      <c r="F157" s="28">
        <v>7088</v>
      </c>
      <c r="G157" s="28">
        <v>116500</v>
      </c>
      <c r="H157" s="4"/>
    </row>
    <row r="158" spans="1:8" ht="15.5">
      <c r="A158" s="8">
        <v>157</v>
      </c>
      <c r="B158" s="12" t="s">
        <v>209</v>
      </c>
      <c r="C158" s="12" t="s">
        <v>1183</v>
      </c>
      <c r="D158" s="12" t="s">
        <v>817</v>
      </c>
      <c r="E158" s="28">
        <v>30954</v>
      </c>
      <c r="F158" s="28">
        <v>7961</v>
      </c>
      <c r="G158" s="28">
        <v>129700</v>
      </c>
      <c r="H158" s="4" t="s">
        <v>920</v>
      </c>
    </row>
    <row r="159" spans="1:8" ht="15.5">
      <c r="A159" s="8">
        <v>158</v>
      </c>
      <c r="B159" s="12" t="s">
        <v>188</v>
      </c>
      <c r="C159" s="12" t="s">
        <v>1352</v>
      </c>
      <c r="D159" s="12" t="s">
        <v>835</v>
      </c>
      <c r="E159" s="28">
        <v>8474</v>
      </c>
      <c r="F159" s="28">
        <v>8350</v>
      </c>
      <c r="G159" s="28">
        <v>114800</v>
      </c>
      <c r="H159" s="4"/>
    </row>
    <row r="160" spans="1:8" ht="15.5">
      <c r="A160" s="8">
        <v>159</v>
      </c>
      <c r="B160" s="12" t="s">
        <v>364</v>
      </c>
      <c r="C160" s="12" t="s">
        <v>889</v>
      </c>
      <c r="D160" s="12" t="s">
        <v>817</v>
      </c>
      <c r="E160" s="28">
        <v>13880</v>
      </c>
      <c r="F160" s="28">
        <v>9977</v>
      </c>
      <c r="G160" s="28">
        <v>110100</v>
      </c>
      <c r="H160" s="4" t="s">
        <v>920</v>
      </c>
    </row>
    <row r="161" spans="1:8" ht="15.5">
      <c r="A161" s="8">
        <v>160</v>
      </c>
      <c r="B161" s="12" t="s">
        <v>124</v>
      </c>
      <c r="C161" s="12" t="s">
        <v>1358</v>
      </c>
      <c r="D161" s="12" t="s">
        <v>835</v>
      </c>
      <c r="E161" s="28">
        <v>14114</v>
      </c>
      <c r="F161" s="28">
        <v>8420</v>
      </c>
      <c r="G161" s="28">
        <v>111700</v>
      </c>
      <c r="H161" s="4"/>
    </row>
    <row r="162" spans="1:8" ht="15.5">
      <c r="A162" s="8">
        <v>161</v>
      </c>
      <c r="B162" s="12" t="s">
        <v>431</v>
      </c>
      <c r="C162" s="12" t="s">
        <v>831</v>
      </c>
      <c r="D162" s="12" t="s">
        <v>817</v>
      </c>
      <c r="E162" s="28">
        <v>36355</v>
      </c>
      <c r="F162" s="28">
        <v>9595</v>
      </c>
      <c r="G162" s="28">
        <v>125200</v>
      </c>
      <c r="H162" s="4" t="s">
        <v>920</v>
      </c>
    </row>
    <row r="163" spans="1:8" ht="15.5">
      <c r="A163" s="8">
        <v>162</v>
      </c>
      <c r="B163" s="12" t="s">
        <v>240</v>
      </c>
      <c r="C163" s="12" t="s">
        <v>926</v>
      </c>
      <c r="D163" s="12" t="s">
        <v>817</v>
      </c>
      <c r="E163" s="28">
        <v>37006</v>
      </c>
      <c r="F163" s="28">
        <v>7390</v>
      </c>
      <c r="G163" s="28">
        <v>110500</v>
      </c>
      <c r="H163" s="4" t="s">
        <v>920</v>
      </c>
    </row>
    <row r="164" spans="1:8" ht="15.5">
      <c r="A164" s="8">
        <v>163</v>
      </c>
      <c r="B164" s="12" t="s">
        <v>141</v>
      </c>
      <c r="C164" s="12" t="s">
        <v>1164</v>
      </c>
      <c r="D164" s="12" t="s">
        <v>835</v>
      </c>
      <c r="E164" s="28">
        <v>6880</v>
      </c>
      <c r="F164" s="28">
        <v>9631</v>
      </c>
      <c r="G164" s="28">
        <v>104900</v>
      </c>
      <c r="H164" s="4"/>
    </row>
    <row r="165" spans="1:8" ht="15.5">
      <c r="A165" s="8">
        <v>164</v>
      </c>
      <c r="B165" s="12" t="s">
        <v>1368</v>
      </c>
      <c r="C165" s="12" t="s">
        <v>840</v>
      </c>
      <c r="D165" s="12" t="s">
        <v>835</v>
      </c>
      <c r="E165" s="28">
        <v>9411</v>
      </c>
      <c r="F165" s="28">
        <v>5422</v>
      </c>
      <c r="G165" s="28">
        <v>118600</v>
      </c>
      <c r="H165" s="4"/>
    </row>
    <row r="166" spans="1:8" ht="15.5">
      <c r="A166" s="8">
        <v>165</v>
      </c>
      <c r="B166" s="2" t="s">
        <v>99</v>
      </c>
      <c r="C166" s="12" t="s">
        <v>822</v>
      </c>
      <c r="D166" s="12" t="s">
        <v>817</v>
      </c>
      <c r="E166" s="28">
        <v>30916</v>
      </c>
      <c r="F166" s="28">
        <v>9671</v>
      </c>
      <c r="G166" s="28">
        <v>133600</v>
      </c>
      <c r="H166" s="4" t="s">
        <v>1235</v>
      </c>
    </row>
    <row r="167" spans="1:8" ht="15.5">
      <c r="A167" s="8">
        <v>166</v>
      </c>
      <c r="B167" s="12" t="s">
        <v>260</v>
      </c>
      <c r="C167" s="12" t="s">
        <v>827</v>
      </c>
      <c r="D167" s="12" t="s">
        <v>817</v>
      </c>
      <c r="E167" s="28">
        <v>27059</v>
      </c>
      <c r="F167" s="28">
        <v>14168</v>
      </c>
      <c r="G167" s="28">
        <v>161000</v>
      </c>
      <c r="H167" s="4" t="s">
        <v>1221</v>
      </c>
    </row>
    <row r="168" spans="1:8" ht="15.5">
      <c r="A168" s="8">
        <v>167</v>
      </c>
      <c r="B168" s="11" t="s">
        <v>205</v>
      </c>
      <c r="C168" s="12" t="s">
        <v>1379</v>
      </c>
      <c r="D168" s="12" t="s">
        <v>835</v>
      </c>
      <c r="E168" s="28">
        <v>7829</v>
      </c>
      <c r="F168" s="28">
        <v>6624</v>
      </c>
      <c r="G168" s="28">
        <v>111200</v>
      </c>
      <c r="H168" s="4"/>
    </row>
    <row r="169" spans="1:8" ht="15.5">
      <c r="A169" s="8">
        <v>168</v>
      </c>
      <c r="B169" s="12" t="s">
        <v>333</v>
      </c>
      <c r="C169" s="12" t="s">
        <v>822</v>
      </c>
      <c r="D169" s="12" t="s">
        <v>835</v>
      </c>
      <c r="E169" s="28">
        <v>7287</v>
      </c>
      <c r="F169" s="28">
        <v>6350</v>
      </c>
      <c r="G169" s="28">
        <v>119500</v>
      </c>
      <c r="H169" s="4"/>
    </row>
    <row r="170" spans="1:8" ht="15.5">
      <c r="A170" s="8">
        <v>169</v>
      </c>
      <c r="B170" s="12" t="s">
        <v>272</v>
      </c>
      <c r="C170" s="12" t="s">
        <v>1124</v>
      </c>
      <c r="D170" s="12" t="s">
        <v>817</v>
      </c>
      <c r="E170" s="28">
        <v>31920</v>
      </c>
      <c r="F170" s="28">
        <v>10921</v>
      </c>
      <c r="G170" s="28">
        <v>127300</v>
      </c>
      <c r="H170" s="4" t="s">
        <v>938</v>
      </c>
    </row>
    <row r="171" spans="1:8" ht="15.5">
      <c r="A171" s="8">
        <v>170</v>
      </c>
      <c r="B171" s="12" t="s">
        <v>443</v>
      </c>
      <c r="C171" s="12" t="s">
        <v>971</v>
      </c>
      <c r="D171" s="12" t="s">
        <v>817</v>
      </c>
      <c r="E171" s="28">
        <v>41067</v>
      </c>
      <c r="F171" s="28">
        <v>5055</v>
      </c>
      <c r="G171" s="28">
        <v>120200</v>
      </c>
      <c r="H171" s="4" t="s">
        <v>920</v>
      </c>
    </row>
    <row r="172" spans="1:8" ht="15.5">
      <c r="A172" s="8">
        <v>171</v>
      </c>
      <c r="B172" s="12" t="s">
        <v>167</v>
      </c>
      <c r="C172" s="12" t="s">
        <v>1214</v>
      </c>
      <c r="D172" s="12" t="s">
        <v>835</v>
      </c>
      <c r="E172" s="28">
        <v>10621</v>
      </c>
      <c r="F172" s="28">
        <v>7170</v>
      </c>
      <c r="G172" s="28">
        <v>117200</v>
      </c>
      <c r="H172" s="4"/>
    </row>
    <row r="173" spans="1:8" ht="15.5">
      <c r="A173" s="8">
        <v>172</v>
      </c>
      <c r="B173" s="12" t="s">
        <v>1394</v>
      </c>
      <c r="C173" s="12" t="s">
        <v>1395</v>
      </c>
      <c r="D173" s="12" t="s">
        <v>835</v>
      </c>
      <c r="E173" s="28">
        <v>7954</v>
      </c>
      <c r="F173" s="28">
        <v>6943</v>
      </c>
      <c r="G173" s="28">
        <v>110800</v>
      </c>
      <c r="H173" s="4"/>
    </row>
    <row r="174" spans="1:8" ht="15.5">
      <c r="A174" s="8">
        <v>173</v>
      </c>
      <c r="B174" s="12" t="s">
        <v>1399</v>
      </c>
      <c r="C174" s="12" t="s">
        <v>840</v>
      </c>
      <c r="D174" s="12" t="s">
        <v>817</v>
      </c>
      <c r="E174" s="28">
        <v>31882</v>
      </c>
      <c r="F174" s="28">
        <v>7319</v>
      </c>
      <c r="G174" s="28">
        <v>152400</v>
      </c>
      <c r="H174" s="4" t="s">
        <v>1235</v>
      </c>
    </row>
    <row r="175" spans="1:8" ht="15.5">
      <c r="A175" s="8">
        <v>174</v>
      </c>
      <c r="B175" s="12" t="s">
        <v>332</v>
      </c>
      <c r="C175" s="12" t="s">
        <v>862</v>
      </c>
      <c r="D175" s="12" t="s">
        <v>835</v>
      </c>
      <c r="E175" s="28">
        <v>11415</v>
      </c>
      <c r="F175" s="28">
        <v>6906</v>
      </c>
      <c r="G175" s="28">
        <v>111700</v>
      </c>
      <c r="H175" s="4"/>
    </row>
    <row r="176" spans="1:8" ht="15.5">
      <c r="A176" s="8">
        <v>175</v>
      </c>
      <c r="B176" s="12" t="s">
        <v>547</v>
      </c>
      <c r="C176" s="12" t="s">
        <v>822</v>
      </c>
      <c r="D176" s="12" t="s">
        <v>817</v>
      </c>
      <c r="E176" s="28">
        <v>39139</v>
      </c>
      <c r="F176" s="28">
        <v>6934</v>
      </c>
      <c r="G176" s="28">
        <v>144600</v>
      </c>
      <c r="H176" s="4" t="s">
        <v>1235</v>
      </c>
    </row>
    <row r="177" spans="1:8" ht="15.5">
      <c r="A177" s="8">
        <v>176</v>
      </c>
      <c r="B177" s="12" t="s">
        <v>523</v>
      </c>
      <c r="C177" s="12" t="s">
        <v>840</v>
      </c>
      <c r="D177" s="12" t="s">
        <v>817</v>
      </c>
      <c r="E177" s="28">
        <v>44093</v>
      </c>
      <c r="F177" s="28">
        <v>7932</v>
      </c>
      <c r="G177" s="28">
        <v>130900</v>
      </c>
      <c r="H177" s="4" t="s">
        <v>920</v>
      </c>
    </row>
    <row r="178" spans="1:8" ht="15.5">
      <c r="A178" s="8">
        <v>177</v>
      </c>
      <c r="B178" s="12" t="s">
        <v>354</v>
      </c>
      <c r="C178" s="12" t="s">
        <v>1236</v>
      </c>
      <c r="D178" s="12" t="s">
        <v>817</v>
      </c>
      <c r="E178" s="28">
        <v>47864</v>
      </c>
      <c r="F178" s="28">
        <v>6315</v>
      </c>
      <c r="G178" s="28">
        <v>138400</v>
      </c>
      <c r="H178" s="4" t="s">
        <v>938</v>
      </c>
    </row>
    <row r="179" spans="1:8" ht="15.5">
      <c r="A179" s="8">
        <v>178</v>
      </c>
      <c r="B179" s="12" t="s">
        <v>554</v>
      </c>
      <c r="C179" s="12" t="s">
        <v>922</v>
      </c>
      <c r="D179" s="12" t="s">
        <v>817</v>
      </c>
      <c r="E179" s="28">
        <v>41855</v>
      </c>
      <c r="F179" s="28">
        <v>7426</v>
      </c>
      <c r="G179" s="28">
        <v>129500</v>
      </c>
      <c r="H179" s="4" t="s">
        <v>920</v>
      </c>
    </row>
    <row r="180" spans="1:8" ht="15.5">
      <c r="A180" s="8">
        <v>179</v>
      </c>
      <c r="B180" s="12" t="s">
        <v>311</v>
      </c>
      <c r="C180" s="12" t="s">
        <v>1416</v>
      </c>
      <c r="D180" s="12" t="s">
        <v>817</v>
      </c>
      <c r="E180" s="28">
        <v>26918</v>
      </c>
      <c r="F180" s="28">
        <v>8720</v>
      </c>
      <c r="G180" s="28">
        <v>112500</v>
      </c>
      <c r="H180" s="4" t="s">
        <v>920</v>
      </c>
    </row>
    <row r="181" spans="1:8" ht="15.5">
      <c r="A181" s="8">
        <v>180</v>
      </c>
      <c r="B181" s="12" t="s">
        <v>285</v>
      </c>
      <c r="C181" s="12" t="s">
        <v>844</v>
      </c>
      <c r="D181" s="12" t="s">
        <v>817</v>
      </c>
      <c r="E181" s="28">
        <v>36618</v>
      </c>
      <c r="F181" s="28">
        <v>6470</v>
      </c>
      <c r="G181" s="28">
        <v>118000</v>
      </c>
      <c r="H181" s="4" t="s">
        <v>826</v>
      </c>
    </row>
    <row r="182" spans="1:8" ht="15.5">
      <c r="A182" s="8">
        <v>181</v>
      </c>
      <c r="B182" s="12" t="s">
        <v>157</v>
      </c>
      <c r="C182" s="12" t="s">
        <v>1004</v>
      </c>
      <c r="D182" s="12" t="s">
        <v>835</v>
      </c>
      <c r="E182" s="28">
        <v>19189</v>
      </c>
      <c r="F182" s="28">
        <v>9995</v>
      </c>
      <c r="G182" s="28">
        <v>120400</v>
      </c>
      <c r="H182" s="4"/>
    </row>
    <row r="183" spans="1:8" ht="15.5">
      <c r="A183" s="8">
        <v>182</v>
      </c>
      <c r="B183" s="11" t="s">
        <v>168</v>
      </c>
      <c r="C183" s="12" t="s">
        <v>1229</v>
      </c>
      <c r="D183" s="12" t="s">
        <v>835</v>
      </c>
      <c r="E183" s="28">
        <v>15683</v>
      </c>
      <c r="F183" s="28">
        <v>10694</v>
      </c>
      <c r="G183" s="28">
        <v>113100</v>
      </c>
      <c r="H183" s="4"/>
    </row>
    <row r="184" spans="1:8" ht="15.5">
      <c r="A184" s="8">
        <v>183</v>
      </c>
      <c r="B184" s="12" t="s">
        <v>204</v>
      </c>
      <c r="C184" s="12" t="s">
        <v>1428</v>
      </c>
      <c r="D184" s="12" t="s">
        <v>835</v>
      </c>
      <c r="E184" s="28">
        <v>8537</v>
      </c>
      <c r="F184" s="28">
        <v>6911</v>
      </c>
      <c r="G184" s="28">
        <v>114800</v>
      </c>
      <c r="H184" s="4"/>
    </row>
    <row r="185" spans="1:8" ht="15.5">
      <c r="A185" s="8">
        <v>184</v>
      </c>
      <c r="B185" s="12" t="s">
        <v>362</v>
      </c>
      <c r="C185" s="12" t="s">
        <v>822</v>
      </c>
      <c r="D185" s="12" t="s">
        <v>817</v>
      </c>
      <c r="E185" s="28">
        <v>42386</v>
      </c>
      <c r="F185" s="28">
        <v>7481</v>
      </c>
      <c r="G185" s="28">
        <v>179600</v>
      </c>
      <c r="H185" s="4" t="s">
        <v>899</v>
      </c>
    </row>
    <row r="186" spans="1:8" ht="15.5">
      <c r="A186" s="8">
        <v>185</v>
      </c>
      <c r="B186" s="12" t="s">
        <v>335</v>
      </c>
      <c r="C186" s="12" t="s">
        <v>822</v>
      </c>
      <c r="D186" s="12" t="s">
        <v>835</v>
      </c>
      <c r="E186" s="28">
        <v>9968</v>
      </c>
      <c r="F186" s="28">
        <v>5178</v>
      </c>
      <c r="G186" s="28">
        <v>118600</v>
      </c>
      <c r="H186" s="4"/>
    </row>
    <row r="187" spans="1:8" ht="15.5">
      <c r="A187" s="8">
        <v>186</v>
      </c>
      <c r="B187" s="12" t="s">
        <v>418</v>
      </c>
      <c r="C187" s="12" t="s">
        <v>827</v>
      </c>
      <c r="D187" s="12" t="s">
        <v>817</v>
      </c>
      <c r="E187" s="28">
        <v>30733</v>
      </c>
      <c r="F187" s="28">
        <v>11610</v>
      </c>
      <c r="G187" s="28">
        <v>144800</v>
      </c>
      <c r="H187" s="4" t="s">
        <v>1221</v>
      </c>
    </row>
    <row r="188" spans="1:8" ht="15.5">
      <c r="A188" s="8">
        <v>187</v>
      </c>
      <c r="B188" s="12" t="s">
        <v>115</v>
      </c>
      <c r="C188" s="12" t="s">
        <v>822</v>
      </c>
      <c r="D188" s="12" t="s">
        <v>835</v>
      </c>
      <c r="E188" s="28">
        <v>21202</v>
      </c>
      <c r="F188" s="28">
        <v>6519</v>
      </c>
      <c r="G188" s="28">
        <v>132000</v>
      </c>
      <c r="H188" s="4"/>
    </row>
    <row r="189" spans="1:8" ht="15.5">
      <c r="A189" s="8">
        <v>188</v>
      </c>
      <c r="B189" s="12" t="s">
        <v>215</v>
      </c>
      <c r="C189" s="12" t="s">
        <v>910</v>
      </c>
      <c r="D189" s="12" t="s">
        <v>835</v>
      </c>
      <c r="E189" s="28">
        <v>10334</v>
      </c>
      <c r="F189" s="28">
        <v>6926</v>
      </c>
      <c r="G189" s="28">
        <v>106300</v>
      </c>
      <c r="H189" s="4"/>
    </row>
    <row r="190" spans="1:8" ht="15.5">
      <c r="A190" s="8">
        <v>189</v>
      </c>
      <c r="B190" s="12" t="s">
        <v>229</v>
      </c>
      <c r="C190" s="12" t="s">
        <v>1445</v>
      </c>
      <c r="D190" s="12" t="s">
        <v>835</v>
      </c>
      <c r="E190" s="28">
        <v>8942</v>
      </c>
      <c r="F190" s="28">
        <v>8184</v>
      </c>
      <c r="G190" s="28">
        <v>109800</v>
      </c>
      <c r="H190" s="4"/>
    </row>
    <row r="191" spans="1:8" ht="15.5">
      <c r="A191" s="8">
        <v>190</v>
      </c>
      <c r="B191" s="12" t="s">
        <v>561</v>
      </c>
      <c r="C191" s="12" t="s">
        <v>1164</v>
      </c>
      <c r="D191" s="12" t="s">
        <v>817</v>
      </c>
      <c r="E191" s="28">
        <v>36005</v>
      </c>
      <c r="F191" s="28">
        <v>8264</v>
      </c>
      <c r="G191" s="28">
        <v>129400</v>
      </c>
      <c r="H191" s="4" t="s">
        <v>920</v>
      </c>
    </row>
    <row r="192" spans="1:8" ht="15.5">
      <c r="A192" s="8">
        <v>191</v>
      </c>
      <c r="B192" s="11" t="s">
        <v>77</v>
      </c>
      <c r="C192" s="12" t="s">
        <v>1416</v>
      </c>
      <c r="D192" s="12" t="s">
        <v>835</v>
      </c>
      <c r="E192" s="28">
        <v>10941</v>
      </c>
      <c r="F192" s="28">
        <v>6553</v>
      </c>
      <c r="G192" s="28">
        <v>117000</v>
      </c>
      <c r="H192" s="4"/>
    </row>
    <row r="193" spans="1:8" ht="15.5">
      <c r="A193" s="8">
        <v>192</v>
      </c>
      <c r="B193" s="12" t="s">
        <v>149</v>
      </c>
      <c r="C193" s="12" t="s">
        <v>844</v>
      </c>
      <c r="D193" s="12" t="s">
        <v>835</v>
      </c>
      <c r="E193" s="28">
        <v>11575</v>
      </c>
      <c r="F193" s="28">
        <v>10571</v>
      </c>
      <c r="G193" s="28">
        <v>113900</v>
      </c>
      <c r="H193" s="4"/>
    </row>
    <row r="194" spans="1:8" ht="15.5">
      <c r="A194" s="8">
        <v>193</v>
      </c>
      <c r="B194" s="12" t="s">
        <v>276</v>
      </c>
      <c r="C194" s="12" t="s">
        <v>816</v>
      </c>
      <c r="D194" s="12" t="s">
        <v>835</v>
      </c>
      <c r="E194" s="28">
        <v>15959</v>
      </c>
      <c r="F194" s="28">
        <v>7478</v>
      </c>
      <c r="G194" s="28">
        <v>146500</v>
      </c>
      <c r="H194" s="4"/>
    </row>
    <row r="195" spans="1:8" ht="15.5">
      <c r="A195" s="8">
        <v>194</v>
      </c>
      <c r="B195" s="12" t="s">
        <v>534</v>
      </c>
      <c r="C195" s="12" t="s">
        <v>943</v>
      </c>
      <c r="D195" s="12" t="s">
        <v>835</v>
      </c>
      <c r="E195" s="28">
        <v>19111</v>
      </c>
      <c r="F195" s="28">
        <v>6390</v>
      </c>
      <c r="G195" s="28">
        <v>145300</v>
      </c>
      <c r="H195" s="4"/>
    </row>
    <row r="196" spans="1:8" ht="15.5">
      <c r="A196" s="8">
        <v>195</v>
      </c>
      <c r="B196" s="11" t="s">
        <v>462</v>
      </c>
      <c r="C196" s="12" t="s">
        <v>840</v>
      </c>
      <c r="D196" s="12" t="s">
        <v>817</v>
      </c>
      <c r="E196" s="28">
        <v>44331</v>
      </c>
      <c r="F196" s="28">
        <v>8228</v>
      </c>
      <c r="G196" s="28">
        <v>132900</v>
      </c>
      <c r="H196" s="4" t="s">
        <v>1221</v>
      </c>
    </row>
    <row r="197" spans="1:8" ht="15.5">
      <c r="A197" s="8">
        <v>196</v>
      </c>
      <c r="B197" s="2" t="s">
        <v>35</v>
      </c>
      <c r="C197" s="12" t="s">
        <v>844</v>
      </c>
      <c r="D197" s="12" t="s">
        <v>835</v>
      </c>
      <c r="E197" s="28">
        <v>10066</v>
      </c>
      <c r="F197" s="28">
        <v>13414</v>
      </c>
      <c r="G197" s="28"/>
      <c r="H197" s="4"/>
    </row>
    <row r="198" spans="1:8" ht="15.5">
      <c r="A198" s="8">
        <v>197</v>
      </c>
      <c r="B198" s="12" t="s">
        <v>320</v>
      </c>
      <c r="C198" s="12" t="s">
        <v>1124</v>
      </c>
      <c r="D198" s="12" t="s">
        <v>817</v>
      </c>
      <c r="E198" s="28">
        <v>35040</v>
      </c>
      <c r="F198" s="28">
        <v>5013</v>
      </c>
      <c r="G198" s="28">
        <v>116100</v>
      </c>
      <c r="H198" s="4" t="s">
        <v>938</v>
      </c>
    </row>
    <row r="199" spans="1:8" ht="15.5">
      <c r="A199" s="8">
        <v>198</v>
      </c>
      <c r="B199" s="12" t="s">
        <v>1474</v>
      </c>
      <c r="C199" s="12" t="s">
        <v>1124</v>
      </c>
      <c r="D199" s="12" t="s">
        <v>835</v>
      </c>
      <c r="E199" s="28">
        <v>14752</v>
      </c>
      <c r="F199" s="28">
        <v>8909</v>
      </c>
      <c r="G199" s="28">
        <v>132800</v>
      </c>
      <c r="H199" s="4"/>
    </row>
    <row r="200" spans="1:8" ht="15.5">
      <c r="A200" s="8">
        <v>199</v>
      </c>
      <c r="B200" s="12" t="s">
        <v>1478</v>
      </c>
      <c r="C200" s="12" t="s">
        <v>840</v>
      </c>
      <c r="D200" s="12" t="s">
        <v>835</v>
      </c>
      <c r="E200" s="28">
        <v>7927</v>
      </c>
      <c r="F200" s="28">
        <v>5089</v>
      </c>
      <c r="G200" s="28">
        <v>114300</v>
      </c>
      <c r="H200" s="4"/>
    </row>
    <row r="201" spans="1:8" ht="15.5">
      <c r="A201" s="8">
        <v>200</v>
      </c>
      <c r="B201" s="12" t="s">
        <v>304</v>
      </c>
      <c r="C201" s="12" t="s">
        <v>822</v>
      </c>
      <c r="D201" s="12" t="s">
        <v>817</v>
      </c>
      <c r="E201" s="28">
        <v>33510</v>
      </c>
      <c r="F201" s="28">
        <v>7312</v>
      </c>
      <c r="G201" s="28">
        <v>116400</v>
      </c>
      <c r="H201" s="4" t="s">
        <v>938</v>
      </c>
    </row>
    <row r="202" spans="1:8" ht="15.5">
      <c r="A202" s="8">
        <v>201</v>
      </c>
      <c r="B202" s="12" t="s">
        <v>1487</v>
      </c>
      <c r="C202" s="12" t="s">
        <v>1164</v>
      </c>
      <c r="D202" s="12" t="s">
        <v>835</v>
      </c>
      <c r="E202" s="28">
        <v>11428</v>
      </c>
      <c r="F202" s="28">
        <v>13093</v>
      </c>
      <c r="G202" s="28">
        <v>132300</v>
      </c>
      <c r="H202" s="4"/>
    </row>
    <row r="203" spans="1:8" ht="15.5">
      <c r="A203" s="8">
        <v>202</v>
      </c>
      <c r="B203" s="12" t="s">
        <v>1491</v>
      </c>
      <c r="C203" s="12" t="s">
        <v>840</v>
      </c>
      <c r="D203" s="12" t="s">
        <v>817</v>
      </c>
      <c r="E203" s="28">
        <v>32626</v>
      </c>
      <c r="F203" s="28">
        <v>7990</v>
      </c>
      <c r="G203" s="28">
        <v>127100</v>
      </c>
      <c r="H203" s="4" t="s">
        <v>1336</v>
      </c>
    </row>
    <row r="204" spans="1:8" ht="15.5">
      <c r="A204" s="8">
        <v>203</v>
      </c>
      <c r="B204" s="12" t="s">
        <v>508</v>
      </c>
      <c r="C204" s="12" t="s">
        <v>922</v>
      </c>
      <c r="D204" s="12" t="s">
        <v>817</v>
      </c>
      <c r="E204" s="28">
        <v>21483</v>
      </c>
      <c r="F204" s="28">
        <v>6320</v>
      </c>
      <c r="G204" s="28">
        <v>107000</v>
      </c>
      <c r="H204" s="4" t="s">
        <v>1498</v>
      </c>
    </row>
    <row r="205" spans="1:8" ht="15.5">
      <c r="A205" s="8">
        <v>204</v>
      </c>
      <c r="B205" s="12" t="s">
        <v>264</v>
      </c>
      <c r="C205" s="12" t="s">
        <v>822</v>
      </c>
      <c r="D205" s="12" t="s">
        <v>835</v>
      </c>
      <c r="E205" s="28">
        <v>9162</v>
      </c>
      <c r="F205" s="28">
        <v>5538</v>
      </c>
      <c r="G205" s="28">
        <v>132000</v>
      </c>
      <c r="H205" s="4"/>
    </row>
    <row r="206" spans="1:8" ht="15.5">
      <c r="A206" s="8">
        <v>205</v>
      </c>
      <c r="B206" s="12" t="s">
        <v>192</v>
      </c>
      <c r="C206" s="12" t="s">
        <v>851</v>
      </c>
      <c r="D206" s="12" t="s">
        <v>835</v>
      </c>
      <c r="E206" s="28">
        <v>9359</v>
      </c>
      <c r="F206" s="28">
        <v>8346</v>
      </c>
      <c r="G206" s="28">
        <v>125200</v>
      </c>
      <c r="H206" s="4"/>
    </row>
    <row r="207" spans="1:8" ht="15.5">
      <c r="A207" s="8">
        <v>206</v>
      </c>
      <c r="B207" s="12" t="s">
        <v>519</v>
      </c>
      <c r="C207" s="12" t="s">
        <v>922</v>
      </c>
      <c r="D207" s="12" t="s">
        <v>817</v>
      </c>
      <c r="E207" s="28">
        <v>24697</v>
      </c>
      <c r="F207" s="28">
        <v>12071</v>
      </c>
      <c r="G207" s="28">
        <v>144000</v>
      </c>
      <c r="H207" s="4" t="s">
        <v>1336</v>
      </c>
    </row>
    <row r="208" spans="1:8" ht="15.5">
      <c r="A208" s="8">
        <v>207</v>
      </c>
      <c r="B208" s="12" t="s">
        <v>208</v>
      </c>
      <c r="C208" s="12" t="s">
        <v>822</v>
      </c>
      <c r="D208" s="12" t="s">
        <v>835</v>
      </c>
      <c r="E208" s="28">
        <v>10511</v>
      </c>
      <c r="F208" s="28">
        <v>5462</v>
      </c>
      <c r="G208" s="28">
        <v>117300</v>
      </c>
      <c r="H208" s="4"/>
    </row>
    <row r="209" spans="1:8" ht="15.5">
      <c r="A209" s="8">
        <v>208</v>
      </c>
      <c r="B209" s="12" t="s">
        <v>410</v>
      </c>
      <c r="C209" s="12" t="s">
        <v>883</v>
      </c>
      <c r="D209" s="12" t="s">
        <v>817</v>
      </c>
      <c r="E209" s="28">
        <v>37480</v>
      </c>
      <c r="F209" s="28">
        <v>7148</v>
      </c>
      <c r="G209" s="28">
        <v>122100</v>
      </c>
      <c r="H209" s="4" t="s">
        <v>938</v>
      </c>
    </row>
    <row r="210" spans="1:8" ht="15.5">
      <c r="A210" s="8">
        <v>209</v>
      </c>
      <c r="B210" s="12" t="s">
        <v>140</v>
      </c>
      <c r="C210" s="12" t="s">
        <v>851</v>
      </c>
      <c r="D210" s="12" t="s">
        <v>835</v>
      </c>
      <c r="E210" s="28">
        <v>9159</v>
      </c>
      <c r="F210" s="28">
        <v>6289</v>
      </c>
      <c r="G210" s="28">
        <v>110000</v>
      </c>
      <c r="H210" s="4"/>
    </row>
    <row r="211" spans="1:8" ht="15.5">
      <c r="A211" s="8">
        <v>210</v>
      </c>
      <c r="B211" s="11" t="s">
        <v>241</v>
      </c>
      <c r="C211" s="12" t="s">
        <v>862</v>
      </c>
      <c r="D211" s="12" t="s">
        <v>835</v>
      </c>
      <c r="E211" s="28">
        <v>8889</v>
      </c>
      <c r="F211" s="28">
        <v>6654</v>
      </c>
      <c r="G211" s="28">
        <v>121200</v>
      </c>
      <c r="H211" s="4"/>
    </row>
    <row r="212" spans="1:8" ht="15.5">
      <c r="A212" s="8">
        <v>211</v>
      </c>
      <c r="B212" s="12" t="s">
        <v>223</v>
      </c>
      <c r="C212" s="12" t="s">
        <v>858</v>
      </c>
      <c r="D212" s="12" t="s">
        <v>817</v>
      </c>
      <c r="E212" s="28">
        <v>26796</v>
      </c>
      <c r="F212" s="28">
        <v>9442</v>
      </c>
      <c r="G212" s="28">
        <v>121900</v>
      </c>
      <c r="H212" s="4" t="s">
        <v>1221</v>
      </c>
    </row>
    <row r="213" spans="1:8" ht="15.5">
      <c r="A213" s="8">
        <v>212</v>
      </c>
      <c r="B213" s="12" t="s">
        <v>1517</v>
      </c>
      <c r="C213" s="12" t="s">
        <v>979</v>
      </c>
      <c r="D213" s="12" t="s">
        <v>835</v>
      </c>
      <c r="E213" s="28">
        <v>15474</v>
      </c>
      <c r="F213" s="28">
        <v>4651</v>
      </c>
      <c r="G213" s="28">
        <v>132900</v>
      </c>
      <c r="H213" s="4"/>
    </row>
    <row r="214" spans="1:8" ht="15.5">
      <c r="A214" s="8">
        <v>213</v>
      </c>
      <c r="B214" s="12" t="s">
        <v>309</v>
      </c>
      <c r="C214" s="12" t="s">
        <v>922</v>
      </c>
      <c r="D214" s="12" t="s">
        <v>817</v>
      </c>
      <c r="E214" s="28">
        <v>26448</v>
      </c>
      <c r="F214" s="28">
        <v>7486</v>
      </c>
      <c r="G214" s="28">
        <v>110300</v>
      </c>
      <c r="H214" s="4" t="s">
        <v>920</v>
      </c>
    </row>
    <row r="215" spans="1:8" ht="15.5">
      <c r="A215" s="8">
        <v>214</v>
      </c>
      <c r="B215" s="12" t="s">
        <v>491</v>
      </c>
      <c r="C215" s="12" t="s">
        <v>971</v>
      </c>
      <c r="D215" s="12" t="s">
        <v>817</v>
      </c>
      <c r="E215" s="28">
        <v>37119</v>
      </c>
      <c r="F215" s="28">
        <v>7844</v>
      </c>
      <c r="G215" s="28">
        <v>140900</v>
      </c>
      <c r="H215" s="4" t="s">
        <v>899</v>
      </c>
    </row>
    <row r="216" spans="1:8" ht="15.5">
      <c r="A216" s="8">
        <v>215</v>
      </c>
      <c r="B216" s="12" t="s">
        <v>262</v>
      </c>
      <c r="C216" s="12" t="s">
        <v>979</v>
      </c>
      <c r="D216" s="12" t="s">
        <v>835</v>
      </c>
      <c r="E216" s="28">
        <v>6522</v>
      </c>
      <c r="F216" s="28">
        <v>6936</v>
      </c>
      <c r="G216" s="28">
        <v>123600</v>
      </c>
      <c r="H216" s="4"/>
    </row>
    <row r="217" spans="1:8" ht="15.5">
      <c r="A217" s="8">
        <v>216</v>
      </c>
      <c r="B217" s="12" t="s">
        <v>476</v>
      </c>
      <c r="C217" s="12" t="s">
        <v>1229</v>
      </c>
      <c r="D217" s="12" t="s">
        <v>817</v>
      </c>
      <c r="E217" s="28">
        <v>20711</v>
      </c>
      <c r="F217" s="28">
        <v>7815</v>
      </c>
      <c r="G217" s="28">
        <v>104600</v>
      </c>
      <c r="H217" s="4" t="s">
        <v>899</v>
      </c>
    </row>
    <row r="218" spans="1:8" ht="15.5">
      <c r="A218" s="8">
        <v>217</v>
      </c>
      <c r="B218" s="12" t="s">
        <v>238</v>
      </c>
      <c r="C218" s="12" t="s">
        <v>1531</v>
      </c>
      <c r="D218" s="12" t="s">
        <v>835</v>
      </c>
      <c r="E218" s="28">
        <v>13720</v>
      </c>
      <c r="F218" s="28">
        <v>10144</v>
      </c>
      <c r="G218" s="28">
        <v>102800</v>
      </c>
      <c r="H218" s="4"/>
    </row>
    <row r="219" spans="1:8" ht="15.5">
      <c r="A219" s="8">
        <v>218</v>
      </c>
      <c r="B219" s="12" t="s">
        <v>637</v>
      </c>
      <c r="C219" s="12" t="s">
        <v>822</v>
      </c>
      <c r="D219" s="12" t="s">
        <v>817</v>
      </c>
      <c r="E219" s="28">
        <v>21143</v>
      </c>
      <c r="F219" s="28">
        <v>5351</v>
      </c>
      <c r="G219" s="28">
        <v>111300</v>
      </c>
      <c r="H219" s="4" t="s">
        <v>830</v>
      </c>
    </row>
    <row r="220" spans="1:8" ht="15.5">
      <c r="A220" s="8">
        <v>219</v>
      </c>
      <c r="B220" s="12" t="s">
        <v>207</v>
      </c>
      <c r="C220" s="12" t="s">
        <v>858</v>
      </c>
      <c r="D220" s="12" t="s">
        <v>817</v>
      </c>
      <c r="E220" s="28">
        <v>26004</v>
      </c>
      <c r="F220" s="28">
        <v>7204</v>
      </c>
      <c r="G220" s="28">
        <v>126700</v>
      </c>
      <c r="H220" s="4" t="s">
        <v>1336</v>
      </c>
    </row>
    <row r="221" spans="1:8" ht="15.5">
      <c r="A221" s="8">
        <v>220</v>
      </c>
      <c r="B221" s="12" t="s">
        <v>328</v>
      </c>
      <c r="C221" s="12" t="s">
        <v>851</v>
      </c>
      <c r="D221" s="12" t="s">
        <v>817</v>
      </c>
      <c r="E221" s="28">
        <v>28048</v>
      </c>
      <c r="F221" s="28">
        <v>14299</v>
      </c>
      <c r="G221" s="28">
        <v>119600</v>
      </c>
      <c r="H221" s="4" t="s">
        <v>826</v>
      </c>
    </row>
    <row r="222" spans="1:8" ht="15.5">
      <c r="A222" s="8">
        <v>221</v>
      </c>
      <c r="B222" s="12" t="s">
        <v>313</v>
      </c>
      <c r="C222" s="12" t="s">
        <v>816</v>
      </c>
      <c r="D222" s="12" t="s">
        <v>817</v>
      </c>
      <c r="E222" s="28">
        <v>29443</v>
      </c>
      <c r="F222" s="28">
        <v>11822</v>
      </c>
      <c r="G222" s="28">
        <v>122900</v>
      </c>
      <c r="H222" s="4" t="s">
        <v>1235</v>
      </c>
    </row>
    <row r="223" spans="1:8" ht="15.5">
      <c r="A223" s="8">
        <v>222</v>
      </c>
      <c r="B223" s="12" t="s">
        <v>280</v>
      </c>
      <c r="C223" s="12" t="s">
        <v>1082</v>
      </c>
      <c r="D223" s="12" t="s">
        <v>817</v>
      </c>
      <c r="E223" s="28">
        <v>46821</v>
      </c>
      <c r="F223" s="28">
        <v>4492</v>
      </c>
      <c r="G223" s="28">
        <v>141500</v>
      </c>
      <c r="H223" s="4" t="s">
        <v>821</v>
      </c>
    </row>
    <row r="224" spans="1:8" ht="15.5">
      <c r="A224" s="8">
        <v>223</v>
      </c>
      <c r="B224" s="12" t="s">
        <v>439</v>
      </c>
      <c r="C224" s="12" t="s">
        <v>1104</v>
      </c>
      <c r="D224" s="12" t="s">
        <v>817</v>
      </c>
      <c r="E224" s="28">
        <v>31274</v>
      </c>
      <c r="F224" s="28">
        <v>8953</v>
      </c>
      <c r="G224" s="28">
        <v>122300</v>
      </c>
      <c r="H224" s="4" t="s">
        <v>1235</v>
      </c>
    </row>
    <row r="225" spans="1:8" ht="15.5">
      <c r="A225" s="8">
        <v>224</v>
      </c>
      <c r="B225" s="12" t="s">
        <v>1552</v>
      </c>
      <c r="C225" s="12" t="s">
        <v>858</v>
      </c>
      <c r="D225" s="12" t="s">
        <v>817</v>
      </c>
      <c r="E225" s="28">
        <v>24272</v>
      </c>
      <c r="F225" s="28">
        <v>6429</v>
      </c>
      <c r="G225" s="28">
        <v>127200</v>
      </c>
      <c r="H225" s="4" t="s">
        <v>821</v>
      </c>
    </row>
    <row r="226" spans="1:8" ht="15.5">
      <c r="A226" s="8">
        <v>225</v>
      </c>
      <c r="B226" s="12" t="s">
        <v>1556</v>
      </c>
      <c r="C226" s="12" t="s">
        <v>889</v>
      </c>
      <c r="D226" s="12" t="s">
        <v>835</v>
      </c>
      <c r="E226" s="28">
        <v>7907</v>
      </c>
      <c r="F226" s="28">
        <v>7127</v>
      </c>
      <c r="G226" s="28">
        <v>111700</v>
      </c>
      <c r="H226" s="4"/>
    </row>
    <row r="227" spans="1:8" ht="15.5">
      <c r="A227" s="8">
        <v>226</v>
      </c>
      <c r="B227" s="12" t="s">
        <v>1559</v>
      </c>
      <c r="C227" s="12" t="s">
        <v>910</v>
      </c>
      <c r="D227" s="12" t="s">
        <v>817</v>
      </c>
      <c r="E227" s="28">
        <v>20372</v>
      </c>
      <c r="F227" s="28">
        <v>15475</v>
      </c>
      <c r="G227" s="28">
        <v>129100</v>
      </c>
      <c r="H227" s="4" t="s">
        <v>938</v>
      </c>
    </row>
    <row r="228" spans="1:8" ht="15.5">
      <c r="A228" s="8">
        <v>227</v>
      </c>
      <c r="B228" s="12" t="s">
        <v>360</v>
      </c>
      <c r="C228" s="12" t="s">
        <v>822</v>
      </c>
      <c r="D228" s="12" t="s">
        <v>835</v>
      </c>
      <c r="E228" s="28">
        <v>10907</v>
      </c>
      <c r="F228" s="28">
        <v>5227</v>
      </c>
      <c r="G228" s="28">
        <v>111600</v>
      </c>
      <c r="H228" s="4"/>
    </row>
    <row r="229" spans="1:8" ht="15.5">
      <c r="A229" s="8">
        <v>228</v>
      </c>
      <c r="B229" s="12" t="s">
        <v>103</v>
      </c>
      <c r="C229" s="12" t="s">
        <v>943</v>
      </c>
      <c r="D229" s="12" t="s">
        <v>835</v>
      </c>
      <c r="E229" s="28">
        <v>10760</v>
      </c>
      <c r="F229" s="28">
        <v>8079</v>
      </c>
      <c r="G229" s="28">
        <v>128200</v>
      </c>
      <c r="H229" s="4"/>
    </row>
    <row r="230" spans="1:8" ht="15.5">
      <c r="A230" s="8">
        <v>229</v>
      </c>
      <c r="B230" s="12" t="s">
        <v>461</v>
      </c>
      <c r="C230" s="12" t="s">
        <v>971</v>
      </c>
      <c r="D230" s="12" t="s">
        <v>817</v>
      </c>
      <c r="E230" s="28">
        <v>30973</v>
      </c>
      <c r="F230" s="28">
        <v>12038</v>
      </c>
      <c r="G230" s="28">
        <v>161500</v>
      </c>
      <c r="H230" s="4" t="s">
        <v>1221</v>
      </c>
    </row>
    <row r="231" spans="1:8" ht="15.5">
      <c r="A231" s="8">
        <v>230</v>
      </c>
      <c r="B231" s="12" t="s">
        <v>405</v>
      </c>
      <c r="C231" s="12" t="s">
        <v>858</v>
      </c>
      <c r="D231" s="12" t="s">
        <v>817</v>
      </c>
      <c r="E231" s="28">
        <v>26693</v>
      </c>
      <c r="F231" s="28">
        <v>7299</v>
      </c>
      <c r="G231" s="28">
        <v>123500</v>
      </c>
      <c r="H231" s="4" t="s">
        <v>1336</v>
      </c>
    </row>
    <row r="232" spans="1:8" ht="15.5">
      <c r="A232" s="8">
        <v>231</v>
      </c>
      <c r="B232" s="12" t="s">
        <v>339</v>
      </c>
      <c r="C232" s="12" t="s">
        <v>1183</v>
      </c>
      <c r="D232" s="12" t="s">
        <v>835</v>
      </c>
      <c r="E232" s="28">
        <v>10614</v>
      </c>
      <c r="F232" s="28">
        <v>8866</v>
      </c>
      <c r="G232" s="28">
        <v>165700</v>
      </c>
      <c r="H232" s="4"/>
    </row>
    <row r="233" spans="1:8" ht="15.5">
      <c r="A233" s="8">
        <v>232</v>
      </c>
      <c r="B233" s="12" t="s">
        <v>529</v>
      </c>
      <c r="C233" s="12" t="s">
        <v>1082</v>
      </c>
      <c r="D233" s="12" t="s">
        <v>817</v>
      </c>
      <c r="E233" s="28">
        <v>32808</v>
      </c>
      <c r="F233" s="28">
        <v>9438</v>
      </c>
      <c r="G233" s="28">
        <v>118900</v>
      </c>
      <c r="H233" s="4" t="s">
        <v>899</v>
      </c>
    </row>
    <row r="234" spans="1:8" ht="15.5">
      <c r="A234" s="8">
        <v>233</v>
      </c>
      <c r="B234" s="12" t="s">
        <v>496</v>
      </c>
      <c r="C234" s="12" t="s">
        <v>979</v>
      </c>
      <c r="D234" s="12" t="s">
        <v>817</v>
      </c>
      <c r="E234" s="28">
        <v>36435</v>
      </c>
      <c r="F234" s="28">
        <v>7547</v>
      </c>
      <c r="G234" s="28">
        <v>120600</v>
      </c>
      <c r="H234" s="4" t="s">
        <v>1498</v>
      </c>
    </row>
    <row r="235" spans="1:8" ht="15.5">
      <c r="A235" s="8">
        <v>234</v>
      </c>
      <c r="B235" s="12" t="s">
        <v>277</v>
      </c>
      <c r="C235" s="12" t="s">
        <v>1582</v>
      </c>
      <c r="D235" s="12" t="s">
        <v>835</v>
      </c>
      <c r="E235" s="28">
        <v>6387</v>
      </c>
      <c r="F235" s="28">
        <v>11927</v>
      </c>
      <c r="G235" s="28">
        <v>114700</v>
      </c>
      <c r="H235" s="4"/>
    </row>
    <row r="236" spans="1:8" ht="15.5">
      <c r="A236" s="8">
        <v>235</v>
      </c>
      <c r="B236" s="12" t="s">
        <v>1586</v>
      </c>
      <c r="C236" s="12" t="s">
        <v>822</v>
      </c>
      <c r="D236" s="12" t="s">
        <v>835</v>
      </c>
      <c r="E236" s="28">
        <v>9210</v>
      </c>
      <c r="F236" s="28">
        <v>5592</v>
      </c>
      <c r="G236" s="28">
        <v>137200</v>
      </c>
      <c r="H236" s="4"/>
    </row>
    <row r="237" spans="1:8" ht="15.5">
      <c r="A237" s="8">
        <v>236</v>
      </c>
      <c r="B237" s="12" t="s">
        <v>170</v>
      </c>
      <c r="C237" s="12" t="s">
        <v>1590</v>
      </c>
      <c r="D237" s="12" t="s">
        <v>835</v>
      </c>
      <c r="E237" s="28">
        <v>11685</v>
      </c>
      <c r="F237" s="28">
        <v>9613</v>
      </c>
      <c r="G237" s="28">
        <v>118200</v>
      </c>
      <c r="H237" s="4"/>
    </row>
    <row r="238" spans="1:8" ht="15.5">
      <c r="A238" s="8">
        <v>237</v>
      </c>
      <c r="B238" s="12" t="s">
        <v>159</v>
      </c>
      <c r="C238" s="12" t="s">
        <v>950</v>
      </c>
      <c r="D238" s="12" t="s">
        <v>835</v>
      </c>
      <c r="E238" s="28">
        <v>9808</v>
      </c>
      <c r="F238" s="28">
        <v>6445</v>
      </c>
      <c r="G238" s="28">
        <v>112300</v>
      </c>
      <c r="H238" s="4"/>
    </row>
    <row r="239" spans="1:8" ht="15.5">
      <c r="A239" s="8">
        <v>238</v>
      </c>
      <c r="B239" s="12" t="s">
        <v>161</v>
      </c>
      <c r="C239" s="12" t="s">
        <v>1124</v>
      </c>
      <c r="D239" s="12" t="s">
        <v>817</v>
      </c>
      <c r="E239" s="28">
        <v>35452</v>
      </c>
      <c r="F239" s="28">
        <v>6836</v>
      </c>
      <c r="G239" s="28">
        <v>142300</v>
      </c>
      <c r="H239" s="4" t="s">
        <v>899</v>
      </c>
    </row>
    <row r="240" spans="1:8" ht="15.5">
      <c r="A240" s="8">
        <v>239</v>
      </c>
      <c r="B240" s="12" t="s">
        <v>1599</v>
      </c>
      <c r="C240" s="12" t="s">
        <v>840</v>
      </c>
      <c r="D240" s="12" t="s">
        <v>817</v>
      </c>
      <c r="E240" s="28">
        <v>37530</v>
      </c>
      <c r="F240" s="28">
        <v>8270</v>
      </c>
      <c r="G240" s="28">
        <v>153300</v>
      </c>
      <c r="H240" s="4" t="s">
        <v>920</v>
      </c>
    </row>
    <row r="241" spans="1:8" ht="15.5">
      <c r="A241" s="8">
        <v>240</v>
      </c>
      <c r="B241" s="12" t="s">
        <v>459</v>
      </c>
      <c r="C241" s="12" t="s">
        <v>844</v>
      </c>
      <c r="D241" s="12" t="s">
        <v>817</v>
      </c>
      <c r="E241" s="28">
        <v>49177</v>
      </c>
      <c r="F241" s="28">
        <v>8059</v>
      </c>
      <c r="G241" s="28">
        <v>144300</v>
      </c>
      <c r="H241" s="4" t="s">
        <v>920</v>
      </c>
    </row>
    <row r="242" spans="1:8" ht="15.5">
      <c r="A242" s="8">
        <v>241</v>
      </c>
      <c r="B242" s="12" t="s">
        <v>164</v>
      </c>
      <c r="C242" s="12" t="s">
        <v>943</v>
      </c>
      <c r="D242" s="12" t="s">
        <v>835</v>
      </c>
      <c r="E242" s="28">
        <v>12583</v>
      </c>
      <c r="F242" s="28">
        <v>7807</v>
      </c>
      <c r="G242" s="28">
        <v>104800</v>
      </c>
      <c r="H242" s="4"/>
    </row>
    <row r="243" spans="1:8" ht="15.5">
      <c r="A243" s="8">
        <v>242</v>
      </c>
      <c r="B243" s="12" t="s">
        <v>246</v>
      </c>
      <c r="C243" s="12" t="s">
        <v>858</v>
      </c>
      <c r="D243" s="12" t="s">
        <v>817</v>
      </c>
      <c r="E243" s="28">
        <v>40243</v>
      </c>
      <c r="F243" s="28">
        <v>7227</v>
      </c>
      <c r="G243" s="28">
        <v>142900</v>
      </c>
      <c r="H243" s="4" t="s">
        <v>1235</v>
      </c>
    </row>
    <row r="244" spans="1:8" ht="15.5">
      <c r="A244" s="8">
        <v>243</v>
      </c>
      <c r="B244" s="12" t="s">
        <v>425</v>
      </c>
      <c r="C244" s="12" t="s">
        <v>840</v>
      </c>
      <c r="D244" s="12" t="s">
        <v>817</v>
      </c>
      <c r="E244" s="28">
        <v>41285</v>
      </c>
      <c r="F244" s="28">
        <v>9150</v>
      </c>
      <c r="G244" s="28">
        <v>157700</v>
      </c>
      <c r="H244" s="4" t="s">
        <v>1235</v>
      </c>
    </row>
    <row r="245" spans="1:8" ht="15.5">
      <c r="A245" s="8">
        <v>244</v>
      </c>
      <c r="B245" s="12" t="s">
        <v>317</v>
      </c>
      <c r="C245" s="12" t="s">
        <v>827</v>
      </c>
      <c r="D245" s="12" t="s">
        <v>817</v>
      </c>
      <c r="E245" s="28">
        <v>39304</v>
      </c>
      <c r="F245" s="28">
        <v>6098</v>
      </c>
      <c r="G245" s="28">
        <v>113600</v>
      </c>
      <c r="H245" s="4" t="s">
        <v>938</v>
      </c>
    </row>
    <row r="246" spans="1:8" ht="15.5">
      <c r="A246" s="8">
        <v>245</v>
      </c>
      <c r="B246" s="12" t="s">
        <v>151</v>
      </c>
      <c r="C246" s="12" t="s">
        <v>1124</v>
      </c>
      <c r="D246" s="12" t="s">
        <v>835</v>
      </c>
      <c r="E246" s="28">
        <v>8733</v>
      </c>
      <c r="F246" s="28">
        <v>8696</v>
      </c>
      <c r="G246" s="28">
        <v>113600</v>
      </c>
      <c r="H246" s="4"/>
    </row>
    <row r="247" spans="1:8" ht="15.5">
      <c r="A247" s="8">
        <v>246</v>
      </c>
      <c r="B247" s="12" t="s">
        <v>294</v>
      </c>
      <c r="C247" s="12" t="s">
        <v>827</v>
      </c>
      <c r="D247" s="12" t="s">
        <v>835</v>
      </c>
      <c r="E247" s="28">
        <v>11983</v>
      </c>
      <c r="F247" s="28">
        <v>7166</v>
      </c>
      <c r="G247" s="28">
        <v>129400</v>
      </c>
      <c r="H247" s="4"/>
    </row>
    <row r="248" spans="1:8" ht="15.5">
      <c r="A248" s="8">
        <v>247</v>
      </c>
      <c r="B248" s="12" t="s">
        <v>408</v>
      </c>
      <c r="C248" s="12" t="s">
        <v>910</v>
      </c>
      <c r="D248" s="12" t="s">
        <v>835</v>
      </c>
      <c r="E248" s="28">
        <v>7268</v>
      </c>
      <c r="F248" s="28">
        <v>9405</v>
      </c>
      <c r="G248" s="28">
        <v>102600</v>
      </c>
      <c r="H248" s="4"/>
    </row>
    <row r="249" spans="1:8" ht="15.5">
      <c r="A249" s="8">
        <v>248</v>
      </c>
      <c r="B249" s="12" t="s">
        <v>345</v>
      </c>
      <c r="C249" s="12" t="s">
        <v>979</v>
      </c>
      <c r="D249" s="12" t="s">
        <v>817</v>
      </c>
      <c r="E249" s="28">
        <v>30917</v>
      </c>
      <c r="F249" s="28">
        <v>7347</v>
      </c>
      <c r="G249" s="28">
        <v>139600</v>
      </c>
      <c r="H249" s="4" t="s">
        <v>1235</v>
      </c>
    </row>
    <row r="250" spans="1:8" ht="15.5">
      <c r="A250" s="8">
        <v>249</v>
      </c>
      <c r="B250" s="12" t="s">
        <v>438</v>
      </c>
      <c r="C250" s="12" t="s">
        <v>822</v>
      </c>
      <c r="D250" s="12" t="s">
        <v>817</v>
      </c>
      <c r="E250" s="28">
        <v>33025</v>
      </c>
      <c r="F250" s="28">
        <v>8272</v>
      </c>
      <c r="G250" s="28">
        <v>141100</v>
      </c>
      <c r="H250" s="4" t="s">
        <v>899</v>
      </c>
    </row>
    <row r="251" spans="1:8" ht="15.5">
      <c r="A251" s="8">
        <v>250</v>
      </c>
      <c r="B251" s="12" t="s">
        <v>196</v>
      </c>
      <c r="C251" s="12" t="s">
        <v>1531</v>
      </c>
      <c r="D251" s="12" t="s">
        <v>835</v>
      </c>
      <c r="E251" s="28">
        <v>14252</v>
      </c>
      <c r="F251" s="28">
        <v>7253</v>
      </c>
      <c r="G251" s="28">
        <v>111000</v>
      </c>
      <c r="H251"/>
    </row>
    <row r="252" spans="1:8" ht="15.5">
      <c r="A252" s="8">
        <v>251</v>
      </c>
      <c r="B252" s="12" t="s">
        <v>483</v>
      </c>
      <c r="C252" s="12" t="s">
        <v>926</v>
      </c>
      <c r="D252" s="12" t="s">
        <v>835</v>
      </c>
      <c r="E252" s="28">
        <v>9961</v>
      </c>
      <c r="F252" s="28">
        <v>6246</v>
      </c>
      <c r="G252" s="28">
        <v>106800</v>
      </c>
      <c r="H252" s="4"/>
    </row>
    <row r="253" spans="1:8" ht="15.5">
      <c r="A253" s="8">
        <v>252</v>
      </c>
      <c r="B253" s="12" t="s">
        <v>230</v>
      </c>
      <c r="C253" s="12" t="s">
        <v>1358</v>
      </c>
      <c r="D253" s="12" t="s">
        <v>835</v>
      </c>
      <c r="E253" s="28">
        <v>12216</v>
      </c>
      <c r="F253" s="28">
        <v>7490</v>
      </c>
      <c r="G253" s="28">
        <v>100700</v>
      </c>
      <c r="H253" s="4"/>
    </row>
    <row r="254" spans="1:8" ht="15.5">
      <c r="A254" s="8">
        <v>253</v>
      </c>
      <c r="B254" s="12" t="s">
        <v>1640</v>
      </c>
      <c r="C254" s="12" t="s">
        <v>851</v>
      </c>
      <c r="D254" s="12" t="s">
        <v>835</v>
      </c>
      <c r="E254" s="28">
        <v>11370</v>
      </c>
      <c r="F254" s="28">
        <v>5959</v>
      </c>
      <c r="G254" s="28">
        <v>117700</v>
      </c>
      <c r="H254" s="4"/>
    </row>
    <row r="255" spans="1:8" ht="15.5">
      <c r="A255" s="8">
        <v>254</v>
      </c>
      <c r="B255" s="12" t="s">
        <v>314</v>
      </c>
      <c r="C255" s="12" t="s">
        <v>858</v>
      </c>
      <c r="D255" s="12" t="s">
        <v>835</v>
      </c>
      <c r="E255" s="28">
        <v>11619</v>
      </c>
      <c r="F255" s="28">
        <v>7247</v>
      </c>
      <c r="G255" s="28">
        <v>112700</v>
      </c>
      <c r="H255" s="4"/>
    </row>
    <row r="256" spans="1:8" ht="15.5">
      <c r="A256" s="8">
        <v>255</v>
      </c>
      <c r="B256" s="12" t="s">
        <v>303</v>
      </c>
      <c r="C256" s="12" t="s">
        <v>822</v>
      </c>
      <c r="D256" s="12" t="s">
        <v>835</v>
      </c>
      <c r="E256" s="28">
        <v>9040</v>
      </c>
      <c r="F256" s="28">
        <v>6028</v>
      </c>
      <c r="G256" s="28">
        <v>133900</v>
      </c>
      <c r="H256" s="4"/>
    </row>
    <row r="257" spans="1:8" ht="15.5">
      <c r="A257" s="8">
        <v>256</v>
      </c>
      <c r="B257" s="12" t="s">
        <v>259</v>
      </c>
      <c r="C257" s="12" t="s">
        <v>889</v>
      </c>
      <c r="D257" s="12" t="s">
        <v>835</v>
      </c>
      <c r="E257" s="28">
        <v>7443</v>
      </c>
      <c r="F257" s="28">
        <v>7207</v>
      </c>
      <c r="G257" s="28">
        <v>99800</v>
      </c>
      <c r="H257" s="4"/>
    </row>
    <row r="258" spans="1:8" ht="15.5">
      <c r="A258" s="8">
        <v>257</v>
      </c>
      <c r="B258" s="12" t="s">
        <v>1653</v>
      </c>
      <c r="C258" s="12" t="s">
        <v>827</v>
      </c>
      <c r="D258" s="12" t="s">
        <v>817</v>
      </c>
      <c r="E258" s="28">
        <v>29716</v>
      </c>
      <c r="F258" s="28">
        <v>8346</v>
      </c>
      <c r="G258" s="28">
        <v>132600</v>
      </c>
      <c r="H258" s="4" t="s">
        <v>920</v>
      </c>
    </row>
    <row r="259" spans="1:8" ht="15.5">
      <c r="A259" s="8">
        <v>258</v>
      </c>
      <c r="B259" s="12" t="s">
        <v>489</v>
      </c>
      <c r="C259" s="12" t="s">
        <v>862</v>
      </c>
      <c r="D259" s="12" t="s">
        <v>835</v>
      </c>
      <c r="E259" s="28">
        <v>6917</v>
      </c>
      <c r="F259" s="28">
        <v>7707</v>
      </c>
      <c r="G259" s="28">
        <v>103000</v>
      </c>
      <c r="H259" s="4"/>
    </row>
    <row r="260" spans="1:8" ht="15.5">
      <c r="A260" s="8">
        <v>259</v>
      </c>
      <c r="B260" s="12" t="s">
        <v>1657</v>
      </c>
      <c r="C260" s="12" t="s">
        <v>1000</v>
      </c>
      <c r="D260" s="12" t="s">
        <v>835</v>
      </c>
      <c r="E260" s="28">
        <v>4251</v>
      </c>
      <c r="F260" s="28">
        <v>7354</v>
      </c>
      <c r="G260" s="28">
        <v>108900</v>
      </c>
      <c r="H260" s="4"/>
    </row>
    <row r="261" spans="1:8" ht="15.5">
      <c r="A261" s="8">
        <v>260</v>
      </c>
      <c r="B261" s="12" t="s">
        <v>466</v>
      </c>
      <c r="C261" s="12" t="s">
        <v>922</v>
      </c>
      <c r="D261" s="12" t="s">
        <v>817</v>
      </c>
      <c r="E261" s="28">
        <v>24880</v>
      </c>
      <c r="F261" s="28">
        <v>7428</v>
      </c>
      <c r="G261" s="28">
        <v>108000</v>
      </c>
      <c r="H261" s="4" t="s">
        <v>1221</v>
      </c>
    </row>
    <row r="262" spans="1:8" ht="15.5">
      <c r="A262" s="8">
        <v>261</v>
      </c>
      <c r="B262" s="12" t="s">
        <v>537</v>
      </c>
      <c r="C262" s="12" t="s">
        <v>883</v>
      </c>
      <c r="D262" s="12" t="s">
        <v>817</v>
      </c>
      <c r="E262" s="28">
        <v>25615</v>
      </c>
      <c r="F262" s="28">
        <v>13242</v>
      </c>
      <c r="G262" s="28">
        <v>128000</v>
      </c>
      <c r="H262" s="4" t="s">
        <v>1221</v>
      </c>
    </row>
    <row r="263" spans="1:8" ht="15.5">
      <c r="A263" s="8">
        <v>262</v>
      </c>
      <c r="B263" s="12" t="s">
        <v>1666</v>
      </c>
      <c r="C263" s="12" t="s">
        <v>872</v>
      </c>
      <c r="D263" s="12" t="s">
        <v>817</v>
      </c>
      <c r="E263" s="28">
        <v>34241</v>
      </c>
      <c r="F263" s="28">
        <v>5059</v>
      </c>
      <c r="G263" s="28">
        <v>122900</v>
      </c>
      <c r="H263" s="4" t="s">
        <v>899</v>
      </c>
    </row>
    <row r="264" spans="1:8" ht="15.5">
      <c r="A264" s="8">
        <v>263</v>
      </c>
      <c r="B264" s="12" t="s">
        <v>369</v>
      </c>
      <c r="C264" s="12" t="s">
        <v>1236</v>
      </c>
      <c r="D264" s="12" t="s">
        <v>817</v>
      </c>
      <c r="E264" s="28">
        <v>38167</v>
      </c>
      <c r="F264" s="28">
        <v>6265</v>
      </c>
      <c r="G264" s="28">
        <v>115600</v>
      </c>
      <c r="H264" s="4" t="s">
        <v>899</v>
      </c>
    </row>
    <row r="265" spans="1:8" ht="15.5">
      <c r="A265" s="8">
        <v>264</v>
      </c>
      <c r="B265" s="12" t="s">
        <v>464</v>
      </c>
      <c r="C265" s="12" t="s">
        <v>822</v>
      </c>
      <c r="D265" s="12" t="s">
        <v>817</v>
      </c>
      <c r="E265" s="28">
        <v>39594</v>
      </c>
      <c r="F265" s="28">
        <v>4829</v>
      </c>
      <c r="G265" s="28">
        <v>121400</v>
      </c>
      <c r="H265" s="4" t="s">
        <v>899</v>
      </c>
    </row>
    <row r="266" spans="1:8" ht="15.5">
      <c r="A266" s="8">
        <v>265</v>
      </c>
      <c r="B266" s="12" t="s">
        <v>231</v>
      </c>
      <c r="C266" s="12" t="s">
        <v>926</v>
      </c>
      <c r="D266" s="12" t="s">
        <v>835</v>
      </c>
      <c r="E266" s="28">
        <v>8376</v>
      </c>
      <c r="F266" s="28">
        <v>6521</v>
      </c>
      <c r="G266" s="28">
        <v>105700</v>
      </c>
      <c r="H266" s="4"/>
    </row>
    <row r="267" spans="1:8" ht="15.5">
      <c r="A267" s="8">
        <v>266</v>
      </c>
      <c r="B267" s="12" t="s">
        <v>371</v>
      </c>
      <c r="C267" s="12" t="s">
        <v>1678</v>
      </c>
      <c r="D267" s="12" t="s">
        <v>835</v>
      </c>
      <c r="E267" s="28">
        <v>10293</v>
      </c>
      <c r="F267" s="28">
        <v>4925</v>
      </c>
      <c r="G267" s="28">
        <v>144300</v>
      </c>
      <c r="H267" s="4"/>
    </row>
    <row r="268" spans="1:8" ht="15.5">
      <c r="A268" s="8">
        <v>267</v>
      </c>
      <c r="B268" s="12" t="s">
        <v>181</v>
      </c>
      <c r="C268" s="12" t="s">
        <v>922</v>
      </c>
      <c r="D268" s="12" t="s">
        <v>835</v>
      </c>
      <c r="E268" s="28">
        <v>10605</v>
      </c>
      <c r="F268" s="28">
        <v>6437</v>
      </c>
      <c r="G268" s="28">
        <v>103100</v>
      </c>
      <c r="H268" s="4"/>
    </row>
    <row r="269" spans="1:8" ht="15.5">
      <c r="A269" s="8">
        <v>268</v>
      </c>
      <c r="B269" s="12" t="s">
        <v>1683</v>
      </c>
      <c r="C269" s="12" t="s">
        <v>816</v>
      </c>
      <c r="D269" s="12" t="s">
        <v>835</v>
      </c>
      <c r="E269" s="28">
        <v>13168</v>
      </c>
      <c r="F269" s="28">
        <v>6475</v>
      </c>
      <c r="G269" s="28">
        <v>123100</v>
      </c>
      <c r="H269" s="4"/>
    </row>
    <row r="270" spans="1:8" ht="15.5">
      <c r="A270" s="8">
        <v>269</v>
      </c>
      <c r="B270" s="12" t="s">
        <v>390</v>
      </c>
      <c r="C270" s="12" t="s">
        <v>1082</v>
      </c>
      <c r="D270" s="12" t="s">
        <v>817</v>
      </c>
      <c r="E270" s="28">
        <v>40399</v>
      </c>
      <c r="F270" s="28">
        <v>6527</v>
      </c>
      <c r="G270" s="28">
        <v>128600</v>
      </c>
      <c r="H270" s="4" t="s">
        <v>899</v>
      </c>
    </row>
    <row r="271" spans="1:8" ht="15.5">
      <c r="A271" s="8">
        <v>270</v>
      </c>
      <c r="B271" s="12" t="s">
        <v>548</v>
      </c>
      <c r="C271" s="12" t="s">
        <v>1124</v>
      </c>
      <c r="D271" s="12" t="s">
        <v>817</v>
      </c>
      <c r="E271" s="28">
        <v>24235</v>
      </c>
      <c r="F271" s="28">
        <v>13929</v>
      </c>
      <c r="G271" s="28">
        <v>124100</v>
      </c>
      <c r="H271" s="4" t="s">
        <v>938</v>
      </c>
    </row>
    <row r="272" spans="1:8" ht="15.5">
      <c r="A272" s="8">
        <v>271</v>
      </c>
      <c r="B272" s="12" t="s">
        <v>455</v>
      </c>
      <c r="C272" s="12" t="s">
        <v>840</v>
      </c>
      <c r="D272" s="12" t="s">
        <v>817</v>
      </c>
      <c r="E272" s="28">
        <v>28826</v>
      </c>
      <c r="F272" s="28">
        <v>8635</v>
      </c>
      <c r="G272" s="28">
        <v>108000</v>
      </c>
      <c r="H272" s="4" t="s">
        <v>1235</v>
      </c>
    </row>
    <row r="273" spans="1:8" ht="15.5">
      <c r="A273" s="8">
        <v>272</v>
      </c>
      <c r="B273" s="12" t="s">
        <v>1693</v>
      </c>
      <c r="C273" s="12" t="s">
        <v>851</v>
      </c>
      <c r="D273" s="12" t="s">
        <v>835</v>
      </c>
      <c r="E273" s="28">
        <v>8934</v>
      </c>
      <c r="F273" s="28">
        <v>5390</v>
      </c>
      <c r="G273" s="28">
        <v>105800</v>
      </c>
      <c r="H273" s="4"/>
    </row>
    <row r="274" spans="1:8" ht="15.5">
      <c r="A274" s="8">
        <v>273</v>
      </c>
      <c r="B274" s="12" t="s">
        <v>270</v>
      </c>
      <c r="C274" s="12" t="s">
        <v>934</v>
      </c>
      <c r="D274" s="12" t="s">
        <v>817</v>
      </c>
      <c r="E274" s="28">
        <v>20063</v>
      </c>
      <c r="F274" s="28">
        <v>7415</v>
      </c>
      <c r="G274" s="28">
        <v>120000</v>
      </c>
      <c r="H274" s="4" t="s">
        <v>830</v>
      </c>
    </row>
    <row r="275" spans="1:8" ht="15.5">
      <c r="A275" s="8">
        <v>274</v>
      </c>
      <c r="B275" s="12" t="s">
        <v>179</v>
      </c>
      <c r="C275" s="12" t="s">
        <v>1229</v>
      </c>
      <c r="D275" s="12" t="s">
        <v>835</v>
      </c>
      <c r="E275" s="28">
        <v>11142</v>
      </c>
      <c r="F275" s="28">
        <v>6382</v>
      </c>
      <c r="G275" s="28">
        <v>101100</v>
      </c>
      <c r="H275" s="4"/>
    </row>
    <row r="276" spans="1:8" ht="15.5">
      <c r="A276" s="8">
        <v>275</v>
      </c>
      <c r="B276" s="12" t="s">
        <v>287</v>
      </c>
      <c r="C276" s="12" t="s">
        <v>1582</v>
      </c>
      <c r="D276" s="12" t="s">
        <v>835</v>
      </c>
      <c r="E276" s="28">
        <v>5732</v>
      </c>
      <c r="F276" s="28">
        <v>9555</v>
      </c>
      <c r="G276" s="28">
        <v>117100</v>
      </c>
      <c r="H276" s="4"/>
    </row>
    <row r="277" spans="1:8" ht="15.5">
      <c r="A277" s="8">
        <v>276</v>
      </c>
      <c r="B277" s="12" t="s">
        <v>449</v>
      </c>
      <c r="C277" s="12" t="s">
        <v>822</v>
      </c>
      <c r="D277" s="12" t="s">
        <v>817</v>
      </c>
      <c r="E277" s="28">
        <v>27474</v>
      </c>
      <c r="F277" s="28">
        <v>6713</v>
      </c>
      <c r="G277" s="28">
        <v>105700</v>
      </c>
      <c r="H277" s="4" t="s">
        <v>1498</v>
      </c>
    </row>
    <row r="278" spans="1:8" ht="15.5">
      <c r="A278" s="8">
        <v>277</v>
      </c>
      <c r="B278" s="12" t="s">
        <v>221</v>
      </c>
      <c r="C278" s="12" t="s">
        <v>1707</v>
      </c>
      <c r="D278" s="12" t="s">
        <v>835</v>
      </c>
      <c r="E278" s="28">
        <v>5749</v>
      </c>
      <c r="F278" s="28">
        <v>7375</v>
      </c>
      <c r="G278" s="28">
        <v>113600</v>
      </c>
      <c r="H278" s="4"/>
    </row>
    <row r="279" spans="1:8" ht="15.5">
      <c r="A279" s="8">
        <v>278</v>
      </c>
      <c r="B279" s="12" t="s">
        <v>255</v>
      </c>
      <c r="C279" s="12" t="s">
        <v>827</v>
      </c>
      <c r="D279" s="12" t="s">
        <v>835</v>
      </c>
      <c r="E279" s="28">
        <v>11104</v>
      </c>
      <c r="F279" s="28">
        <v>6746</v>
      </c>
      <c r="G279" s="28">
        <v>107900</v>
      </c>
      <c r="H279" s="4"/>
    </row>
    <row r="280" spans="1:8" ht="15.5">
      <c r="A280" s="8">
        <v>279</v>
      </c>
      <c r="B280" s="12" t="s">
        <v>535</v>
      </c>
      <c r="C280" s="12" t="s">
        <v>822</v>
      </c>
      <c r="D280" s="12" t="s">
        <v>817</v>
      </c>
      <c r="E280" s="28">
        <v>42251</v>
      </c>
      <c r="F280" s="28">
        <v>9108</v>
      </c>
      <c r="G280" s="28">
        <v>124500</v>
      </c>
      <c r="H280" s="4" t="s">
        <v>1235</v>
      </c>
    </row>
    <row r="281" spans="1:8" ht="15.5">
      <c r="A281" s="8">
        <v>280</v>
      </c>
      <c r="B281" s="12" t="s">
        <v>1716</v>
      </c>
      <c r="C281" s="12" t="s">
        <v>851</v>
      </c>
      <c r="D281" s="12" t="s">
        <v>835</v>
      </c>
      <c r="E281" s="28">
        <v>10564</v>
      </c>
      <c r="F281" s="28">
        <v>4735</v>
      </c>
      <c r="G281" s="28">
        <v>106500</v>
      </c>
      <c r="H281" s="4"/>
    </row>
    <row r="282" spans="1:8" ht="15.5">
      <c r="A282" s="8">
        <v>281</v>
      </c>
      <c r="B282" s="12" t="s">
        <v>226</v>
      </c>
      <c r="C282" s="12" t="s">
        <v>1720</v>
      </c>
      <c r="D282" s="12" t="s">
        <v>835</v>
      </c>
      <c r="E282" s="28">
        <v>11105</v>
      </c>
      <c r="F282" s="28">
        <v>5572</v>
      </c>
      <c r="G282" s="28">
        <v>118800</v>
      </c>
      <c r="H282" s="4"/>
    </row>
    <row r="283" spans="1:8" ht="15.5">
      <c r="A283" s="8">
        <v>282</v>
      </c>
      <c r="B283" s="12" t="s">
        <v>652</v>
      </c>
      <c r="C283" s="12" t="s">
        <v>816</v>
      </c>
      <c r="D283" s="12" t="s">
        <v>817</v>
      </c>
      <c r="E283" s="28">
        <v>35256</v>
      </c>
      <c r="F283" s="28">
        <v>6551</v>
      </c>
      <c r="G283" s="28">
        <v>114400</v>
      </c>
      <c r="H283" s="4" t="s">
        <v>1498</v>
      </c>
    </row>
    <row r="284" spans="1:8" ht="15.5">
      <c r="A284" s="8">
        <v>283</v>
      </c>
      <c r="B284" s="12" t="s">
        <v>533</v>
      </c>
      <c r="C284" s="12" t="s">
        <v>1183</v>
      </c>
      <c r="D284" s="12" t="s">
        <v>817</v>
      </c>
      <c r="E284" s="28">
        <v>26291</v>
      </c>
      <c r="F284" s="28">
        <v>6902</v>
      </c>
      <c r="G284" s="28">
        <v>112700</v>
      </c>
      <c r="H284" s="4" t="s">
        <v>1498</v>
      </c>
    </row>
    <row r="285" spans="1:8" ht="15.5">
      <c r="A285" s="8">
        <v>284</v>
      </c>
      <c r="B285" s="12" t="s">
        <v>551</v>
      </c>
      <c r="C285" s="12" t="s">
        <v>851</v>
      </c>
      <c r="D285" s="12" t="s">
        <v>817</v>
      </c>
      <c r="E285" s="28">
        <v>30609</v>
      </c>
      <c r="F285" s="28">
        <v>7269</v>
      </c>
      <c r="G285" s="28">
        <v>111600</v>
      </c>
      <c r="H285" s="4" t="s">
        <v>821</v>
      </c>
    </row>
    <row r="286" spans="1:8" ht="15.5">
      <c r="A286" s="8">
        <v>285</v>
      </c>
      <c r="B286" s="12" t="s">
        <v>451</v>
      </c>
      <c r="C286" s="12" t="s">
        <v>939</v>
      </c>
      <c r="D286" s="12" t="s">
        <v>817</v>
      </c>
      <c r="E286" s="28">
        <v>33740</v>
      </c>
      <c r="F286" s="28">
        <v>8484</v>
      </c>
      <c r="G286" s="28">
        <v>98400</v>
      </c>
      <c r="H286" s="4" t="s">
        <v>1235</v>
      </c>
    </row>
    <row r="287" spans="1:8" ht="15.5">
      <c r="A287" s="8">
        <v>286</v>
      </c>
      <c r="B287" s="12" t="s">
        <v>212</v>
      </c>
      <c r="C287" s="12" t="s">
        <v>1379</v>
      </c>
      <c r="D287" s="12" t="s">
        <v>835</v>
      </c>
      <c r="E287" s="28">
        <v>6346</v>
      </c>
      <c r="F287" s="28">
        <v>5722</v>
      </c>
      <c r="G287" s="28">
        <v>107300</v>
      </c>
      <c r="H287" s="4"/>
    </row>
    <row r="288" spans="1:8" ht="15.5">
      <c r="A288" s="8">
        <v>287</v>
      </c>
      <c r="B288" s="12" t="s">
        <v>452</v>
      </c>
      <c r="C288" s="12" t="s">
        <v>979</v>
      </c>
      <c r="D288" s="12" t="s">
        <v>817</v>
      </c>
      <c r="E288" s="28">
        <v>32047</v>
      </c>
      <c r="F288" s="28">
        <v>6438</v>
      </c>
      <c r="G288" s="28">
        <v>135400</v>
      </c>
      <c r="H288" s="4" t="s">
        <v>899</v>
      </c>
    </row>
    <row r="289" spans="1:8" ht="15.5">
      <c r="A289" s="8">
        <v>288</v>
      </c>
      <c r="B289" s="12" t="s">
        <v>538</v>
      </c>
      <c r="C289" s="12" t="s">
        <v>844</v>
      </c>
      <c r="D289" s="12" t="s">
        <v>817</v>
      </c>
      <c r="E289" s="28">
        <v>29025</v>
      </c>
      <c r="F289" s="28">
        <v>11265</v>
      </c>
      <c r="G289" s="28">
        <v>121200</v>
      </c>
      <c r="H289" s="4" t="s">
        <v>1498</v>
      </c>
    </row>
    <row r="290" spans="1:8" ht="15.5">
      <c r="A290" s="8">
        <v>289</v>
      </c>
      <c r="B290" s="12" t="s">
        <v>321</v>
      </c>
      <c r="C290" s="12" t="s">
        <v>840</v>
      </c>
      <c r="D290" s="12" t="s">
        <v>817</v>
      </c>
      <c r="E290" s="28">
        <v>30955</v>
      </c>
      <c r="F290" s="28">
        <v>6369</v>
      </c>
      <c r="G290" s="28">
        <v>145600</v>
      </c>
      <c r="H290" s="4" t="s">
        <v>1221</v>
      </c>
    </row>
    <row r="291" spans="1:8" ht="15.5">
      <c r="A291" s="8">
        <v>290</v>
      </c>
      <c r="B291" s="12" t="s">
        <v>171</v>
      </c>
      <c r="C291" s="12" t="s">
        <v>1236</v>
      </c>
      <c r="D291" s="12" t="s">
        <v>835</v>
      </c>
      <c r="E291" s="28">
        <v>9750</v>
      </c>
      <c r="F291" s="28">
        <v>5868</v>
      </c>
      <c r="G291" s="28">
        <v>109000</v>
      </c>
      <c r="H291" s="4"/>
    </row>
    <row r="292" spans="1:8" ht="15.5">
      <c r="A292" s="8">
        <v>291</v>
      </c>
      <c r="B292" s="12" t="s">
        <v>598</v>
      </c>
      <c r="C292" s="12" t="s">
        <v>827</v>
      </c>
      <c r="D292" s="12" t="s">
        <v>817</v>
      </c>
      <c r="E292" s="28">
        <v>18237</v>
      </c>
      <c r="F292" s="28">
        <v>10226</v>
      </c>
      <c r="G292" s="28">
        <v>134000</v>
      </c>
      <c r="H292" s="4" t="s">
        <v>1235</v>
      </c>
    </row>
    <row r="293" spans="1:8" ht="15.5">
      <c r="A293" s="8">
        <v>292</v>
      </c>
      <c r="B293" s="12" t="s">
        <v>381</v>
      </c>
      <c r="C293" s="12" t="s">
        <v>844</v>
      </c>
      <c r="D293" s="12" t="s">
        <v>817</v>
      </c>
      <c r="E293" s="28">
        <v>43239</v>
      </c>
      <c r="F293" s="28">
        <v>8110</v>
      </c>
      <c r="G293" s="28">
        <v>145200</v>
      </c>
      <c r="H293" s="4" t="s">
        <v>920</v>
      </c>
    </row>
    <row r="294" spans="1:8" ht="15.5">
      <c r="A294" s="8">
        <v>293</v>
      </c>
      <c r="B294" s="12" t="s">
        <v>426</v>
      </c>
      <c r="C294" s="12" t="s">
        <v>1082</v>
      </c>
      <c r="D294" s="12" t="s">
        <v>817</v>
      </c>
      <c r="E294" s="28">
        <v>40262</v>
      </c>
      <c r="F294" s="28">
        <v>6714</v>
      </c>
      <c r="G294" s="28">
        <v>113900</v>
      </c>
      <c r="H294" s="4" t="s">
        <v>899</v>
      </c>
    </row>
    <row r="295" spans="1:8" ht="15.5">
      <c r="A295" s="8">
        <v>294</v>
      </c>
      <c r="B295" s="12" t="s">
        <v>292</v>
      </c>
      <c r="C295" s="12" t="s">
        <v>1164</v>
      </c>
      <c r="D295" s="12" t="s">
        <v>835</v>
      </c>
      <c r="E295" s="28">
        <v>9499</v>
      </c>
      <c r="F295" s="28">
        <v>9150</v>
      </c>
      <c r="G295" s="28">
        <v>102700</v>
      </c>
      <c r="H295" s="4"/>
    </row>
    <row r="296" spans="1:8" ht="15.5">
      <c r="A296" s="8">
        <v>295</v>
      </c>
      <c r="B296" s="12" t="s">
        <v>1755</v>
      </c>
      <c r="C296" s="12" t="s">
        <v>822</v>
      </c>
      <c r="D296" s="12" t="s">
        <v>835</v>
      </c>
      <c r="E296" s="28">
        <v>10750</v>
      </c>
      <c r="F296" s="28">
        <v>5006</v>
      </c>
      <c r="G296" s="28">
        <v>111700</v>
      </c>
      <c r="H296" s="4"/>
    </row>
    <row r="297" spans="1:8" ht="15.5">
      <c r="A297" s="8">
        <v>296</v>
      </c>
      <c r="B297" s="12" t="s">
        <v>1758</v>
      </c>
      <c r="C297" s="12" t="s">
        <v>822</v>
      </c>
      <c r="D297" s="12" t="s">
        <v>817</v>
      </c>
      <c r="E297" s="28">
        <v>38322</v>
      </c>
      <c r="F297" s="28">
        <v>6817</v>
      </c>
      <c r="G297" s="28">
        <v>132800</v>
      </c>
      <c r="H297" s="4" t="s">
        <v>1221</v>
      </c>
    </row>
    <row r="298" spans="1:8" ht="15.5">
      <c r="A298" s="8">
        <v>297</v>
      </c>
      <c r="B298" s="12" t="s">
        <v>227</v>
      </c>
      <c r="C298" s="12" t="s">
        <v>1199</v>
      </c>
      <c r="D298" s="12" t="s">
        <v>835</v>
      </c>
      <c r="E298" s="28">
        <v>11865</v>
      </c>
      <c r="F298" s="28">
        <v>6397</v>
      </c>
      <c r="G298" s="28">
        <v>106700</v>
      </c>
      <c r="H298" s="4"/>
    </row>
    <row r="299" spans="1:8" ht="15.5">
      <c r="A299" s="8">
        <v>298</v>
      </c>
      <c r="B299" s="12" t="s">
        <v>243</v>
      </c>
      <c r="C299" s="12" t="s">
        <v>851</v>
      </c>
      <c r="D299" s="12" t="s">
        <v>835</v>
      </c>
      <c r="E299" s="28">
        <v>11791</v>
      </c>
      <c r="F299" s="28">
        <v>5703</v>
      </c>
      <c r="G299" s="28">
        <v>105600</v>
      </c>
      <c r="H299" s="4"/>
    </row>
    <row r="300" spans="1:8" ht="15.5">
      <c r="A300" s="8">
        <v>299</v>
      </c>
      <c r="B300" s="12" t="s">
        <v>515</v>
      </c>
      <c r="C300" s="12" t="s">
        <v>816</v>
      </c>
      <c r="D300" s="12" t="s">
        <v>835</v>
      </c>
      <c r="E300" s="28">
        <v>12553</v>
      </c>
      <c r="F300" s="28">
        <v>8357</v>
      </c>
      <c r="G300" s="28">
        <v>117000</v>
      </c>
      <c r="H300" s="4"/>
    </row>
    <row r="301" spans="1:8" ht="15.5">
      <c r="A301" s="8">
        <v>300</v>
      </c>
      <c r="B301" s="12" t="s">
        <v>437</v>
      </c>
      <c r="C301" s="12" t="s">
        <v>1124</v>
      </c>
      <c r="D301" s="12" t="s">
        <v>817</v>
      </c>
      <c r="E301" s="28">
        <v>27897</v>
      </c>
      <c r="F301" s="28">
        <v>8988</v>
      </c>
      <c r="G301" s="28">
        <v>112900</v>
      </c>
      <c r="H301" s="4" t="s">
        <v>1235</v>
      </c>
    </row>
    <row r="302" spans="1:8" ht="15.5">
      <c r="A302" s="8">
        <v>301</v>
      </c>
      <c r="B302" s="12" t="s">
        <v>156</v>
      </c>
      <c r="C302" s="12" t="s">
        <v>840</v>
      </c>
      <c r="D302" s="12" t="s">
        <v>817</v>
      </c>
      <c r="E302" s="28">
        <v>29122</v>
      </c>
      <c r="F302" s="28">
        <v>9891</v>
      </c>
      <c r="G302" s="28">
        <v>126100</v>
      </c>
      <c r="H302" s="4" t="s">
        <v>938</v>
      </c>
    </row>
    <row r="303" spans="1:8" ht="15.5">
      <c r="A303" s="8">
        <v>302</v>
      </c>
      <c r="B303" s="12" t="s">
        <v>305</v>
      </c>
      <c r="C303" s="12" t="s">
        <v>840</v>
      </c>
      <c r="D303" s="12" t="s">
        <v>817</v>
      </c>
      <c r="E303" s="28">
        <v>30958</v>
      </c>
      <c r="F303" s="28">
        <v>10202</v>
      </c>
      <c r="G303" s="28">
        <v>135400</v>
      </c>
      <c r="H303" s="4" t="s">
        <v>1221</v>
      </c>
    </row>
    <row r="304" spans="1:8" ht="15.5">
      <c r="A304" s="8">
        <v>303</v>
      </c>
      <c r="B304" s="12" t="s">
        <v>353</v>
      </c>
      <c r="C304" s="12" t="s">
        <v>840</v>
      </c>
      <c r="D304" s="12" t="s">
        <v>835</v>
      </c>
      <c r="E304" s="28">
        <v>8260</v>
      </c>
      <c r="F304" s="28">
        <v>8716</v>
      </c>
      <c r="G304" s="28">
        <v>127200</v>
      </c>
      <c r="H304" s="4"/>
    </row>
    <row r="305" spans="1:8" ht="15.5">
      <c r="A305" s="8">
        <v>304</v>
      </c>
      <c r="B305" s="12" t="s">
        <v>1778</v>
      </c>
      <c r="C305" s="12" t="s">
        <v>1082</v>
      </c>
      <c r="D305" s="12" t="s">
        <v>817</v>
      </c>
      <c r="E305" s="28">
        <v>32284</v>
      </c>
      <c r="F305" s="28">
        <v>10539</v>
      </c>
      <c r="G305" s="28">
        <v>135200</v>
      </c>
      <c r="H305" s="4" t="s">
        <v>920</v>
      </c>
    </row>
    <row r="306" spans="1:8" ht="15.5">
      <c r="A306" s="8">
        <v>305</v>
      </c>
      <c r="B306" s="12" t="s">
        <v>319</v>
      </c>
      <c r="C306" s="12" t="s">
        <v>1104</v>
      </c>
      <c r="D306" s="12" t="s">
        <v>835</v>
      </c>
      <c r="E306" s="28">
        <v>6412</v>
      </c>
      <c r="F306" s="28">
        <v>6606</v>
      </c>
      <c r="G306" s="28">
        <v>99100</v>
      </c>
      <c r="H306" s="4"/>
    </row>
    <row r="307" spans="1:8" ht="15.5">
      <c r="A307" s="8">
        <v>306</v>
      </c>
      <c r="B307" s="2" t="s">
        <v>183</v>
      </c>
      <c r="C307" s="12" t="s">
        <v>840</v>
      </c>
      <c r="D307" s="12" t="s">
        <v>835</v>
      </c>
      <c r="E307" s="28">
        <v>11485</v>
      </c>
      <c r="F307" s="28">
        <v>6785</v>
      </c>
      <c r="G307" s="28">
        <v>125100</v>
      </c>
      <c r="H307" s="4"/>
    </row>
    <row r="308" spans="1:8" ht="15.5">
      <c r="A308" s="8">
        <v>307</v>
      </c>
      <c r="B308" s="12" t="s">
        <v>1789</v>
      </c>
      <c r="C308" s="12" t="s">
        <v>1214</v>
      </c>
      <c r="D308" s="12" t="s">
        <v>817</v>
      </c>
      <c r="E308" s="28">
        <v>36877</v>
      </c>
      <c r="F308" s="28">
        <v>7505</v>
      </c>
      <c r="G308" s="28">
        <v>126000</v>
      </c>
      <c r="H308" s="4" t="s">
        <v>899</v>
      </c>
    </row>
    <row r="309" spans="1:8" ht="15.5">
      <c r="A309" s="8">
        <v>308</v>
      </c>
      <c r="B309" s="12" t="s">
        <v>587</v>
      </c>
      <c r="C309" s="12" t="s">
        <v>844</v>
      </c>
      <c r="D309" s="12" t="s">
        <v>817</v>
      </c>
      <c r="E309" s="28">
        <v>40914</v>
      </c>
      <c r="F309" s="28">
        <v>9772</v>
      </c>
      <c r="G309" s="28">
        <v>130600</v>
      </c>
      <c r="H309" s="4" t="s">
        <v>1336</v>
      </c>
    </row>
    <row r="310" spans="1:8" ht="15.5">
      <c r="A310" s="8">
        <v>309</v>
      </c>
      <c r="B310" s="12" t="s">
        <v>1794</v>
      </c>
      <c r="C310" s="12" t="s">
        <v>822</v>
      </c>
      <c r="D310" s="12" t="s">
        <v>835</v>
      </c>
      <c r="E310" s="28">
        <v>8702</v>
      </c>
      <c r="F310" s="28">
        <v>5210</v>
      </c>
      <c r="G310" s="28">
        <v>119900</v>
      </c>
      <c r="H310" s="4"/>
    </row>
    <row r="311" spans="1:8" ht="15.5">
      <c r="A311" s="8">
        <v>310</v>
      </c>
      <c r="B311" s="12" t="s">
        <v>435</v>
      </c>
      <c r="C311" s="12" t="s">
        <v>862</v>
      </c>
      <c r="D311" s="12" t="s">
        <v>817</v>
      </c>
      <c r="E311" s="28">
        <v>36621</v>
      </c>
      <c r="F311" s="28">
        <v>9532</v>
      </c>
      <c r="G311" s="28">
        <v>139600</v>
      </c>
      <c r="H311" s="4" t="s">
        <v>1221</v>
      </c>
    </row>
    <row r="312" spans="1:8" ht="15.5">
      <c r="A312" s="8">
        <v>311</v>
      </c>
      <c r="B312" s="12" t="s">
        <v>363</v>
      </c>
      <c r="C312" s="12" t="s">
        <v>926</v>
      </c>
      <c r="D312" s="12" t="s">
        <v>835</v>
      </c>
      <c r="E312" s="28">
        <v>13779</v>
      </c>
      <c r="F312" s="28">
        <v>6920</v>
      </c>
      <c r="G312" s="28">
        <v>141500</v>
      </c>
      <c r="H312" s="4"/>
    </row>
    <row r="313" spans="1:8" ht="15.5">
      <c r="A313" s="8">
        <v>312</v>
      </c>
      <c r="B313" s="12" t="s">
        <v>1801</v>
      </c>
      <c r="C313" s="12" t="s">
        <v>840</v>
      </c>
      <c r="D313" s="12" t="s">
        <v>817</v>
      </c>
      <c r="E313" s="28">
        <v>21504</v>
      </c>
      <c r="F313" s="28">
        <v>10379</v>
      </c>
      <c r="G313" s="28">
        <v>130700</v>
      </c>
      <c r="H313" s="4" t="s">
        <v>1235</v>
      </c>
    </row>
    <row r="314" spans="1:8" ht="15.5">
      <c r="A314" s="8">
        <v>313</v>
      </c>
      <c r="B314" s="12" t="s">
        <v>267</v>
      </c>
      <c r="C314" s="12" t="s">
        <v>889</v>
      </c>
      <c r="D314" s="12" t="s">
        <v>835</v>
      </c>
      <c r="E314" s="28">
        <v>9020</v>
      </c>
      <c r="F314" s="28">
        <v>7654</v>
      </c>
      <c r="G314" s="28">
        <v>100500</v>
      </c>
      <c r="H314" s="4"/>
    </row>
    <row r="315" spans="1:8" ht="15.5">
      <c r="A315" s="8">
        <v>314</v>
      </c>
      <c r="B315" s="12" t="s">
        <v>681</v>
      </c>
      <c r="C315" s="12" t="s">
        <v>840</v>
      </c>
      <c r="D315" s="12" t="s">
        <v>835</v>
      </c>
      <c r="E315" s="28">
        <v>8012</v>
      </c>
      <c r="F315" s="28">
        <v>8647</v>
      </c>
      <c r="G315" s="28">
        <v>165400</v>
      </c>
      <c r="H315" s="4"/>
    </row>
    <row r="316" spans="1:8" ht="15.5">
      <c r="A316" s="8">
        <v>315</v>
      </c>
      <c r="B316" s="12" t="s">
        <v>224</v>
      </c>
      <c r="C316" s="12" t="s">
        <v>883</v>
      </c>
      <c r="D316" s="12" t="s">
        <v>835</v>
      </c>
      <c r="E316" s="28">
        <v>13257</v>
      </c>
      <c r="F316" s="28">
        <v>11356</v>
      </c>
      <c r="G316" s="28">
        <v>120800</v>
      </c>
      <c r="H316" s="4"/>
    </row>
    <row r="317" spans="1:8" ht="15.5">
      <c r="A317" s="8">
        <v>316</v>
      </c>
      <c r="B317" s="12" t="s">
        <v>1814</v>
      </c>
      <c r="C317" s="12" t="s">
        <v>827</v>
      </c>
      <c r="D317" s="12" t="s">
        <v>817</v>
      </c>
      <c r="E317" s="28">
        <v>41665</v>
      </c>
      <c r="F317" s="28">
        <v>7647</v>
      </c>
      <c r="G317" s="28">
        <v>115400</v>
      </c>
      <c r="H317" s="4" t="s">
        <v>920</v>
      </c>
    </row>
    <row r="318" spans="1:8" ht="15.5">
      <c r="A318" s="8">
        <v>317</v>
      </c>
      <c r="B318" s="12" t="s">
        <v>1818</v>
      </c>
      <c r="C318" s="12" t="s">
        <v>822</v>
      </c>
      <c r="D318" s="12" t="s">
        <v>817</v>
      </c>
      <c r="E318" s="28">
        <v>16665</v>
      </c>
      <c r="F318" s="28">
        <v>7458</v>
      </c>
      <c r="G318" s="28">
        <v>128900</v>
      </c>
      <c r="H318" s="4" t="s">
        <v>1221</v>
      </c>
    </row>
    <row r="319" spans="1:8" ht="15.5">
      <c r="A319" s="8">
        <v>318</v>
      </c>
      <c r="B319" s="12" t="s">
        <v>494</v>
      </c>
      <c r="C319" s="12" t="s">
        <v>883</v>
      </c>
      <c r="D319" s="12" t="s">
        <v>817</v>
      </c>
      <c r="E319" s="28">
        <v>30971</v>
      </c>
      <c r="F319" s="28">
        <v>9247</v>
      </c>
      <c r="G319" s="28">
        <v>135100</v>
      </c>
      <c r="H319" s="4" t="s">
        <v>1336</v>
      </c>
    </row>
    <row r="320" spans="1:8" ht="15.5">
      <c r="A320" s="8">
        <v>319</v>
      </c>
      <c r="B320" s="12" t="s">
        <v>1825</v>
      </c>
      <c r="C320" s="12" t="s">
        <v>872</v>
      </c>
      <c r="D320" s="12" t="s">
        <v>835</v>
      </c>
      <c r="E320" s="28">
        <v>8471</v>
      </c>
      <c r="F320" s="28">
        <v>6766</v>
      </c>
      <c r="G320" s="28">
        <v>109400</v>
      </c>
      <c r="H320" s="4"/>
    </row>
    <row r="321" spans="1:8" ht="15.5">
      <c r="A321" s="8">
        <v>320</v>
      </c>
      <c r="B321" s="12" t="s">
        <v>216</v>
      </c>
      <c r="C321" s="12" t="s">
        <v>922</v>
      </c>
      <c r="D321" s="12" t="s">
        <v>835</v>
      </c>
      <c r="E321" s="28">
        <v>16114</v>
      </c>
      <c r="F321" s="28">
        <v>8372</v>
      </c>
      <c r="G321" s="28">
        <v>135600</v>
      </c>
      <c r="H321" s="4"/>
    </row>
    <row r="322" spans="1:8" ht="15.5">
      <c r="A322" s="8">
        <v>321</v>
      </c>
      <c r="B322" s="12" t="s">
        <v>424</v>
      </c>
      <c r="C322" s="12" t="s">
        <v>910</v>
      </c>
      <c r="D322" s="12" t="s">
        <v>835</v>
      </c>
      <c r="E322" s="28">
        <v>11515</v>
      </c>
      <c r="F322" s="28">
        <v>6174</v>
      </c>
      <c r="G322" s="28">
        <v>96700</v>
      </c>
      <c r="H322" s="4"/>
    </row>
    <row r="323" spans="1:8" ht="15.5">
      <c r="A323" s="8">
        <v>322</v>
      </c>
      <c r="B323" s="12" t="s">
        <v>568</v>
      </c>
      <c r="C323" s="12" t="s">
        <v>1358</v>
      </c>
      <c r="D323" s="12" t="s">
        <v>817</v>
      </c>
      <c r="E323" s="28">
        <v>37116</v>
      </c>
      <c r="F323" s="28">
        <v>7650</v>
      </c>
      <c r="G323" s="28">
        <v>98600</v>
      </c>
      <c r="H323" s="4" t="s">
        <v>821</v>
      </c>
    </row>
    <row r="324" spans="1:8" ht="15.5">
      <c r="A324" s="8">
        <v>323</v>
      </c>
      <c r="B324" s="12" t="s">
        <v>1838</v>
      </c>
      <c r="C324" s="12" t="s">
        <v>822</v>
      </c>
      <c r="D324" s="12" t="s">
        <v>835</v>
      </c>
      <c r="E324" s="28">
        <v>8922</v>
      </c>
      <c r="F324" s="28">
        <v>5606</v>
      </c>
      <c r="G324" s="28">
        <v>112000</v>
      </c>
      <c r="H324" s="4"/>
    </row>
    <row r="325" spans="1:8" ht="15.5">
      <c r="A325" s="8">
        <v>324</v>
      </c>
      <c r="B325" s="2" t="s">
        <v>338</v>
      </c>
      <c r="C325" s="12" t="s">
        <v>822</v>
      </c>
      <c r="D325" s="12" t="s">
        <v>835</v>
      </c>
      <c r="E325" s="28">
        <v>25868</v>
      </c>
      <c r="F325" s="28">
        <v>4754</v>
      </c>
      <c r="G325" s="28"/>
      <c r="H325" s="4"/>
    </row>
    <row r="326" spans="1:8" ht="15.5">
      <c r="A326" s="8">
        <v>325</v>
      </c>
      <c r="B326" s="12" t="s">
        <v>1845</v>
      </c>
      <c r="C326" s="12" t="s">
        <v>1229</v>
      </c>
      <c r="D326" s="12" t="s">
        <v>835</v>
      </c>
      <c r="E326" s="28">
        <v>8983</v>
      </c>
      <c r="F326" s="28">
        <v>7054</v>
      </c>
      <c r="G326" s="28">
        <v>127000</v>
      </c>
      <c r="H326" s="4"/>
    </row>
    <row r="327" spans="1:8" ht="15.5">
      <c r="A327" s="8">
        <v>326</v>
      </c>
      <c r="B327" s="12" t="s">
        <v>326</v>
      </c>
      <c r="C327" s="12" t="s">
        <v>910</v>
      </c>
      <c r="D327" s="12" t="s">
        <v>835</v>
      </c>
      <c r="E327" s="28">
        <v>8742</v>
      </c>
      <c r="F327" s="28">
        <v>5825</v>
      </c>
      <c r="G327" s="28">
        <v>103300</v>
      </c>
      <c r="H327" s="4"/>
    </row>
    <row r="328" spans="1:8" ht="15.5">
      <c r="A328" s="8">
        <v>327</v>
      </c>
      <c r="B328" s="12" t="s">
        <v>493</v>
      </c>
      <c r="C328" s="12" t="s">
        <v>943</v>
      </c>
      <c r="D328" s="12" t="s">
        <v>835</v>
      </c>
      <c r="E328" s="28">
        <v>9046</v>
      </c>
      <c r="F328" s="28">
        <v>8468</v>
      </c>
      <c r="G328" s="28">
        <v>117500</v>
      </c>
      <c r="H328" s="4"/>
    </row>
    <row r="329" spans="1:8" ht="15.5">
      <c r="A329" s="8">
        <v>328</v>
      </c>
      <c r="B329" s="12" t="s">
        <v>487</v>
      </c>
      <c r="C329" s="12" t="s">
        <v>851</v>
      </c>
      <c r="D329" s="12" t="s">
        <v>817</v>
      </c>
      <c r="E329" s="28">
        <v>26280</v>
      </c>
      <c r="F329" s="28">
        <v>10671</v>
      </c>
      <c r="G329" s="28">
        <v>110800</v>
      </c>
      <c r="H329" s="4" t="s">
        <v>830</v>
      </c>
    </row>
    <row r="330" spans="1:8" ht="15.5">
      <c r="A330" s="8">
        <v>329</v>
      </c>
      <c r="B330" s="12" t="s">
        <v>299</v>
      </c>
      <c r="C330" s="12" t="s">
        <v>840</v>
      </c>
      <c r="D330" s="12" t="s">
        <v>817</v>
      </c>
      <c r="E330" s="28">
        <v>53584</v>
      </c>
      <c r="F330" s="28">
        <v>6006</v>
      </c>
      <c r="G330" s="28">
        <v>107100</v>
      </c>
      <c r="H330" s="4" t="s">
        <v>821</v>
      </c>
    </row>
    <row r="331" spans="1:8" ht="15.5">
      <c r="A331" s="8">
        <v>330</v>
      </c>
      <c r="B331" s="11" t="s">
        <v>97</v>
      </c>
      <c r="C331" s="12" t="s">
        <v>1183</v>
      </c>
      <c r="D331" s="12" t="s">
        <v>835</v>
      </c>
      <c r="E331" s="28">
        <v>10727</v>
      </c>
      <c r="F331" s="28">
        <v>8773</v>
      </c>
      <c r="G331" s="28">
        <v>116300</v>
      </c>
      <c r="H331" s="4"/>
    </row>
    <row r="332" spans="1:8" ht="15.5">
      <c r="A332" s="8">
        <v>331</v>
      </c>
      <c r="B332" s="12" t="s">
        <v>427</v>
      </c>
      <c r="C332" s="12" t="s">
        <v>971</v>
      </c>
      <c r="D332" s="12" t="s">
        <v>817</v>
      </c>
      <c r="E332" s="28">
        <v>25728</v>
      </c>
      <c r="F332" s="28">
        <v>11152</v>
      </c>
      <c r="G332" s="28">
        <v>121100</v>
      </c>
      <c r="H332" s="4" t="s">
        <v>1235</v>
      </c>
    </row>
    <row r="333" spans="1:8" ht="15.5">
      <c r="A333" s="8">
        <v>332</v>
      </c>
      <c r="B333" s="12" t="s">
        <v>510</v>
      </c>
      <c r="C333" s="12" t="s">
        <v>840</v>
      </c>
      <c r="D333" s="12" t="s">
        <v>817</v>
      </c>
      <c r="E333" s="28">
        <v>33957</v>
      </c>
      <c r="F333" s="28">
        <v>9120</v>
      </c>
      <c r="G333" s="28">
        <v>119400</v>
      </c>
      <c r="H333" s="4" t="s">
        <v>938</v>
      </c>
    </row>
    <row r="334" spans="1:8" ht="15.5">
      <c r="A334" s="8">
        <v>333</v>
      </c>
      <c r="B334" s="12" t="s">
        <v>592</v>
      </c>
      <c r="C334" s="12" t="s">
        <v>971</v>
      </c>
      <c r="D334" s="12" t="s">
        <v>817</v>
      </c>
      <c r="E334" s="28">
        <v>23303</v>
      </c>
      <c r="F334" s="28">
        <v>7530</v>
      </c>
      <c r="G334" s="28">
        <v>121500</v>
      </c>
      <c r="H334" s="4" t="s">
        <v>938</v>
      </c>
    </row>
    <row r="335" spans="1:8" ht="15.5">
      <c r="A335" s="8">
        <v>334</v>
      </c>
      <c r="B335" s="12" t="s">
        <v>361</v>
      </c>
      <c r="C335" s="12" t="s">
        <v>840</v>
      </c>
      <c r="D335" s="12" t="s">
        <v>817</v>
      </c>
      <c r="E335" s="28">
        <v>29677</v>
      </c>
      <c r="F335" s="28">
        <v>5364</v>
      </c>
      <c r="G335" s="28">
        <v>129400</v>
      </c>
      <c r="H335" s="4" t="s">
        <v>1336</v>
      </c>
    </row>
    <row r="336" spans="1:8" ht="15.5">
      <c r="A336" s="8">
        <v>335</v>
      </c>
      <c r="B336" s="12" t="s">
        <v>372</v>
      </c>
      <c r="C336" s="12" t="s">
        <v>822</v>
      </c>
      <c r="D336" s="12" t="s">
        <v>817</v>
      </c>
      <c r="E336" s="28">
        <v>26521</v>
      </c>
      <c r="F336" s="28">
        <v>7941</v>
      </c>
      <c r="G336" s="28">
        <v>116800</v>
      </c>
      <c r="H336" s="4" t="s">
        <v>1336</v>
      </c>
    </row>
    <row r="337" spans="1:8" ht="15.5">
      <c r="A337" s="8">
        <v>336</v>
      </c>
      <c r="B337" s="12" t="s">
        <v>1878</v>
      </c>
      <c r="C337" s="12" t="s">
        <v>840</v>
      </c>
      <c r="D337" s="12" t="s">
        <v>835</v>
      </c>
      <c r="E337" s="28">
        <v>10382</v>
      </c>
      <c r="F337" s="28">
        <v>5276</v>
      </c>
      <c r="G337" s="28">
        <v>112300</v>
      </c>
      <c r="H337" s="4"/>
    </row>
    <row r="338" spans="1:8" ht="15.5">
      <c r="A338" s="8">
        <v>337</v>
      </c>
      <c r="B338" s="12" t="s">
        <v>653</v>
      </c>
      <c r="C338" s="12" t="s">
        <v>822</v>
      </c>
      <c r="D338" s="12" t="s">
        <v>835</v>
      </c>
      <c r="E338" s="28">
        <v>9529</v>
      </c>
      <c r="F338" s="28">
        <v>6511</v>
      </c>
      <c r="G338" s="28">
        <v>156200</v>
      </c>
      <c r="H338" s="4"/>
    </row>
    <row r="339" spans="1:8" ht="15.5">
      <c r="A339" s="8">
        <v>338</v>
      </c>
      <c r="B339" s="12" t="s">
        <v>1884</v>
      </c>
      <c r="C339" s="12" t="s">
        <v>831</v>
      </c>
      <c r="D339" s="12" t="s">
        <v>835</v>
      </c>
      <c r="E339" s="28">
        <v>8195</v>
      </c>
      <c r="F339" s="28">
        <v>9500</v>
      </c>
      <c r="G339" s="28">
        <v>98900</v>
      </c>
      <c r="H339" s="4"/>
    </row>
    <row r="340" spans="1:8" ht="15.5">
      <c r="A340" s="8">
        <v>339</v>
      </c>
      <c r="B340" s="12" t="s">
        <v>214</v>
      </c>
      <c r="C340" s="12" t="s">
        <v>858</v>
      </c>
      <c r="D340" s="12" t="s">
        <v>835</v>
      </c>
      <c r="E340" s="28">
        <v>12552</v>
      </c>
      <c r="F340" s="28">
        <v>6377</v>
      </c>
      <c r="G340" s="28">
        <v>115100</v>
      </c>
      <c r="H340" s="4"/>
    </row>
    <row r="341" spans="1:8" ht="15.5">
      <c r="A341" s="8">
        <v>340</v>
      </c>
      <c r="B341" s="12" t="s">
        <v>680</v>
      </c>
      <c r="C341" s="12" t="s">
        <v>822</v>
      </c>
      <c r="D341" s="12" t="s">
        <v>817</v>
      </c>
      <c r="E341" s="28">
        <v>34200</v>
      </c>
      <c r="F341" s="28">
        <v>7481</v>
      </c>
      <c r="G341" s="28"/>
      <c r="H341" s="4"/>
    </row>
    <row r="342" spans="1:8" ht="15.5">
      <c r="A342" s="8">
        <v>341</v>
      </c>
      <c r="B342" s="12" t="s">
        <v>297</v>
      </c>
      <c r="C342" s="12" t="s">
        <v>822</v>
      </c>
      <c r="D342" s="12" t="s">
        <v>835</v>
      </c>
      <c r="E342" s="28">
        <v>9590</v>
      </c>
      <c r="F342" s="28">
        <v>4958</v>
      </c>
      <c r="G342" s="28">
        <v>117500</v>
      </c>
      <c r="H342" s="4"/>
    </row>
    <row r="343" spans="1:8" ht="15.5">
      <c r="A343" s="8">
        <v>342</v>
      </c>
      <c r="B343" s="12" t="s">
        <v>448</v>
      </c>
      <c r="C343" s="12" t="s">
        <v>840</v>
      </c>
      <c r="D343" s="12" t="s">
        <v>817</v>
      </c>
      <c r="E343" s="28">
        <v>36421</v>
      </c>
      <c r="F343" s="28">
        <v>7218</v>
      </c>
      <c r="G343" s="28">
        <v>115600</v>
      </c>
      <c r="H343" s="4" t="s">
        <v>830</v>
      </c>
    </row>
    <row r="344" spans="1:8" ht="15.5">
      <c r="A344" s="8">
        <v>343</v>
      </c>
      <c r="B344" s="12" t="s">
        <v>1896</v>
      </c>
      <c r="C344" s="12" t="s">
        <v>1897</v>
      </c>
      <c r="D344" s="12" t="s">
        <v>835</v>
      </c>
      <c r="E344" s="28">
        <v>5825</v>
      </c>
      <c r="F344" s="28">
        <v>3532</v>
      </c>
      <c r="G344" s="28">
        <v>98700</v>
      </c>
      <c r="H344" s="4"/>
    </row>
    <row r="345" spans="1:8" ht="15.5">
      <c r="A345" s="8">
        <v>344</v>
      </c>
      <c r="B345" s="12" t="s">
        <v>616</v>
      </c>
      <c r="C345" s="12" t="s">
        <v>910</v>
      </c>
      <c r="D345" s="12" t="s">
        <v>835</v>
      </c>
      <c r="E345" s="28">
        <v>14102</v>
      </c>
      <c r="F345" s="28">
        <v>4856</v>
      </c>
      <c r="G345" s="28">
        <v>109000</v>
      </c>
      <c r="H345" s="4"/>
    </row>
    <row r="346" spans="1:8" ht="15.5">
      <c r="A346" s="8">
        <v>345</v>
      </c>
      <c r="B346" s="12" t="s">
        <v>281</v>
      </c>
      <c r="C346" s="12" t="s">
        <v>840</v>
      </c>
      <c r="D346" s="12" t="s">
        <v>817</v>
      </c>
      <c r="E346" s="28">
        <v>33911</v>
      </c>
      <c r="F346" s="28">
        <v>9879</v>
      </c>
      <c r="G346" s="28">
        <v>134000</v>
      </c>
      <c r="H346" s="4" t="s">
        <v>1498</v>
      </c>
    </row>
    <row r="347" spans="1:8" ht="15.5">
      <c r="A347" s="8">
        <v>346</v>
      </c>
      <c r="B347" s="12" t="s">
        <v>1904</v>
      </c>
      <c r="C347" s="12" t="s">
        <v>1905</v>
      </c>
      <c r="D347" s="12" t="s">
        <v>835</v>
      </c>
      <c r="E347" s="28">
        <v>8704</v>
      </c>
      <c r="F347" s="28">
        <v>5705</v>
      </c>
      <c r="G347" s="28">
        <v>115700</v>
      </c>
      <c r="H347" s="4"/>
    </row>
    <row r="348" spans="1:8" ht="15.5">
      <c r="A348" s="8">
        <v>347</v>
      </c>
      <c r="B348" s="12" t="s">
        <v>482</v>
      </c>
      <c r="C348" s="12" t="s">
        <v>1124</v>
      </c>
      <c r="D348" s="12" t="s">
        <v>817</v>
      </c>
      <c r="E348" s="28">
        <v>36497</v>
      </c>
      <c r="F348" s="28">
        <v>7089</v>
      </c>
      <c r="G348" s="28">
        <v>140800</v>
      </c>
      <c r="H348" s="4" t="s">
        <v>821</v>
      </c>
    </row>
    <row r="349" spans="1:8" ht="15.5">
      <c r="A349" s="8">
        <v>348</v>
      </c>
      <c r="B349" s="12" t="s">
        <v>1911</v>
      </c>
      <c r="C349" s="12" t="s">
        <v>979</v>
      </c>
      <c r="D349" s="12" t="s">
        <v>835</v>
      </c>
      <c r="E349" s="28">
        <v>12961</v>
      </c>
      <c r="F349" s="28">
        <v>4891</v>
      </c>
      <c r="G349" s="28">
        <v>107900</v>
      </c>
      <c r="H349" s="4"/>
    </row>
    <row r="350" spans="1:8" ht="15.5">
      <c r="A350" s="8">
        <v>349</v>
      </c>
      <c r="B350" s="12" t="s">
        <v>291</v>
      </c>
      <c r="C350" s="12" t="s">
        <v>934</v>
      </c>
      <c r="D350" s="12" t="s">
        <v>817</v>
      </c>
      <c r="E350" s="28">
        <v>34449</v>
      </c>
      <c r="F350" s="28">
        <v>10152</v>
      </c>
      <c r="G350" s="28">
        <v>129500</v>
      </c>
      <c r="H350" s="4" t="s">
        <v>938</v>
      </c>
    </row>
    <row r="351" spans="1:8" ht="15.5">
      <c r="A351" s="8">
        <v>350</v>
      </c>
      <c r="B351" s="12" t="s">
        <v>1915</v>
      </c>
      <c r="C351" s="12" t="s">
        <v>840</v>
      </c>
      <c r="D351" s="12" t="s">
        <v>835</v>
      </c>
      <c r="E351" s="28">
        <v>10412</v>
      </c>
      <c r="F351" s="28">
        <v>5384</v>
      </c>
      <c r="G351" s="28">
        <v>94900</v>
      </c>
      <c r="H351"/>
    </row>
    <row r="352" spans="1:8" ht="15.5">
      <c r="A352" s="8">
        <v>351</v>
      </c>
      <c r="B352" s="12" t="s">
        <v>630</v>
      </c>
      <c r="C352" s="12" t="s">
        <v>926</v>
      </c>
      <c r="D352" s="12" t="s">
        <v>817</v>
      </c>
      <c r="E352" s="28">
        <v>32842</v>
      </c>
      <c r="F352" s="28">
        <v>6403</v>
      </c>
      <c r="G352" s="28">
        <v>109400</v>
      </c>
      <c r="H352" s="4" t="s">
        <v>1235</v>
      </c>
    </row>
    <row r="353" spans="1:8" ht="15.5">
      <c r="A353" s="8">
        <v>352</v>
      </c>
      <c r="B353" s="12" t="s">
        <v>575</v>
      </c>
      <c r="C353" s="12" t="s">
        <v>910</v>
      </c>
      <c r="D353" s="12" t="s">
        <v>817</v>
      </c>
      <c r="E353" s="28">
        <v>31988</v>
      </c>
      <c r="F353" s="28">
        <v>9901</v>
      </c>
      <c r="G353" s="28">
        <v>107100</v>
      </c>
      <c r="H353" s="4" t="s">
        <v>1498</v>
      </c>
    </row>
    <row r="354" spans="1:8" ht="15.5">
      <c r="A354" s="8">
        <v>353</v>
      </c>
      <c r="B354" s="12" t="s">
        <v>275</v>
      </c>
      <c r="C354" s="12" t="s">
        <v>1720</v>
      </c>
      <c r="D354" s="12" t="s">
        <v>835</v>
      </c>
      <c r="E354" s="28">
        <v>9892</v>
      </c>
      <c r="F354" s="28">
        <v>7335</v>
      </c>
      <c r="G354" s="28">
        <v>99800</v>
      </c>
      <c r="H354" s="4"/>
    </row>
    <row r="355" spans="1:8" ht="15.5">
      <c r="A355" s="8">
        <v>354</v>
      </c>
      <c r="B355" s="12" t="s">
        <v>1925</v>
      </c>
      <c r="C355" s="12" t="s">
        <v>816</v>
      </c>
      <c r="D355" s="12" t="s">
        <v>835</v>
      </c>
      <c r="E355" s="28">
        <v>15670</v>
      </c>
      <c r="F355" s="28">
        <v>6495</v>
      </c>
      <c r="G355" s="28">
        <v>111000</v>
      </c>
      <c r="H355" s="4"/>
    </row>
    <row r="356" spans="1:8" ht="15.5">
      <c r="A356" s="8">
        <v>355</v>
      </c>
      <c r="B356" s="12" t="s">
        <v>583</v>
      </c>
      <c r="C356" s="12" t="s">
        <v>822</v>
      </c>
      <c r="D356" s="12" t="s">
        <v>817</v>
      </c>
      <c r="E356" s="28">
        <v>33900</v>
      </c>
      <c r="F356" s="28">
        <v>7897</v>
      </c>
      <c r="G356" s="28">
        <v>133600</v>
      </c>
      <c r="H356" s="4" t="s">
        <v>920</v>
      </c>
    </row>
    <row r="357" spans="1:8" ht="15.5">
      <c r="A357" s="8">
        <v>356</v>
      </c>
      <c r="B357" s="12" t="s">
        <v>1930</v>
      </c>
      <c r="C357" s="12" t="s">
        <v>1082</v>
      </c>
      <c r="D357" s="12" t="s">
        <v>817</v>
      </c>
      <c r="E357" s="28">
        <v>37533</v>
      </c>
      <c r="F357" s="28">
        <v>9006</v>
      </c>
      <c r="G357" s="28">
        <v>131700</v>
      </c>
      <c r="H357" s="4" t="s">
        <v>920</v>
      </c>
    </row>
    <row r="358" spans="1:8" ht="15.5">
      <c r="A358" s="8">
        <v>357</v>
      </c>
      <c r="B358" s="12" t="s">
        <v>1934</v>
      </c>
      <c r="C358" s="12" t="s">
        <v>1199</v>
      </c>
      <c r="D358" s="12" t="s">
        <v>817</v>
      </c>
      <c r="E358" s="28">
        <v>20536</v>
      </c>
      <c r="F358" s="28">
        <v>15653</v>
      </c>
      <c r="G358" s="28">
        <v>146800</v>
      </c>
      <c r="H358" s="4"/>
    </row>
    <row r="359" spans="1:8" ht="15.5">
      <c r="A359" s="8">
        <v>358</v>
      </c>
      <c r="B359" s="12" t="s">
        <v>500</v>
      </c>
      <c r="C359" s="12" t="s">
        <v>939</v>
      </c>
      <c r="D359" s="12" t="s">
        <v>817</v>
      </c>
      <c r="E359" s="28">
        <v>10629</v>
      </c>
      <c r="F359" s="28">
        <v>7997</v>
      </c>
      <c r="G359" s="28">
        <v>98400</v>
      </c>
      <c r="H359" s="4" t="s">
        <v>920</v>
      </c>
    </row>
    <row r="360" spans="1:8" ht="15.5">
      <c r="A360" s="8">
        <v>359</v>
      </c>
      <c r="B360" s="12" t="s">
        <v>485</v>
      </c>
      <c r="C360" s="12" t="s">
        <v>979</v>
      </c>
      <c r="D360" s="12" t="s">
        <v>817</v>
      </c>
      <c r="E360" s="28">
        <v>32482</v>
      </c>
      <c r="F360" s="28">
        <v>7519</v>
      </c>
      <c r="G360" s="28">
        <v>134000</v>
      </c>
      <c r="H360" s="4" t="s">
        <v>920</v>
      </c>
    </row>
    <row r="361" spans="1:8" ht="15.5">
      <c r="A361" s="8">
        <v>360</v>
      </c>
      <c r="B361" s="12" t="s">
        <v>407</v>
      </c>
      <c r="C361" s="12" t="s">
        <v>822</v>
      </c>
      <c r="D361" s="12" t="s">
        <v>835</v>
      </c>
      <c r="E361" s="28">
        <v>9696</v>
      </c>
      <c r="F361" s="28">
        <v>5076</v>
      </c>
      <c r="G361" s="28">
        <v>117500</v>
      </c>
      <c r="H361" s="4"/>
    </row>
    <row r="362" spans="1:8" ht="15.5">
      <c r="A362" s="8">
        <v>361</v>
      </c>
      <c r="B362" s="12" t="s">
        <v>539</v>
      </c>
      <c r="C362" s="12" t="s">
        <v>844</v>
      </c>
      <c r="D362" s="12" t="s">
        <v>817</v>
      </c>
      <c r="E362" s="28">
        <v>38412</v>
      </c>
      <c r="F362" s="28">
        <v>8149</v>
      </c>
      <c r="G362" s="28">
        <v>120900</v>
      </c>
      <c r="H362" s="4" t="s">
        <v>1221</v>
      </c>
    </row>
    <row r="363" spans="1:8" ht="15.5">
      <c r="A363" s="8">
        <v>362</v>
      </c>
      <c r="B363" s="12" t="s">
        <v>567</v>
      </c>
      <c r="C363" s="12" t="s">
        <v>862</v>
      </c>
      <c r="D363" s="12" t="s">
        <v>835</v>
      </c>
      <c r="E363" s="28">
        <v>10265</v>
      </c>
      <c r="F363" s="28">
        <v>7459</v>
      </c>
      <c r="G363" s="28">
        <v>118200</v>
      </c>
      <c r="H363" s="4"/>
    </row>
    <row r="364" spans="1:8" ht="15.5">
      <c r="A364" s="8">
        <v>363</v>
      </c>
      <c r="B364" s="12" t="s">
        <v>623</v>
      </c>
      <c r="C364" s="12" t="s">
        <v>840</v>
      </c>
      <c r="D364" s="12" t="s">
        <v>817</v>
      </c>
      <c r="E364" s="28">
        <v>28273</v>
      </c>
      <c r="F364" s="28">
        <v>9536</v>
      </c>
      <c r="G364" s="28">
        <v>121000</v>
      </c>
      <c r="H364" s="4" t="s">
        <v>1336</v>
      </c>
    </row>
    <row r="365" spans="1:8" ht="15.5">
      <c r="A365" s="8">
        <v>364</v>
      </c>
      <c r="B365" s="12" t="s">
        <v>1950</v>
      </c>
      <c r="C365" s="12" t="s">
        <v>840</v>
      </c>
      <c r="D365" s="12" t="s">
        <v>817</v>
      </c>
      <c r="E365" s="28">
        <v>22053</v>
      </c>
      <c r="F365" s="28">
        <v>10292</v>
      </c>
      <c r="G365" s="28">
        <v>96200</v>
      </c>
      <c r="H365" s="4" t="s">
        <v>1336</v>
      </c>
    </row>
    <row r="366" spans="1:8" ht="15.5">
      <c r="A366" s="8">
        <v>365</v>
      </c>
      <c r="B366" s="12" t="s">
        <v>132</v>
      </c>
      <c r="C366" s="12" t="s">
        <v>939</v>
      </c>
      <c r="D366" s="12" t="s">
        <v>835</v>
      </c>
      <c r="E366" s="28">
        <v>11563</v>
      </c>
      <c r="F366" s="28">
        <v>5857</v>
      </c>
      <c r="G366" s="28">
        <v>108800</v>
      </c>
      <c r="H366" s="4"/>
    </row>
    <row r="367" spans="1:8" ht="15.5">
      <c r="A367" s="8">
        <v>366</v>
      </c>
      <c r="B367" s="12" t="s">
        <v>514</v>
      </c>
      <c r="C367" s="12" t="s">
        <v>943</v>
      </c>
      <c r="D367" s="12" t="s">
        <v>835</v>
      </c>
      <c r="E367" s="28">
        <v>8022</v>
      </c>
      <c r="F367" s="28">
        <v>8879</v>
      </c>
      <c r="G367" s="28">
        <v>103800</v>
      </c>
      <c r="H367" s="4"/>
    </row>
    <row r="368" spans="1:8" ht="15.5">
      <c r="A368" s="8">
        <v>367</v>
      </c>
      <c r="B368" s="12" t="s">
        <v>475</v>
      </c>
      <c r="C368" s="12" t="s">
        <v>939</v>
      </c>
      <c r="D368" s="12" t="s">
        <v>817</v>
      </c>
      <c r="E368" s="28">
        <v>13577</v>
      </c>
      <c r="F368" s="28">
        <v>8374</v>
      </c>
      <c r="G368" s="28">
        <v>124200</v>
      </c>
      <c r="H368" s="4" t="s">
        <v>938</v>
      </c>
    </row>
    <row r="369" spans="1:8" ht="15.5">
      <c r="A369" s="8">
        <v>368</v>
      </c>
      <c r="B369" s="12" t="s">
        <v>532</v>
      </c>
      <c r="C369" s="12" t="s">
        <v>922</v>
      </c>
      <c r="D369" s="12" t="s">
        <v>835</v>
      </c>
      <c r="E369" s="28">
        <v>10761</v>
      </c>
      <c r="F369" s="28">
        <v>5720</v>
      </c>
      <c r="G369" s="28">
        <v>117800</v>
      </c>
      <c r="H369" s="4"/>
    </row>
    <row r="370" spans="1:8" ht="15.5">
      <c r="A370" s="8">
        <v>369</v>
      </c>
      <c r="B370" s="12" t="s">
        <v>477</v>
      </c>
      <c r="C370" s="12" t="s">
        <v>822</v>
      </c>
      <c r="D370" s="12" t="s">
        <v>835</v>
      </c>
      <c r="E370" s="28">
        <v>8659</v>
      </c>
      <c r="F370" s="28">
        <v>5669</v>
      </c>
      <c r="G370" s="28">
        <v>121000</v>
      </c>
      <c r="H370" s="4"/>
    </row>
    <row r="371" spans="1:8" ht="15.5">
      <c r="A371" s="8">
        <v>370</v>
      </c>
      <c r="B371" s="12" t="s">
        <v>468</v>
      </c>
      <c r="C371" s="12" t="s">
        <v>816</v>
      </c>
      <c r="D371" s="12" t="s">
        <v>817</v>
      </c>
      <c r="E371" s="28">
        <v>31901</v>
      </c>
      <c r="F371" s="28">
        <v>9988</v>
      </c>
      <c r="G371" s="28">
        <v>117200</v>
      </c>
      <c r="H371" s="4" t="s">
        <v>1498</v>
      </c>
    </row>
    <row r="372" spans="1:8" ht="15.5">
      <c r="A372" s="8">
        <v>371</v>
      </c>
      <c r="B372" s="12" t="s">
        <v>155</v>
      </c>
      <c r="C372" s="12" t="s">
        <v>876</v>
      </c>
      <c r="D372" s="12" t="s">
        <v>835</v>
      </c>
      <c r="E372" s="28">
        <v>13573</v>
      </c>
      <c r="F372" s="28">
        <v>10862</v>
      </c>
      <c r="G372" s="28">
        <v>118800</v>
      </c>
      <c r="H372" s="4"/>
    </row>
    <row r="373" spans="1:8" ht="15.5">
      <c r="A373" s="8">
        <v>372</v>
      </c>
      <c r="B373" s="12" t="s">
        <v>447</v>
      </c>
      <c r="C373" s="12" t="s">
        <v>840</v>
      </c>
      <c r="D373" s="12" t="s">
        <v>817</v>
      </c>
      <c r="E373" s="28">
        <v>29952</v>
      </c>
      <c r="F373" s="28">
        <v>9340</v>
      </c>
      <c r="G373" s="28">
        <v>122600</v>
      </c>
      <c r="H373" s="4" t="s">
        <v>1336</v>
      </c>
    </row>
    <row r="374" spans="1:8" ht="15.5">
      <c r="A374" s="8">
        <v>373</v>
      </c>
      <c r="B374" s="12" t="s">
        <v>1975</v>
      </c>
      <c r="C374" s="12" t="s">
        <v>1082</v>
      </c>
      <c r="D374" s="12" t="s">
        <v>817</v>
      </c>
      <c r="E374" s="28">
        <v>17756</v>
      </c>
      <c r="F374" s="28">
        <v>10219</v>
      </c>
      <c r="G374" s="28">
        <v>97700</v>
      </c>
      <c r="H374" s="4" t="s">
        <v>1221</v>
      </c>
    </row>
    <row r="375" spans="1:8" ht="15.5">
      <c r="A375" s="8">
        <v>374</v>
      </c>
      <c r="B375" s="12" t="s">
        <v>428</v>
      </c>
      <c r="C375" s="12" t="s">
        <v>831</v>
      </c>
      <c r="D375" s="12" t="s">
        <v>835</v>
      </c>
      <c r="E375" s="28">
        <v>6212</v>
      </c>
      <c r="F375" s="28">
        <v>6772</v>
      </c>
      <c r="G375" s="28">
        <v>109800</v>
      </c>
      <c r="H375" s="4"/>
    </row>
    <row r="376" spans="1:8" ht="15.5">
      <c r="A376" s="8">
        <v>375</v>
      </c>
      <c r="B376" s="12" t="s">
        <v>531</v>
      </c>
      <c r="C376" s="12" t="s">
        <v>1000</v>
      </c>
      <c r="D376" s="12" t="s">
        <v>817</v>
      </c>
      <c r="E376" s="28">
        <v>31850</v>
      </c>
      <c r="F376" s="28">
        <v>7464</v>
      </c>
      <c r="G376" s="28">
        <v>135100</v>
      </c>
      <c r="H376" s="4" t="s">
        <v>1336</v>
      </c>
    </row>
    <row r="377" spans="1:8" ht="15.5">
      <c r="A377" s="8">
        <v>376</v>
      </c>
      <c r="B377" s="12" t="s">
        <v>318</v>
      </c>
      <c r="C377" s="12" t="s">
        <v>926</v>
      </c>
      <c r="D377" s="12" t="s">
        <v>835</v>
      </c>
      <c r="E377" s="28">
        <v>8049</v>
      </c>
      <c r="F377" s="28">
        <v>7209</v>
      </c>
      <c r="G377" s="28">
        <v>106400</v>
      </c>
      <c r="H377" s="4"/>
    </row>
    <row r="378" spans="1:8" ht="15.5">
      <c r="A378" s="8">
        <v>377</v>
      </c>
      <c r="B378" s="12" t="s">
        <v>1986</v>
      </c>
      <c r="C378" s="12" t="s">
        <v>1082</v>
      </c>
      <c r="D378" s="12" t="s">
        <v>835</v>
      </c>
      <c r="E378" s="28">
        <v>7345</v>
      </c>
      <c r="F378" s="28">
        <v>9247</v>
      </c>
      <c r="G378" s="28">
        <v>117300</v>
      </c>
      <c r="H378" s="4"/>
    </row>
    <row r="379" spans="1:8" ht="15.5">
      <c r="A379" s="8">
        <v>378</v>
      </c>
      <c r="B379" s="12" t="s">
        <v>1988</v>
      </c>
      <c r="C379" s="12" t="s">
        <v>822</v>
      </c>
      <c r="D379" s="12" t="s">
        <v>835</v>
      </c>
      <c r="E379" s="28">
        <v>9412</v>
      </c>
      <c r="F379" s="28">
        <v>5440</v>
      </c>
      <c r="G379" s="28">
        <v>109200</v>
      </c>
      <c r="H379" s="4"/>
    </row>
    <row r="380" spans="1:8" ht="15.5">
      <c r="A380" s="8">
        <v>379</v>
      </c>
      <c r="B380" s="12" t="s">
        <v>1992</v>
      </c>
      <c r="C380" s="12" t="s">
        <v>844</v>
      </c>
      <c r="D380" s="12" t="s">
        <v>817</v>
      </c>
      <c r="E380" s="28">
        <v>29822</v>
      </c>
      <c r="F380" s="28">
        <v>9723</v>
      </c>
      <c r="G380" s="28">
        <v>124600</v>
      </c>
      <c r="H380" s="4" t="s">
        <v>1336</v>
      </c>
    </row>
    <row r="381" spans="1:8" ht="15.5">
      <c r="A381" s="8">
        <v>380</v>
      </c>
      <c r="B381" s="12" t="s">
        <v>1996</v>
      </c>
      <c r="C381" s="12" t="s">
        <v>840</v>
      </c>
      <c r="D381" s="12" t="s">
        <v>817</v>
      </c>
      <c r="E381" s="28">
        <v>27862</v>
      </c>
      <c r="F381" s="28">
        <v>7749</v>
      </c>
      <c r="G381" s="28">
        <v>119100</v>
      </c>
      <c r="H381" s="4" t="s">
        <v>1336</v>
      </c>
    </row>
    <row r="382" spans="1:8" ht="15.5">
      <c r="A382" s="8">
        <v>381</v>
      </c>
      <c r="B382" s="12" t="s">
        <v>348</v>
      </c>
      <c r="C382" s="12" t="s">
        <v>2000</v>
      </c>
      <c r="D382" s="12" t="s">
        <v>835</v>
      </c>
      <c r="E382" s="28">
        <v>4551</v>
      </c>
      <c r="F382" s="28">
        <v>7998</v>
      </c>
      <c r="G382" s="28">
        <v>104000</v>
      </c>
      <c r="H382" s="4"/>
    </row>
    <row r="383" spans="1:8" ht="15.5">
      <c r="A383" s="8">
        <v>382</v>
      </c>
      <c r="B383" s="12" t="s">
        <v>2004</v>
      </c>
      <c r="C383" s="12" t="s">
        <v>840</v>
      </c>
      <c r="D383" s="12" t="s">
        <v>835</v>
      </c>
      <c r="E383" s="28">
        <v>7749</v>
      </c>
      <c r="F383" s="28">
        <v>6619</v>
      </c>
      <c r="G383" s="28">
        <v>99600</v>
      </c>
      <c r="H383" s="4"/>
    </row>
    <row r="384" spans="1:8" ht="15.5">
      <c r="A384" s="8">
        <v>383</v>
      </c>
      <c r="B384" s="12" t="s">
        <v>677</v>
      </c>
      <c r="C384" s="12" t="s">
        <v>1164</v>
      </c>
      <c r="D384" s="12" t="s">
        <v>817</v>
      </c>
      <c r="E384" s="28">
        <v>34379</v>
      </c>
      <c r="F384" s="28">
        <v>7610</v>
      </c>
      <c r="G384" s="28">
        <v>100200</v>
      </c>
      <c r="H384" s="4" t="s">
        <v>1235</v>
      </c>
    </row>
    <row r="385" spans="1:8" ht="15.5">
      <c r="A385" s="8">
        <v>384</v>
      </c>
      <c r="B385" s="12" t="s">
        <v>454</v>
      </c>
      <c r="C385" s="12" t="s">
        <v>851</v>
      </c>
      <c r="D385" s="12" t="s">
        <v>835</v>
      </c>
      <c r="E385" s="28">
        <v>9790</v>
      </c>
      <c r="F385" s="28">
        <v>5750</v>
      </c>
      <c r="G385" s="28">
        <v>94500</v>
      </c>
      <c r="H385" s="4"/>
    </row>
    <row r="386" spans="1:8" ht="15.5">
      <c r="A386" s="8">
        <v>385</v>
      </c>
      <c r="B386" s="12" t="s">
        <v>266</v>
      </c>
      <c r="C386" s="12" t="s">
        <v>827</v>
      </c>
      <c r="D386" s="12" t="s">
        <v>817</v>
      </c>
      <c r="E386" s="28">
        <v>19300</v>
      </c>
      <c r="F386" s="28">
        <v>17737</v>
      </c>
      <c r="G386" s="28">
        <v>109600</v>
      </c>
      <c r="H386" s="4" t="s">
        <v>1221</v>
      </c>
    </row>
    <row r="387" spans="1:8" ht="15.5">
      <c r="A387" s="8">
        <v>386</v>
      </c>
      <c r="B387" s="12" t="s">
        <v>300</v>
      </c>
      <c r="C387" s="12" t="s">
        <v>816</v>
      </c>
      <c r="D387" s="12" t="s">
        <v>835</v>
      </c>
      <c r="E387" s="28">
        <v>11771</v>
      </c>
      <c r="F387" s="28">
        <v>7904</v>
      </c>
      <c r="G387" s="28">
        <v>118400</v>
      </c>
      <c r="H387" s="4"/>
    </row>
    <row r="388" spans="1:8" ht="15.5">
      <c r="A388" s="8">
        <v>387</v>
      </c>
      <c r="B388" s="12" t="s">
        <v>542</v>
      </c>
      <c r="C388" s="12" t="s">
        <v>822</v>
      </c>
      <c r="D388" s="12" t="s">
        <v>817</v>
      </c>
      <c r="E388" s="28">
        <v>17194</v>
      </c>
      <c r="F388" s="28">
        <v>4151</v>
      </c>
      <c r="G388" s="28">
        <v>103400</v>
      </c>
      <c r="H388" s="4" t="s">
        <v>1498</v>
      </c>
    </row>
    <row r="389" spans="1:8" ht="15.5">
      <c r="A389" s="8">
        <v>388</v>
      </c>
      <c r="B389" s="12" t="s">
        <v>138</v>
      </c>
      <c r="C389" s="12" t="s">
        <v>1678</v>
      </c>
      <c r="D389" s="12" t="s">
        <v>835</v>
      </c>
      <c r="E389" s="28">
        <v>9280</v>
      </c>
      <c r="F389" s="28">
        <v>5724</v>
      </c>
      <c r="G389" s="28">
        <v>111400</v>
      </c>
      <c r="H389" s="4"/>
    </row>
    <row r="390" spans="1:8" ht="15.5">
      <c r="A390" s="8">
        <v>389</v>
      </c>
      <c r="B390" s="12" t="s">
        <v>593</v>
      </c>
      <c r="C390" s="12" t="s">
        <v>822</v>
      </c>
      <c r="D390" s="12" t="s">
        <v>817</v>
      </c>
      <c r="E390" s="28">
        <v>19422</v>
      </c>
      <c r="F390" s="28">
        <v>7511</v>
      </c>
      <c r="G390" s="28">
        <v>116100</v>
      </c>
      <c r="H390" s="4" t="s">
        <v>1221</v>
      </c>
    </row>
    <row r="391" spans="1:8" ht="15.5">
      <c r="A391" s="8">
        <v>390</v>
      </c>
      <c r="B391" s="12" t="s">
        <v>557</v>
      </c>
      <c r="C391" s="12" t="s">
        <v>1004</v>
      </c>
      <c r="D391" s="12" t="s">
        <v>817</v>
      </c>
      <c r="E391" s="28">
        <v>49183</v>
      </c>
      <c r="F391" s="28">
        <v>6846</v>
      </c>
      <c r="G391" s="28">
        <v>109700</v>
      </c>
      <c r="H391" s="4" t="s">
        <v>1498</v>
      </c>
    </row>
    <row r="392" spans="1:8" ht="15.5">
      <c r="A392" s="8">
        <v>391</v>
      </c>
      <c r="B392" s="12" t="s">
        <v>492</v>
      </c>
      <c r="C392" s="12" t="s">
        <v>1082</v>
      </c>
      <c r="D392" s="12" t="s">
        <v>817</v>
      </c>
      <c r="E392" s="28">
        <v>37012</v>
      </c>
      <c r="F392" s="28">
        <v>6857</v>
      </c>
      <c r="G392" s="28">
        <v>99900</v>
      </c>
      <c r="H392" s="4" t="s">
        <v>1221</v>
      </c>
    </row>
    <row r="393" spans="1:8" ht="15.5">
      <c r="A393" s="8">
        <v>392</v>
      </c>
      <c r="B393" s="12" t="s">
        <v>596</v>
      </c>
      <c r="C393" s="12" t="s">
        <v>844</v>
      </c>
      <c r="D393" s="12" t="s">
        <v>817</v>
      </c>
      <c r="E393" s="28">
        <v>40075</v>
      </c>
      <c r="F393" s="28">
        <v>10636</v>
      </c>
      <c r="G393" s="28">
        <v>131400</v>
      </c>
      <c r="H393" s="4" t="s">
        <v>1235</v>
      </c>
    </row>
    <row r="394" spans="1:8" ht="15.5">
      <c r="A394" s="8">
        <v>393</v>
      </c>
      <c r="B394" s="12" t="s">
        <v>578</v>
      </c>
      <c r="C394" s="12" t="s">
        <v>1236</v>
      </c>
      <c r="D394" s="12" t="s">
        <v>835</v>
      </c>
      <c r="E394" s="28">
        <v>8302</v>
      </c>
      <c r="F394" s="28">
        <v>6402</v>
      </c>
      <c r="G394" s="28">
        <v>121300</v>
      </c>
      <c r="H394" s="4"/>
    </row>
    <row r="395" spans="1:8" ht="15.5">
      <c r="A395" s="8">
        <v>394</v>
      </c>
      <c r="B395" s="12" t="s">
        <v>486</v>
      </c>
      <c r="C395" s="12" t="s">
        <v>858</v>
      </c>
      <c r="D395" s="12" t="s">
        <v>817</v>
      </c>
      <c r="E395" s="28">
        <v>36614</v>
      </c>
      <c r="F395" s="28">
        <v>8859</v>
      </c>
      <c r="G395" s="28">
        <v>119500</v>
      </c>
      <c r="H395" s="4" t="s">
        <v>938</v>
      </c>
    </row>
    <row r="396" spans="1:8" ht="15.5">
      <c r="A396" s="8">
        <v>395</v>
      </c>
      <c r="B396" s="12" t="s">
        <v>559</v>
      </c>
      <c r="C396" s="12" t="s">
        <v>822</v>
      </c>
      <c r="D396" s="12" t="s">
        <v>817</v>
      </c>
      <c r="E396" s="28">
        <v>30597</v>
      </c>
      <c r="F396" s="28">
        <v>7577</v>
      </c>
      <c r="G396" s="28">
        <v>122000</v>
      </c>
      <c r="H396" s="4" t="s">
        <v>1336</v>
      </c>
    </row>
    <row r="397" spans="1:8" ht="15.5">
      <c r="A397" s="8">
        <v>396</v>
      </c>
      <c r="B397" s="12" t="s">
        <v>626</v>
      </c>
      <c r="C397" s="12" t="s">
        <v>840</v>
      </c>
      <c r="D397" s="12" t="s">
        <v>817</v>
      </c>
      <c r="E397" s="28">
        <v>27843</v>
      </c>
      <c r="F397" s="28">
        <v>8273</v>
      </c>
      <c r="G397" s="28">
        <v>115100</v>
      </c>
      <c r="H397" s="4" t="s">
        <v>1498</v>
      </c>
    </row>
    <row r="398" spans="1:8" ht="15.5">
      <c r="A398" s="8">
        <v>397</v>
      </c>
      <c r="B398" s="12" t="s">
        <v>445</v>
      </c>
      <c r="C398" s="12" t="s">
        <v>910</v>
      </c>
      <c r="D398" s="12" t="s">
        <v>835</v>
      </c>
      <c r="E398" s="28">
        <v>12191</v>
      </c>
      <c r="F398" s="28">
        <v>5747</v>
      </c>
      <c r="G398" s="28">
        <v>96900</v>
      </c>
      <c r="H398" s="4"/>
    </row>
    <row r="399" spans="1:8" ht="15.5">
      <c r="A399" s="8">
        <v>398</v>
      </c>
      <c r="B399" s="12" t="s">
        <v>536</v>
      </c>
      <c r="C399" s="12" t="s">
        <v>1000</v>
      </c>
      <c r="D399" s="12" t="s">
        <v>835</v>
      </c>
      <c r="E399" s="28">
        <v>4866</v>
      </c>
      <c r="F399" s="28">
        <v>6522</v>
      </c>
      <c r="G399" s="28">
        <v>117000</v>
      </c>
      <c r="H399" s="4"/>
    </row>
    <row r="400" spans="1:8" ht="15.5">
      <c r="A400" s="8">
        <v>399</v>
      </c>
      <c r="B400" s="12" t="s">
        <v>503</v>
      </c>
      <c r="C400" s="12" t="s">
        <v>844</v>
      </c>
      <c r="D400" s="12" t="s">
        <v>817</v>
      </c>
      <c r="E400" s="28">
        <v>30218</v>
      </c>
      <c r="F400" s="28">
        <v>10565</v>
      </c>
      <c r="G400" s="28">
        <v>117300</v>
      </c>
      <c r="H400" s="4" t="s">
        <v>1336</v>
      </c>
    </row>
    <row r="401" spans="1:8" ht="15.5">
      <c r="A401" s="8">
        <v>400</v>
      </c>
      <c r="B401" s="12" t="s">
        <v>456</v>
      </c>
      <c r="C401" s="12" t="s">
        <v>1303</v>
      </c>
      <c r="D401" s="12" t="s">
        <v>817</v>
      </c>
      <c r="E401" s="28">
        <v>35604</v>
      </c>
      <c r="F401" s="28">
        <v>6516</v>
      </c>
      <c r="G401" s="28">
        <v>106000</v>
      </c>
      <c r="H401" s="4" t="s">
        <v>1336</v>
      </c>
    </row>
    <row r="402" spans="1:8" ht="15.5">
      <c r="A402" s="8">
        <v>401</v>
      </c>
      <c r="B402" s="12" t="s">
        <v>570</v>
      </c>
      <c r="C402" s="12" t="s">
        <v>840</v>
      </c>
      <c r="D402" s="12" t="s">
        <v>835</v>
      </c>
      <c r="E402" s="28">
        <v>9497</v>
      </c>
      <c r="F402" s="28">
        <v>6522</v>
      </c>
      <c r="G402" s="28">
        <v>108900</v>
      </c>
      <c r="H402" s="4"/>
    </row>
    <row r="403" spans="1:8" ht="15.5">
      <c r="A403" s="8">
        <v>402</v>
      </c>
      <c r="B403" s="12" t="s">
        <v>2056</v>
      </c>
      <c r="C403" s="12" t="s">
        <v>840</v>
      </c>
      <c r="D403" s="12" t="s">
        <v>835</v>
      </c>
      <c r="E403" s="28">
        <v>9043</v>
      </c>
      <c r="F403" s="28">
        <v>11622</v>
      </c>
      <c r="G403" s="28">
        <v>99900</v>
      </c>
      <c r="H403" s="4"/>
    </row>
    <row r="404" spans="1:8" ht="15.5">
      <c r="A404" s="8">
        <v>403</v>
      </c>
      <c r="B404" s="12" t="s">
        <v>610</v>
      </c>
      <c r="C404" s="12" t="s">
        <v>1236</v>
      </c>
      <c r="D404" s="12" t="s">
        <v>817</v>
      </c>
      <c r="E404" s="28">
        <v>29744</v>
      </c>
      <c r="F404" s="28">
        <v>9184</v>
      </c>
      <c r="G404" s="28">
        <v>115100</v>
      </c>
      <c r="H404" s="4" t="s">
        <v>1336</v>
      </c>
    </row>
    <row r="405" spans="1:8" ht="15.5">
      <c r="A405" s="8">
        <v>404</v>
      </c>
      <c r="B405" s="12" t="s">
        <v>239</v>
      </c>
      <c r="C405" s="12" t="s">
        <v>872</v>
      </c>
      <c r="D405" s="12" t="s">
        <v>835</v>
      </c>
      <c r="E405" s="28">
        <v>9421</v>
      </c>
      <c r="F405" s="28">
        <v>5944</v>
      </c>
      <c r="G405" s="28">
        <v>95700</v>
      </c>
      <c r="H405" s="4"/>
    </row>
    <row r="406" spans="1:8" ht="15.5">
      <c r="A406" s="8">
        <v>405</v>
      </c>
      <c r="B406" s="12" t="s">
        <v>470</v>
      </c>
      <c r="C406" s="12" t="s">
        <v>831</v>
      </c>
      <c r="D406" s="12" t="s">
        <v>817</v>
      </c>
      <c r="E406" s="28">
        <v>25279</v>
      </c>
      <c r="F406" s="28">
        <v>9262</v>
      </c>
      <c r="G406" s="28">
        <v>144800</v>
      </c>
      <c r="H406" s="4" t="s">
        <v>1336</v>
      </c>
    </row>
    <row r="407" spans="1:8" ht="15.5">
      <c r="A407" s="8">
        <v>406</v>
      </c>
      <c r="B407" s="12" t="s">
        <v>640</v>
      </c>
      <c r="C407" s="12" t="s">
        <v>943</v>
      </c>
      <c r="D407" s="12" t="s">
        <v>817</v>
      </c>
      <c r="E407" s="28">
        <v>36954</v>
      </c>
      <c r="F407" s="28">
        <v>8643</v>
      </c>
      <c r="G407" s="28">
        <v>138500</v>
      </c>
      <c r="H407" s="4" t="s">
        <v>920</v>
      </c>
    </row>
    <row r="408" spans="1:8" ht="15.5">
      <c r="A408" s="8">
        <v>407</v>
      </c>
      <c r="B408" s="2" t="s">
        <v>178</v>
      </c>
      <c r="C408" s="12" t="s">
        <v>872</v>
      </c>
      <c r="D408" s="12" t="s">
        <v>835</v>
      </c>
      <c r="E408" s="28">
        <v>9309</v>
      </c>
      <c r="F408" s="28">
        <v>6850</v>
      </c>
      <c r="G408" s="28">
        <v>100800</v>
      </c>
      <c r="H408" s="4"/>
    </row>
    <row r="409" spans="1:8" ht="15.5">
      <c r="A409" s="8">
        <v>408</v>
      </c>
      <c r="B409" s="12" t="s">
        <v>324</v>
      </c>
      <c r="C409" s="12" t="s">
        <v>922</v>
      </c>
      <c r="D409" s="12" t="s">
        <v>835</v>
      </c>
      <c r="E409" s="28">
        <v>11314</v>
      </c>
      <c r="F409" s="28">
        <v>7099</v>
      </c>
      <c r="G409" s="28">
        <v>97200</v>
      </c>
      <c r="H409" s="4"/>
    </row>
    <row r="410" spans="1:8" ht="15.5">
      <c r="A410" s="8">
        <v>409</v>
      </c>
      <c r="B410" s="12" t="s">
        <v>2075</v>
      </c>
      <c r="C410" s="12" t="s">
        <v>816</v>
      </c>
      <c r="D410" s="12" t="s">
        <v>835</v>
      </c>
      <c r="E410" s="28">
        <v>10919</v>
      </c>
      <c r="F410" s="28">
        <v>6173</v>
      </c>
      <c r="G410" s="28">
        <v>108600</v>
      </c>
      <c r="H410" s="4"/>
    </row>
    <row r="411" spans="1:8" ht="15.5">
      <c r="A411" s="8">
        <v>410</v>
      </c>
      <c r="B411" s="12" t="s">
        <v>572</v>
      </c>
      <c r="C411" s="12" t="s">
        <v>2000</v>
      </c>
      <c r="D411" s="12" t="s">
        <v>835</v>
      </c>
      <c r="E411" s="28">
        <v>5431</v>
      </c>
      <c r="F411" s="28">
        <v>7854</v>
      </c>
      <c r="G411" s="28">
        <v>131500</v>
      </c>
      <c r="H411" s="4"/>
    </row>
    <row r="412" spans="1:8" ht="15.5">
      <c r="A412" s="8">
        <v>411</v>
      </c>
      <c r="B412" s="12" t="s">
        <v>457</v>
      </c>
      <c r="C412" s="12" t="s">
        <v>1000</v>
      </c>
      <c r="D412" s="12" t="s">
        <v>835</v>
      </c>
      <c r="E412" s="28">
        <v>4450</v>
      </c>
      <c r="F412" s="28">
        <v>6250</v>
      </c>
      <c r="G412" s="28">
        <v>99800</v>
      </c>
      <c r="H412" s="4"/>
    </row>
    <row r="413" spans="1:8" ht="15.5">
      <c r="A413" s="8">
        <v>412</v>
      </c>
      <c r="B413" s="12" t="s">
        <v>595</v>
      </c>
      <c r="C413" s="12" t="s">
        <v>840</v>
      </c>
      <c r="D413" s="12" t="s">
        <v>817</v>
      </c>
      <c r="E413" s="28">
        <v>29898</v>
      </c>
      <c r="F413" s="28">
        <v>8860</v>
      </c>
      <c r="G413" s="28">
        <v>98900</v>
      </c>
      <c r="H413" s="4" t="s">
        <v>1498</v>
      </c>
    </row>
    <row r="414" spans="1:8" ht="15.5">
      <c r="A414" s="8">
        <v>413</v>
      </c>
      <c r="B414" s="12" t="s">
        <v>674</v>
      </c>
      <c r="C414" s="12" t="s">
        <v>906</v>
      </c>
      <c r="D414" s="12" t="s">
        <v>835</v>
      </c>
      <c r="E414" s="28">
        <v>9358</v>
      </c>
      <c r="F414" s="28">
        <v>12526</v>
      </c>
      <c r="G414" s="28">
        <v>143100</v>
      </c>
      <c r="H414" s="4"/>
    </row>
    <row r="415" spans="1:8" ht="15.5">
      <c r="A415" s="8">
        <v>414</v>
      </c>
      <c r="B415" s="12" t="s">
        <v>420</v>
      </c>
      <c r="C415" s="12" t="s">
        <v>827</v>
      </c>
      <c r="D415" s="12" t="s">
        <v>817</v>
      </c>
      <c r="E415" s="28">
        <v>24360</v>
      </c>
      <c r="F415" s="28">
        <v>12551</v>
      </c>
      <c r="G415" s="28">
        <v>117100</v>
      </c>
      <c r="H415" s="4" t="s">
        <v>1336</v>
      </c>
    </row>
    <row r="416" spans="1:8" ht="15.5">
      <c r="A416" s="8">
        <v>415</v>
      </c>
      <c r="B416" s="12" t="s">
        <v>472</v>
      </c>
      <c r="C416" s="12" t="s">
        <v>979</v>
      </c>
      <c r="D416" s="12" t="s">
        <v>817</v>
      </c>
      <c r="E416" s="28">
        <v>25359</v>
      </c>
      <c r="F416" s="28">
        <v>6894</v>
      </c>
      <c r="G416" s="28">
        <v>126100</v>
      </c>
      <c r="H416" s="4" t="s">
        <v>1336</v>
      </c>
    </row>
    <row r="417" spans="1:8" ht="15.5">
      <c r="A417" s="8">
        <v>416</v>
      </c>
      <c r="B417" s="12" t="s">
        <v>545</v>
      </c>
      <c r="C417" s="12" t="s">
        <v>862</v>
      </c>
      <c r="D417" s="12" t="s">
        <v>817</v>
      </c>
      <c r="E417" s="28">
        <v>25767</v>
      </c>
      <c r="F417" s="28">
        <v>9965</v>
      </c>
      <c r="G417" s="28">
        <v>99300</v>
      </c>
      <c r="H417" s="4" t="s">
        <v>1235</v>
      </c>
    </row>
    <row r="418" spans="1:8" ht="15.5">
      <c r="A418" s="8">
        <v>417</v>
      </c>
      <c r="B418" s="12" t="s">
        <v>2095</v>
      </c>
      <c r="C418" s="12" t="s">
        <v>1124</v>
      </c>
      <c r="D418" s="12" t="s">
        <v>817</v>
      </c>
      <c r="E418" s="28">
        <v>42315</v>
      </c>
      <c r="F418" s="28">
        <v>6703</v>
      </c>
      <c r="G418" s="28">
        <v>120700</v>
      </c>
      <c r="H418" s="4" t="s">
        <v>920</v>
      </c>
    </row>
    <row r="419" spans="1:8" ht="15.5">
      <c r="A419" s="8">
        <v>418</v>
      </c>
      <c r="B419" s="12" t="s">
        <v>219</v>
      </c>
      <c r="C419" s="12" t="s">
        <v>1678</v>
      </c>
      <c r="D419" s="12" t="s">
        <v>835</v>
      </c>
      <c r="E419" s="28">
        <v>13168</v>
      </c>
      <c r="F419" s="28">
        <v>4431</v>
      </c>
      <c r="G419" s="28">
        <v>110700</v>
      </c>
      <c r="H419" s="4"/>
    </row>
    <row r="420" spans="1:8" ht="15.5">
      <c r="A420" s="8">
        <v>419</v>
      </c>
      <c r="B420" s="12" t="s">
        <v>2101</v>
      </c>
      <c r="C420" s="12" t="s">
        <v>1897</v>
      </c>
      <c r="D420" s="12" t="s">
        <v>835</v>
      </c>
      <c r="E420" s="28">
        <v>8087</v>
      </c>
      <c r="F420" s="28">
        <v>3472</v>
      </c>
      <c r="G420" s="28">
        <v>129700</v>
      </c>
      <c r="H420" s="4"/>
    </row>
    <row r="421" spans="1:8" ht="15.5">
      <c r="A421" s="8">
        <v>420</v>
      </c>
      <c r="B421" s="12" t="s">
        <v>388</v>
      </c>
      <c r="C421" s="12" t="s">
        <v>910</v>
      </c>
      <c r="D421" s="12" t="s">
        <v>817</v>
      </c>
      <c r="E421" s="28">
        <v>42150</v>
      </c>
      <c r="F421" s="28">
        <v>8121</v>
      </c>
      <c r="G421" s="28">
        <v>109500</v>
      </c>
      <c r="H421" s="4" t="s">
        <v>1336</v>
      </c>
    </row>
    <row r="422" spans="1:8" ht="15.5">
      <c r="A422" s="8">
        <v>421</v>
      </c>
      <c r="B422" s="12" t="s">
        <v>350</v>
      </c>
      <c r="C422" s="12" t="s">
        <v>851</v>
      </c>
      <c r="D422" s="12" t="s">
        <v>835</v>
      </c>
      <c r="E422" s="28">
        <v>10499</v>
      </c>
      <c r="F422" s="28">
        <v>5658</v>
      </c>
      <c r="G422" s="28">
        <v>107000</v>
      </c>
      <c r="H422" s="4"/>
    </row>
    <row r="423" spans="1:8" ht="15.5">
      <c r="A423" s="8">
        <v>422</v>
      </c>
      <c r="B423" s="12" t="s">
        <v>621</v>
      </c>
      <c r="C423" s="12" t="s">
        <v>827</v>
      </c>
      <c r="D423" s="12" t="s">
        <v>817</v>
      </c>
      <c r="E423" s="28">
        <v>34710</v>
      </c>
      <c r="F423" s="28">
        <v>8547</v>
      </c>
      <c r="G423" s="28">
        <v>126600</v>
      </c>
      <c r="H423" s="4" t="s">
        <v>920</v>
      </c>
    </row>
    <row r="424" spans="1:8" ht="15.5">
      <c r="A424" s="8">
        <v>423</v>
      </c>
      <c r="B424" s="12" t="s">
        <v>330</v>
      </c>
      <c r="C424" s="12" t="s">
        <v>922</v>
      </c>
      <c r="D424" s="12" t="s">
        <v>835</v>
      </c>
      <c r="E424" s="28">
        <v>9755</v>
      </c>
      <c r="F424" s="28">
        <v>5672</v>
      </c>
      <c r="G424" s="28">
        <v>110900</v>
      </c>
      <c r="H424" s="4"/>
    </row>
    <row r="425" spans="1:8" ht="15.5">
      <c r="A425" s="8">
        <v>424</v>
      </c>
      <c r="B425" s="12" t="s">
        <v>509</v>
      </c>
      <c r="C425" s="12" t="s">
        <v>816</v>
      </c>
      <c r="D425" s="12" t="s">
        <v>835</v>
      </c>
      <c r="E425" s="28">
        <v>13123</v>
      </c>
      <c r="F425" s="28">
        <v>6569</v>
      </c>
      <c r="G425" s="28">
        <v>101400</v>
      </c>
      <c r="H425" s="4"/>
    </row>
    <row r="426" spans="1:8" ht="15.5">
      <c r="A426" s="8">
        <v>425</v>
      </c>
      <c r="B426" s="12" t="s">
        <v>323</v>
      </c>
      <c r="C426" s="12" t="s">
        <v>822</v>
      </c>
      <c r="D426" s="12" t="s">
        <v>835</v>
      </c>
      <c r="E426" s="28">
        <v>9871</v>
      </c>
      <c r="F426" s="28">
        <v>4827</v>
      </c>
      <c r="G426" s="28">
        <v>101200</v>
      </c>
      <c r="H426" s="4"/>
    </row>
    <row r="427" spans="1:8" ht="15.5">
      <c r="A427" s="8">
        <v>426</v>
      </c>
      <c r="B427" s="12" t="s">
        <v>331</v>
      </c>
      <c r="C427" s="12" t="s">
        <v>816</v>
      </c>
      <c r="D427" s="12" t="s">
        <v>835</v>
      </c>
      <c r="E427" s="28">
        <v>11246</v>
      </c>
      <c r="F427" s="28">
        <v>9044</v>
      </c>
      <c r="G427" s="28">
        <v>107400</v>
      </c>
      <c r="H427" s="4"/>
    </row>
    <row r="428" spans="1:8" ht="15.5">
      <c r="A428" s="8">
        <v>427</v>
      </c>
      <c r="B428" s="12" t="s">
        <v>2124</v>
      </c>
      <c r="C428" s="12" t="s">
        <v>1082</v>
      </c>
      <c r="D428" s="12" t="s">
        <v>835</v>
      </c>
      <c r="E428" s="28">
        <v>6042</v>
      </c>
      <c r="F428" s="28">
        <v>8170</v>
      </c>
      <c r="G428" s="28">
        <v>109000</v>
      </c>
      <c r="H428" s="4"/>
    </row>
    <row r="429" spans="1:8" ht="15.5">
      <c r="A429" s="8">
        <v>428</v>
      </c>
      <c r="B429" s="12" t="s">
        <v>2127</v>
      </c>
      <c r="C429" s="12" t="s">
        <v>872</v>
      </c>
      <c r="D429" s="12" t="s">
        <v>835</v>
      </c>
      <c r="E429" s="28">
        <v>9625</v>
      </c>
      <c r="F429" s="28">
        <v>5886</v>
      </c>
      <c r="G429" s="28">
        <v>97300</v>
      </c>
      <c r="H429" s="4"/>
    </row>
    <row r="430" spans="1:8" ht="15.5">
      <c r="A430" s="8">
        <v>428</v>
      </c>
      <c r="B430" s="12" t="s">
        <v>588</v>
      </c>
      <c r="C430" s="12" t="s">
        <v>851</v>
      </c>
      <c r="D430" s="12" t="s">
        <v>817</v>
      </c>
      <c r="E430" s="28">
        <v>36231</v>
      </c>
      <c r="F430" s="28">
        <v>7796</v>
      </c>
      <c r="G430" s="28">
        <v>124300</v>
      </c>
      <c r="H430" s="4" t="s">
        <v>1336</v>
      </c>
    </row>
    <row r="431" spans="1:8" ht="15.5">
      <c r="A431" s="8">
        <v>430</v>
      </c>
      <c r="B431" s="12" t="s">
        <v>660</v>
      </c>
      <c r="C431" s="12" t="s">
        <v>844</v>
      </c>
      <c r="D431" s="12" t="s">
        <v>817</v>
      </c>
      <c r="E431" s="28">
        <v>38963</v>
      </c>
      <c r="F431" s="28">
        <v>7761</v>
      </c>
      <c r="G431" s="28">
        <v>117500</v>
      </c>
      <c r="H431" s="4" t="s">
        <v>1235</v>
      </c>
    </row>
    <row r="432" spans="1:8" ht="15.5">
      <c r="A432" s="8">
        <v>431</v>
      </c>
      <c r="B432" s="12" t="s">
        <v>465</v>
      </c>
      <c r="C432" s="12" t="s">
        <v>840</v>
      </c>
      <c r="D432" s="12" t="s">
        <v>817</v>
      </c>
      <c r="E432" s="28">
        <v>30398</v>
      </c>
      <c r="F432" s="28">
        <v>6530</v>
      </c>
      <c r="G432" s="28">
        <v>119200</v>
      </c>
      <c r="H432" s="4" t="s">
        <v>1336</v>
      </c>
    </row>
    <row r="433" spans="1:8" ht="15.5">
      <c r="A433" s="8">
        <v>432</v>
      </c>
      <c r="B433" s="12" t="s">
        <v>648</v>
      </c>
      <c r="C433" s="12" t="s">
        <v>1104</v>
      </c>
      <c r="D433" s="12" t="s">
        <v>817</v>
      </c>
      <c r="E433" s="28">
        <v>21920</v>
      </c>
      <c r="F433" s="28">
        <v>9946</v>
      </c>
      <c r="G433" s="28">
        <v>103600</v>
      </c>
      <c r="H433" s="4" t="s">
        <v>920</v>
      </c>
    </row>
    <row r="434" spans="1:8" ht="15.5">
      <c r="A434" s="8">
        <v>433</v>
      </c>
      <c r="B434" s="12" t="s">
        <v>685</v>
      </c>
      <c r="C434" s="12" t="s">
        <v>827</v>
      </c>
      <c r="D434" s="12" t="s">
        <v>817</v>
      </c>
      <c r="E434" s="28">
        <v>29956</v>
      </c>
      <c r="F434" s="28">
        <v>9663</v>
      </c>
      <c r="G434" s="28">
        <v>107900</v>
      </c>
      <c r="H434" s="4" t="s">
        <v>1498</v>
      </c>
    </row>
    <row r="435" spans="1:8" ht="15.5">
      <c r="A435" s="8">
        <v>434</v>
      </c>
      <c r="B435" s="12" t="s">
        <v>2144</v>
      </c>
      <c r="C435" s="12" t="s">
        <v>889</v>
      </c>
      <c r="D435" s="12" t="s">
        <v>835</v>
      </c>
      <c r="E435" s="28">
        <v>10082</v>
      </c>
      <c r="F435" s="28">
        <v>6617</v>
      </c>
      <c r="G435" s="28">
        <v>111700</v>
      </c>
      <c r="H435" s="4"/>
    </row>
    <row r="436" spans="1:8" ht="15.5">
      <c r="A436" s="8">
        <v>435</v>
      </c>
      <c r="B436" s="12" t="s">
        <v>2147</v>
      </c>
      <c r="C436" s="12" t="s">
        <v>910</v>
      </c>
      <c r="D436" s="12" t="s">
        <v>835</v>
      </c>
      <c r="E436" s="28">
        <v>6997</v>
      </c>
      <c r="F436" s="28">
        <v>5756</v>
      </c>
      <c r="G436" s="28"/>
      <c r="H436" s="4"/>
    </row>
    <row r="437" spans="1:8" ht="15.5">
      <c r="A437" s="8">
        <v>436</v>
      </c>
      <c r="B437" s="12" t="s">
        <v>2150</v>
      </c>
      <c r="C437" s="12" t="s">
        <v>840</v>
      </c>
      <c r="D437" s="12" t="s">
        <v>835</v>
      </c>
      <c r="E437" s="28">
        <v>10312</v>
      </c>
      <c r="F437" s="28">
        <v>6613</v>
      </c>
      <c r="G437" s="28">
        <v>110800</v>
      </c>
      <c r="H437" s="4"/>
    </row>
    <row r="438" spans="1:8" ht="15.5">
      <c r="A438" s="8">
        <v>437</v>
      </c>
      <c r="B438" s="12" t="s">
        <v>530</v>
      </c>
      <c r="C438" s="12" t="s">
        <v>851</v>
      </c>
      <c r="D438" s="12" t="s">
        <v>817</v>
      </c>
      <c r="E438" s="28">
        <v>38787</v>
      </c>
      <c r="F438" s="28">
        <v>8160</v>
      </c>
      <c r="G438" s="28">
        <v>115500</v>
      </c>
      <c r="H438" s="4" t="s">
        <v>1498</v>
      </c>
    </row>
    <row r="439" spans="1:8" ht="15.5">
      <c r="A439" s="8">
        <v>438</v>
      </c>
      <c r="B439" s="12" t="s">
        <v>679</v>
      </c>
      <c r="C439" s="12" t="s">
        <v>827</v>
      </c>
      <c r="D439" s="12" t="s">
        <v>835</v>
      </c>
      <c r="E439" s="28">
        <v>11804</v>
      </c>
      <c r="F439" s="28">
        <v>10859</v>
      </c>
      <c r="G439" s="28">
        <v>132600</v>
      </c>
      <c r="H439" s="4"/>
    </row>
    <row r="440" spans="1:8" ht="15.5">
      <c r="A440" s="8">
        <v>439</v>
      </c>
      <c r="B440" s="12" t="s">
        <v>2158</v>
      </c>
      <c r="C440" s="12" t="s">
        <v>840</v>
      </c>
      <c r="D440" s="12" t="s">
        <v>835</v>
      </c>
      <c r="E440" s="28">
        <v>8713</v>
      </c>
      <c r="F440" s="28">
        <v>7196</v>
      </c>
      <c r="G440" s="28">
        <v>104800</v>
      </c>
      <c r="H440" s="4"/>
    </row>
    <row r="441" spans="1:8" ht="15.5">
      <c r="A441" s="8">
        <v>440</v>
      </c>
      <c r="B441" s="12" t="s">
        <v>392</v>
      </c>
      <c r="C441" s="12" t="s">
        <v>1236</v>
      </c>
      <c r="D441" s="12" t="s">
        <v>817</v>
      </c>
      <c r="E441" s="28">
        <v>27700</v>
      </c>
      <c r="F441" s="28">
        <v>7750</v>
      </c>
      <c r="G441" s="28">
        <v>127300</v>
      </c>
      <c r="H441" s="4" t="s">
        <v>1221</v>
      </c>
    </row>
    <row r="442" spans="1:8" ht="15.5">
      <c r="A442" s="8">
        <v>441</v>
      </c>
      <c r="B442" s="12" t="s">
        <v>2163</v>
      </c>
      <c r="C442" s="12" t="s">
        <v>926</v>
      </c>
      <c r="D442" s="12" t="s">
        <v>835</v>
      </c>
      <c r="E442" s="28">
        <v>12205</v>
      </c>
      <c r="F442" s="28">
        <v>6118</v>
      </c>
      <c r="G442" s="28">
        <v>101900</v>
      </c>
      <c r="H442" s="4"/>
    </row>
    <row r="443" spans="1:8" ht="15.5">
      <c r="A443" s="8">
        <v>442</v>
      </c>
      <c r="B443" s="12" t="s">
        <v>2167</v>
      </c>
      <c r="C443" s="12" t="s">
        <v>851</v>
      </c>
      <c r="D443" s="12" t="s">
        <v>817</v>
      </c>
      <c r="E443" s="28">
        <v>23181</v>
      </c>
      <c r="F443" s="28">
        <v>6194</v>
      </c>
      <c r="G443" s="28">
        <v>107300</v>
      </c>
      <c r="H443" s="4" t="s">
        <v>1336</v>
      </c>
    </row>
    <row r="444" spans="1:8" ht="15.5">
      <c r="A444" s="8">
        <v>443</v>
      </c>
      <c r="B444" s="12" t="s">
        <v>251</v>
      </c>
      <c r="C444" s="12" t="s">
        <v>840</v>
      </c>
      <c r="D444" s="12" t="s">
        <v>817</v>
      </c>
      <c r="E444" s="28">
        <v>22904</v>
      </c>
      <c r="F444" s="28">
        <v>8839</v>
      </c>
      <c r="G444" s="28">
        <v>125100</v>
      </c>
      <c r="H444" s="4" t="s">
        <v>1221</v>
      </c>
    </row>
    <row r="445" spans="1:8" ht="15.5">
      <c r="A445" s="8">
        <v>444</v>
      </c>
      <c r="B445" s="12" t="s">
        <v>2172</v>
      </c>
      <c r="C445" s="12" t="s">
        <v>1000</v>
      </c>
      <c r="D445" s="12" t="s">
        <v>835</v>
      </c>
      <c r="E445" s="28">
        <v>3395</v>
      </c>
      <c r="F445" s="28">
        <v>6861</v>
      </c>
      <c r="G445" s="28">
        <v>105600</v>
      </c>
      <c r="H445" s="4"/>
    </row>
    <row r="446" spans="1:8" ht="15.5">
      <c r="A446" s="8">
        <v>445</v>
      </c>
      <c r="B446" s="12" t="s">
        <v>513</v>
      </c>
      <c r="C446" s="12" t="s">
        <v>862</v>
      </c>
      <c r="D446" s="12" t="s">
        <v>817</v>
      </c>
      <c r="E446" s="28">
        <v>35187</v>
      </c>
      <c r="F446" s="28">
        <v>8035</v>
      </c>
      <c r="G446" s="28">
        <v>112900</v>
      </c>
      <c r="H446" s="4" t="s">
        <v>1221</v>
      </c>
    </row>
    <row r="447" spans="1:8" ht="15.5">
      <c r="A447" s="8">
        <v>446</v>
      </c>
      <c r="B447" s="12" t="s">
        <v>576</v>
      </c>
      <c r="C447" s="12" t="s">
        <v>1000</v>
      </c>
      <c r="D447" s="12" t="s">
        <v>835</v>
      </c>
      <c r="E447" s="28">
        <v>4489</v>
      </c>
      <c r="F447" s="28">
        <v>7028</v>
      </c>
      <c r="G447" s="28">
        <v>94900</v>
      </c>
      <c r="H447" s="4"/>
    </row>
    <row r="448" spans="1:8" ht="15.5">
      <c r="A448" s="8">
        <v>447</v>
      </c>
      <c r="B448" s="12" t="s">
        <v>555</v>
      </c>
      <c r="C448" s="12" t="s">
        <v>858</v>
      </c>
      <c r="D448" s="12" t="s">
        <v>817</v>
      </c>
      <c r="E448" s="28">
        <v>34946</v>
      </c>
      <c r="F448" s="28">
        <v>8033</v>
      </c>
      <c r="G448" s="28">
        <v>121000</v>
      </c>
      <c r="H448" s="4" t="s">
        <v>1336</v>
      </c>
    </row>
    <row r="449" spans="1:8" ht="15.5">
      <c r="A449" s="8">
        <v>448</v>
      </c>
      <c r="B449" s="12" t="s">
        <v>2181</v>
      </c>
      <c r="C449" s="12" t="s">
        <v>816</v>
      </c>
      <c r="D449" s="12" t="s">
        <v>817</v>
      </c>
      <c r="E449" s="28">
        <v>28436</v>
      </c>
      <c r="F449" s="28">
        <v>8747</v>
      </c>
      <c r="G449" s="28">
        <v>118500</v>
      </c>
      <c r="H449" s="4"/>
    </row>
    <row r="450" spans="1:8" ht="15.5">
      <c r="A450" s="8">
        <v>449</v>
      </c>
      <c r="B450" s="12" t="s">
        <v>2185</v>
      </c>
      <c r="C450" s="12" t="s">
        <v>862</v>
      </c>
      <c r="D450" s="12" t="s">
        <v>835</v>
      </c>
      <c r="E450" s="28">
        <v>4213</v>
      </c>
      <c r="F450" s="28">
        <v>6102</v>
      </c>
      <c r="G450" s="28">
        <v>115100</v>
      </c>
      <c r="H450" s="4"/>
    </row>
    <row r="451" spans="1:8" ht="15.5">
      <c r="A451" s="8">
        <v>450</v>
      </c>
      <c r="B451" s="12" t="s">
        <v>355</v>
      </c>
      <c r="C451" s="12" t="s">
        <v>844</v>
      </c>
      <c r="D451" s="12" t="s">
        <v>817</v>
      </c>
      <c r="E451" s="28">
        <v>26800</v>
      </c>
      <c r="F451" s="28">
        <v>13104</v>
      </c>
      <c r="G451" s="28">
        <v>116100</v>
      </c>
      <c r="H451" s="4" t="s">
        <v>1221</v>
      </c>
    </row>
    <row r="452" spans="1:8" ht="15.5">
      <c r="A452" s="8">
        <v>451</v>
      </c>
      <c r="B452" s="12" t="s">
        <v>543</v>
      </c>
      <c r="C452" s="12" t="s">
        <v>1004</v>
      </c>
      <c r="D452" s="12" t="s">
        <v>817</v>
      </c>
      <c r="E452" s="28">
        <v>37162</v>
      </c>
      <c r="F452" s="28">
        <v>12115</v>
      </c>
      <c r="G452" s="28">
        <v>117200</v>
      </c>
      <c r="H452" s="4" t="s">
        <v>1336</v>
      </c>
    </row>
    <row r="453" spans="1:8" ht="15.5">
      <c r="A453" s="8">
        <v>452</v>
      </c>
      <c r="B453" s="12" t="s">
        <v>463</v>
      </c>
      <c r="C453" s="12" t="s">
        <v>910</v>
      </c>
      <c r="D453" s="12" t="s">
        <v>817</v>
      </c>
      <c r="E453" s="28">
        <v>35837</v>
      </c>
      <c r="F453" s="28">
        <v>7794</v>
      </c>
      <c r="G453" s="28">
        <v>103500</v>
      </c>
      <c r="H453" s="4" t="s">
        <v>920</v>
      </c>
    </row>
    <row r="454" spans="1:8" ht="15.5">
      <c r="A454" s="8">
        <v>453</v>
      </c>
      <c r="B454" s="12" t="s">
        <v>511</v>
      </c>
      <c r="C454" s="12" t="s">
        <v>939</v>
      </c>
      <c r="D454" s="12" t="s">
        <v>817</v>
      </c>
      <c r="E454" s="28">
        <v>34267</v>
      </c>
      <c r="F454" s="28">
        <v>7909</v>
      </c>
      <c r="G454" s="28">
        <v>99400</v>
      </c>
      <c r="H454" s="4" t="s">
        <v>899</v>
      </c>
    </row>
    <row r="455" spans="1:8" ht="15.5">
      <c r="A455" s="8">
        <v>454</v>
      </c>
      <c r="B455" s="12" t="s">
        <v>602</v>
      </c>
      <c r="C455" s="12" t="s">
        <v>844</v>
      </c>
      <c r="D455" s="12" t="s">
        <v>817</v>
      </c>
      <c r="E455" s="28">
        <v>42599</v>
      </c>
      <c r="F455" s="28">
        <v>9085</v>
      </c>
      <c r="G455" s="28">
        <v>119000</v>
      </c>
      <c r="H455" s="4" t="s">
        <v>1221</v>
      </c>
    </row>
    <row r="456" spans="1:8" ht="15.5">
      <c r="A456" s="8">
        <v>455</v>
      </c>
      <c r="B456" s="12" t="s">
        <v>618</v>
      </c>
      <c r="C456" s="12" t="s">
        <v>922</v>
      </c>
      <c r="D456" s="12" t="s">
        <v>817</v>
      </c>
      <c r="E456" s="28">
        <v>20925</v>
      </c>
      <c r="F456" s="28">
        <v>7652</v>
      </c>
      <c r="G456" s="28">
        <v>102700</v>
      </c>
      <c r="H456" s="4" t="s">
        <v>1221</v>
      </c>
    </row>
    <row r="457" spans="1:8" ht="15.5">
      <c r="A457" s="8">
        <v>456</v>
      </c>
      <c r="B457" s="12" t="s">
        <v>505</v>
      </c>
      <c r="C457" s="12" t="s">
        <v>1358</v>
      </c>
      <c r="D457" s="12" t="s">
        <v>817</v>
      </c>
      <c r="E457" s="28">
        <v>55298</v>
      </c>
      <c r="F457" s="28">
        <v>2559</v>
      </c>
      <c r="G457" s="28">
        <v>81600</v>
      </c>
      <c r="H457" s="4" t="s">
        <v>830</v>
      </c>
    </row>
    <row r="458" spans="1:8" ht="15.5">
      <c r="A458" s="8">
        <v>457</v>
      </c>
      <c r="B458" s="12" t="s">
        <v>444</v>
      </c>
      <c r="C458" s="12" t="s">
        <v>1303</v>
      </c>
      <c r="D458" s="12" t="s">
        <v>835</v>
      </c>
      <c r="E458" s="28">
        <v>12577</v>
      </c>
      <c r="F458" s="28">
        <v>5947</v>
      </c>
      <c r="G458" s="28">
        <v>112800</v>
      </c>
      <c r="H458" s="4"/>
    </row>
    <row r="459" spans="1:8" ht="15.5">
      <c r="A459" s="8">
        <v>458</v>
      </c>
      <c r="B459" s="12" t="s">
        <v>473</v>
      </c>
      <c r="C459" s="12" t="s">
        <v>1000</v>
      </c>
      <c r="D459" s="12" t="s">
        <v>817</v>
      </c>
      <c r="E459" s="28">
        <v>46725</v>
      </c>
      <c r="F459" s="28">
        <v>6892</v>
      </c>
      <c r="G459" s="28">
        <v>105000</v>
      </c>
      <c r="H459" s="4" t="s">
        <v>920</v>
      </c>
    </row>
    <row r="460" spans="1:8" ht="15.5">
      <c r="A460" s="8">
        <v>459</v>
      </c>
      <c r="B460" s="12" t="s">
        <v>710</v>
      </c>
      <c r="C460" s="12" t="s">
        <v>822</v>
      </c>
      <c r="D460" s="12" t="s">
        <v>817</v>
      </c>
      <c r="E460" s="28">
        <v>34632</v>
      </c>
      <c r="F460" s="28">
        <v>6460</v>
      </c>
      <c r="G460" s="28">
        <v>135000</v>
      </c>
      <c r="H460" s="4" t="s">
        <v>899</v>
      </c>
    </row>
    <row r="461" spans="1:8" ht="15.5">
      <c r="A461" s="8">
        <v>460</v>
      </c>
      <c r="B461" s="12" t="s">
        <v>558</v>
      </c>
      <c r="C461" s="12" t="s">
        <v>862</v>
      </c>
      <c r="D461" s="12" t="s">
        <v>817</v>
      </c>
      <c r="E461" s="28">
        <v>35683</v>
      </c>
      <c r="F461" s="28">
        <v>7659</v>
      </c>
      <c r="G461" s="28">
        <v>103400</v>
      </c>
      <c r="H461" s="4" t="s">
        <v>938</v>
      </c>
    </row>
    <row r="462" spans="1:8" ht="15.5">
      <c r="A462" s="8">
        <v>461</v>
      </c>
      <c r="B462" s="12" t="s">
        <v>376</v>
      </c>
      <c r="C462" s="12" t="s">
        <v>950</v>
      </c>
      <c r="D462" s="12" t="s">
        <v>835</v>
      </c>
      <c r="E462" s="28">
        <v>5831</v>
      </c>
      <c r="F462" s="28">
        <v>5693</v>
      </c>
      <c r="G462" s="28">
        <v>108100</v>
      </c>
      <c r="H462" s="4"/>
    </row>
    <row r="463" spans="1:8" ht="15.5">
      <c r="A463" s="8">
        <v>462</v>
      </c>
      <c r="B463" s="12" t="s">
        <v>638</v>
      </c>
      <c r="C463" s="12" t="s">
        <v>851</v>
      </c>
      <c r="D463" s="12" t="s">
        <v>817</v>
      </c>
      <c r="E463" s="28">
        <v>33033</v>
      </c>
      <c r="F463" s="28">
        <v>8486</v>
      </c>
      <c r="G463" s="28">
        <v>99400</v>
      </c>
      <c r="H463" s="4" t="s">
        <v>1221</v>
      </c>
    </row>
    <row r="464" spans="1:8" ht="15.5">
      <c r="A464" s="8">
        <v>463</v>
      </c>
      <c r="B464" s="12" t="s">
        <v>342</v>
      </c>
      <c r="C464" s="12" t="s">
        <v>939</v>
      </c>
      <c r="D464" s="12" t="s">
        <v>835</v>
      </c>
      <c r="E464" s="28">
        <v>8806</v>
      </c>
      <c r="F464" s="28">
        <v>6469</v>
      </c>
      <c r="G464" s="28">
        <v>103400</v>
      </c>
      <c r="H464" s="4"/>
    </row>
    <row r="465" spans="1:8" ht="15.5">
      <c r="A465" s="8">
        <v>464</v>
      </c>
      <c r="B465" s="12" t="s">
        <v>541</v>
      </c>
      <c r="C465" s="12" t="s">
        <v>1428</v>
      </c>
      <c r="D465" s="12" t="s">
        <v>835</v>
      </c>
      <c r="E465" s="28">
        <v>3070</v>
      </c>
      <c r="F465" s="28">
        <v>3197</v>
      </c>
      <c r="G465" s="28">
        <v>101000</v>
      </c>
      <c r="H465" s="4"/>
    </row>
    <row r="466" spans="1:8" ht="15.5">
      <c r="A466" s="8">
        <v>465</v>
      </c>
      <c r="B466" s="12" t="s">
        <v>375</v>
      </c>
      <c r="C466" s="12" t="s">
        <v>827</v>
      </c>
      <c r="D466" s="12" t="s">
        <v>817</v>
      </c>
      <c r="E466" s="28">
        <v>36606</v>
      </c>
      <c r="F466" s="28">
        <v>8393</v>
      </c>
      <c r="G466" s="28">
        <v>107600</v>
      </c>
      <c r="H466" s="4" t="s">
        <v>1498</v>
      </c>
    </row>
    <row r="467" spans="1:8" ht="15.5">
      <c r="A467" s="8">
        <v>466</v>
      </c>
      <c r="B467" s="12" t="s">
        <v>649</v>
      </c>
      <c r="C467" s="12" t="s">
        <v>922</v>
      </c>
      <c r="D467" s="12" t="s">
        <v>817</v>
      </c>
      <c r="E467" s="28">
        <v>34736</v>
      </c>
      <c r="F467" s="28">
        <v>9882</v>
      </c>
      <c r="G467" s="28">
        <v>114700</v>
      </c>
      <c r="H467" s="4" t="s">
        <v>1336</v>
      </c>
    </row>
    <row r="468" spans="1:8" ht="15.5">
      <c r="A468" s="8">
        <v>467</v>
      </c>
      <c r="B468" s="12" t="s">
        <v>2232</v>
      </c>
      <c r="C468" s="12" t="s">
        <v>1000</v>
      </c>
      <c r="D468" s="12" t="s">
        <v>817</v>
      </c>
      <c r="E468" s="28">
        <v>23477</v>
      </c>
      <c r="F468" s="28">
        <v>8213</v>
      </c>
      <c r="G468" s="28">
        <v>95400</v>
      </c>
      <c r="H468" s="4" t="s">
        <v>1221</v>
      </c>
    </row>
    <row r="469" spans="1:8" ht="15.5">
      <c r="A469" s="8">
        <v>468</v>
      </c>
      <c r="B469" s="12" t="s">
        <v>497</v>
      </c>
      <c r="C469" s="12" t="s">
        <v>943</v>
      </c>
      <c r="D469" s="12" t="s">
        <v>817</v>
      </c>
      <c r="E469" s="28">
        <v>13710</v>
      </c>
      <c r="F469" s="28">
        <v>12966</v>
      </c>
      <c r="G469" s="28">
        <v>108400</v>
      </c>
      <c r="H469" s="4" t="s">
        <v>899</v>
      </c>
    </row>
    <row r="470" spans="1:8" ht="15.5">
      <c r="A470" s="8">
        <v>469</v>
      </c>
      <c r="B470" s="12" t="s">
        <v>2239</v>
      </c>
      <c r="C470" s="12" t="s">
        <v>1082</v>
      </c>
      <c r="D470" s="12" t="s">
        <v>817</v>
      </c>
      <c r="E470" s="28">
        <v>37252</v>
      </c>
      <c r="F470" s="28">
        <v>10148</v>
      </c>
      <c r="G470" s="28">
        <v>106000</v>
      </c>
      <c r="H470" s="4" t="s">
        <v>1336</v>
      </c>
    </row>
    <row r="471" spans="1:8" ht="15.5">
      <c r="A471" s="8">
        <v>470</v>
      </c>
      <c r="B471" s="12" t="s">
        <v>373</v>
      </c>
      <c r="C471" s="12" t="s">
        <v>2000</v>
      </c>
      <c r="D471" s="12" t="s">
        <v>835</v>
      </c>
      <c r="E471" s="28">
        <v>6308</v>
      </c>
      <c r="F471" s="28">
        <v>7340</v>
      </c>
      <c r="G471" s="28">
        <v>105200</v>
      </c>
      <c r="H471" s="4"/>
    </row>
    <row r="472" spans="1:8" ht="15.5">
      <c r="A472" s="8">
        <v>471</v>
      </c>
      <c r="B472" s="12" t="s">
        <v>597</v>
      </c>
      <c r="C472" s="12" t="s">
        <v>844</v>
      </c>
      <c r="D472" s="12" t="s">
        <v>817</v>
      </c>
      <c r="E472" s="28">
        <v>8020</v>
      </c>
      <c r="F472" s="28">
        <v>14541</v>
      </c>
      <c r="G472" s="28">
        <v>121200</v>
      </c>
      <c r="H472" s="4" t="s">
        <v>938</v>
      </c>
    </row>
    <row r="473" spans="1:8" ht="15.5">
      <c r="A473" s="8">
        <v>472</v>
      </c>
      <c r="B473" s="12" t="s">
        <v>434</v>
      </c>
      <c r="C473" s="12" t="s">
        <v>971</v>
      </c>
      <c r="D473" s="12" t="s">
        <v>817</v>
      </c>
      <c r="E473" s="28">
        <v>34706</v>
      </c>
      <c r="F473" s="28">
        <v>8025</v>
      </c>
      <c r="G473" s="28">
        <v>112400</v>
      </c>
      <c r="H473" s="4" t="s">
        <v>1336</v>
      </c>
    </row>
    <row r="474" spans="1:8" ht="15.5">
      <c r="A474" s="8">
        <v>473</v>
      </c>
      <c r="B474" s="12" t="s">
        <v>498</v>
      </c>
      <c r="C474" s="12" t="s">
        <v>1000</v>
      </c>
      <c r="D474" s="12" t="s">
        <v>817</v>
      </c>
      <c r="E474" s="28">
        <v>40089</v>
      </c>
      <c r="F474" s="28">
        <v>7322</v>
      </c>
      <c r="G474" s="28">
        <v>126900</v>
      </c>
      <c r="H474" s="4" t="s">
        <v>920</v>
      </c>
    </row>
    <row r="475" spans="1:8" ht="15.5">
      <c r="A475" s="8">
        <v>474</v>
      </c>
      <c r="B475" s="12" t="s">
        <v>683</v>
      </c>
      <c r="C475" s="12" t="s">
        <v>822</v>
      </c>
      <c r="D475" s="12" t="s">
        <v>817</v>
      </c>
      <c r="E475" s="28">
        <v>23816</v>
      </c>
      <c r="F475" s="28">
        <v>6252</v>
      </c>
      <c r="G475" s="28">
        <v>112200</v>
      </c>
      <c r="H475" s="4" t="s">
        <v>1498</v>
      </c>
    </row>
    <row r="476" spans="1:8" ht="15.5">
      <c r="A476" s="8">
        <v>475</v>
      </c>
      <c r="B476" s="12" t="s">
        <v>560</v>
      </c>
      <c r="C476" s="12" t="s">
        <v>827</v>
      </c>
      <c r="D476" s="12" t="s">
        <v>817</v>
      </c>
      <c r="E476" s="28">
        <v>15181</v>
      </c>
      <c r="F476" s="28">
        <v>5652</v>
      </c>
      <c r="G476" s="28">
        <v>113200</v>
      </c>
      <c r="H476" s="4" t="s">
        <v>1336</v>
      </c>
    </row>
    <row r="477" spans="1:8" ht="15.5">
      <c r="A477" s="8">
        <v>476</v>
      </c>
      <c r="B477" s="12" t="s">
        <v>667</v>
      </c>
      <c r="C477" s="12" t="s">
        <v>1104</v>
      </c>
      <c r="D477" s="12" t="s">
        <v>817</v>
      </c>
      <c r="E477" s="28">
        <v>25538</v>
      </c>
      <c r="F477" s="28">
        <v>8092</v>
      </c>
      <c r="G477" s="28">
        <v>114900</v>
      </c>
      <c r="H477" s="4" t="s">
        <v>1336</v>
      </c>
    </row>
    <row r="478" spans="1:8" ht="15.5">
      <c r="A478" s="8">
        <v>477</v>
      </c>
      <c r="B478" s="12" t="s">
        <v>413</v>
      </c>
      <c r="C478" s="12" t="s">
        <v>858</v>
      </c>
      <c r="D478" s="12" t="s">
        <v>835</v>
      </c>
      <c r="E478" s="28">
        <v>11773</v>
      </c>
      <c r="F478" s="28">
        <v>6041</v>
      </c>
      <c r="G478" s="28">
        <v>101200</v>
      </c>
      <c r="H478" s="4"/>
    </row>
    <row r="479" spans="1:8" ht="15.5">
      <c r="A479" s="8">
        <v>478</v>
      </c>
      <c r="B479" s="12" t="s">
        <v>663</v>
      </c>
      <c r="C479" s="12" t="s">
        <v>840</v>
      </c>
      <c r="D479" s="12" t="s">
        <v>817</v>
      </c>
      <c r="E479" s="28">
        <v>34485</v>
      </c>
      <c r="F479" s="28">
        <v>9443</v>
      </c>
      <c r="G479" s="28">
        <v>129100</v>
      </c>
      <c r="H479" s="4" t="s">
        <v>1336</v>
      </c>
    </row>
    <row r="480" spans="1:8" ht="15.5">
      <c r="A480" s="8">
        <v>479</v>
      </c>
      <c r="B480" s="12" t="s">
        <v>2266</v>
      </c>
      <c r="C480" s="12" t="s">
        <v>943</v>
      </c>
      <c r="D480" s="12" t="s">
        <v>2267</v>
      </c>
      <c r="E480" s="28">
        <v>4050</v>
      </c>
      <c r="F480" s="28"/>
      <c r="G480" s="28"/>
      <c r="H480" s="4"/>
    </row>
    <row r="481" spans="1:8" ht="15.5">
      <c r="A481" s="8">
        <v>480</v>
      </c>
      <c r="B481" s="12" t="s">
        <v>633</v>
      </c>
      <c r="C481" s="12" t="s">
        <v>1104</v>
      </c>
      <c r="D481" s="12" t="s">
        <v>817</v>
      </c>
      <c r="E481" s="28">
        <v>10999</v>
      </c>
      <c r="F481" s="28">
        <v>8126</v>
      </c>
      <c r="G481" s="28">
        <v>107200</v>
      </c>
      <c r="H481" s="4" t="s">
        <v>1235</v>
      </c>
    </row>
    <row r="482" spans="1:8" ht="15.5">
      <c r="A482" s="8">
        <v>481</v>
      </c>
      <c r="B482" s="12" t="s">
        <v>274</v>
      </c>
      <c r="C482" s="12" t="s">
        <v>922</v>
      </c>
      <c r="D482" s="12" t="s">
        <v>835</v>
      </c>
      <c r="E482" s="28">
        <v>8811</v>
      </c>
      <c r="F482" s="28">
        <v>6572</v>
      </c>
      <c r="G482" s="28">
        <v>98500</v>
      </c>
      <c r="H482" s="4"/>
    </row>
    <row r="483" spans="1:8" ht="15.5">
      <c r="A483" s="8">
        <v>482</v>
      </c>
      <c r="B483" s="12" t="s">
        <v>2275</v>
      </c>
      <c r="C483" s="12" t="s">
        <v>889</v>
      </c>
      <c r="D483" s="12" t="s">
        <v>835</v>
      </c>
      <c r="E483" s="28">
        <v>6217</v>
      </c>
      <c r="F483" s="28">
        <v>8040</v>
      </c>
      <c r="G483" s="28">
        <v>99300</v>
      </c>
      <c r="H483" s="4"/>
    </row>
    <row r="484" spans="1:8" ht="15.5">
      <c r="A484" s="8">
        <v>483</v>
      </c>
      <c r="B484" s="12" t="s">
        <v>340</v>
      </c>
      <c r="C484" s="12" t="s">
        <v>1428</v>
      </c>
      <c r="D484" s="12" t="s">
        <v>835</v>
      </c>
      <c r="E484" s="28">
        <v>7110</v>
      </c>
      <c r="F484" s="28">
        <v>8200</v>
      </c>
      <c r="G484" s="28">
        <v>100500</v>
      </c>
      <c r="H484" s="4"/>
    </row>
    <row r="485" spans="1:8" ht="15.5">
      <c r="A485" s="8">
        <v>484</v>
      </c>
      <c r="B485" s="12" t="s">
        <v>329</v>
      </c>
      <c r="C485" s="12" t="s">
        <v>1124</v>
      </c>
      <c r="D485" s="12" t="s">
        <v>835</v>
      </c>
      <c r="E485" s="28">
        <v>9436</v>
      </c>
      <c r="F485" s="28">
        <v>5999</v>
      </c>
      <c r="G485" s="28">
        <v>101000</v>
      </c>
      <c r="H485" s="4"/>
    </row>
    <row r="486" spans="1:8" ht="15.5">
      <c r="A486" s="8">
        <v>485</v>
      </c>
      <c r="B486" s="12" t="s">
        <v>2281</v>
      </c>
      <c r="C486" s="12" t="s">
        <v>862</v>
      </c>
      <c r="D486" s="12" t="s">
        <v>817</v>
      </c>
      <c r="E486" s="28">
        <v>36155</v>
      </c>
      <c r="F486" s="28">
        <v>9136</v>
      </c>
      <c r="G486" s="28">
        <v>116400</v>
      </c>
      <c r="H486" s="4" t="s">
        <v>1336</v>
      </c>
    </row>
    <row r="487" spans="1:8" ht="15.5">
      <c r="A487" s="8">
        <v>486</v>
      </c>
      <c r="B487" s="12" t="s">
        <v>629</v>
      </c>
      <c r="C487" s="12" t="s">
        <v>840</v>
      </c>
      <c r="D487" s="12" t="s">
        <v>817</v>
      </c>
      <c r="E487" s="28">
        <v>21335</v>
      </c>
      <c r="F487" s="28">
        <v>6386</v>
      </c>
      <c r="G487" s="28"/>
      <c r="H487" s="4" t="s">
        <v>1235</v>
      </c>
    </row>
    <row r="488" spans="1:8" ht="15.5">
      <c r="A488" s="8">
        <v>487</v>
      </c>
      <c r="B488" s="12" t="s">
        <v>2286</v>
      </c>
      <c r="C488" s="12" t="s">
        <v>939</v>
      </c>
      <c r="D488" s="12" t="s">
        <v>835</v>
      </c>
      <c r="E488" s="28">
        <v>8610</v>
      </c>
      <c r="F488" s="28">
        <v>6446</v>
      </c>
      <c r="G488" s="28">
        <v>93700</v>
      </c>
      <c r="H488" s="4"/>
    </row>
    <row r="489" spans="1:8" ht="15.5">
      <c r="A489" s="8">
        <v>488</v>
      </c>
      <c r="B489" s="12" t="s">
        <v>2290</v>
      </c>
      <c r="C489" s="12" t="s">
        <v>1897</v>
      </c>
      <c r="D489" s="12" t="s">
        <v>835</v>
      </c>
      <c r="E489" s="28">
        <v>7826</v>
      </c>
      <c r="F489" s="28">
        <v>3333</v>
      </c>
      <c r="G489" s="28"/>
      <c r="H489" s="4"/>
    </row>
    <row r="490" spans="1:8" ht="15.5">
      <c r="A490" s="8">
        <v>489</v>
      </c>
      <c r="B490" s="12" t="s">
        <v>2293</v>
      </c>
      <c r="C490" s="12" t="s">
        <v>1707</v>
      </c>
      <c r="D490" s="12" t="s">
        <v>835</v>
      </c>
      <c r="E490" s="28">
        <v>5917</v>
      </c>
      <c r="F490" s="28">
        <v>5686</v>
      </c>
      <c r="G490" s="28">
        <v>121700</v>
      </c>
      <c r="H490" s="4"/>
    </row>
    <row r="491" spans="1:8" ht="15.5">
      <c r="A491" s="8">
        <v>490</v>
      </c>
      <c r="B491" s="12" t="s">
        <v>594</v>
      </c>
      <c r="C491" s="12" t="s">
        <v>858</v>
      </c>
      <c r="D491" s="12" t="s">
        <v>817</v>
      </c>
      <c r="E491" s="28">
        <v>26423</v>
      </c>
      <c r="F491" s="28">
        <v>8377</v>
      </c>
      <c r="G491" s="28">
        <v>105900</v>
      </c>
      <c r="H491" s="4" t="s">
        <v>1336</v>
      </c>
    </row>
    <row r="492" spans="1:8" ht="15.5">
      <c r="A492" s="8">
        <v>491</v>
      </c>
      <c r="B492" s="12" t="s">
        <v>620</v>
      </c>
      <c r="C492" s="12" t="s">
        <v>858</v>
      </c>
      <c r="D492" s="12" t="s">
        <v>817</v>
      </c>
      <c r="E492" s="28">
        <v>37907</v>
      </c>
      <c r="F492" s="28">
        <v>7013</v>
      </c>
      <c r="G492" s="28">
        <v>122700</v>
      </c>
      <c r="H492" s="4" t="s">
        <v>1235</v>
      </c>
    </row>
    <row r="493" spans="1:8" ht="15.5">
      <c r="A493" s="8">
        <v>492</v>
      </c>
      <c r="B493" s="12" t="s">
        <v>384</v>
      </c>
      <c r="C493" s="12" t="s">
        <v>971</v>
      </c>
      <c r="D493" s="12" t="s">
        <v>817</v>
      </c>
      <c r="E493" s="28">
        <v>28650</v>
      </c>
      <c r="F493" s="28">
        <v>2452</v>
      </c>
      <c r="G493" s="28">
        <v>99900</v>
      </c>
      <c r="H493" s="4" t="s">
        <v>1221</v>
      </c>
    </row>
    <row r="494" spans="1:8" ht="15.5">
      <c r="A494" s="8">
        <v>493</v>
      </c>
      <c r="B494" s="12" t="s">
        <v>385</v>
      </c>
      <c r="C494" s="12" t="s">
        <v>862</v>
      </c>
      <c r="D494" s="12" t="s">
        <v>835</v>
      </c>
      <c r="E494" s="28">
        <v>7544</v>
      </c>
      <c r="F494" s="28">
        <v>5118</v>
      </c>
      <c r="G494" s="28">
        <v>100400</v>
      </c>
      <c r="H494" s="4"/>
    </row>
    <row r="495" spans="1:8" ht="15.5">
      <c r="A495" s="8">
        <v>494</v>
      </c>
      <c r="B495" s="12" t="s">
        <v>429</v>
      </c>
      <c r="C495" s="12" t="s">
        <v>1303</v>
      </c>
      <c r="D495" s="12" t="s">
        <v>835</v>
      </c>
      <c r="E495" s="28">
        <v>10260</v>
      </c>
      <c r="F495" s="28">
        <v>5499</v>
      </c>
      <c r="G495" s="28">
        <v>107400</v>
      </c>
      <c r="H495" s="4"/>
    </row>
    <row r="496" spans="1:8" ht="15.5">
      <c r="A496" s="8">
        <v>495</v>
      </c>
      <c r="B496" s="12" t="s">
        <v>2309</v>
      </c>
      <c r="C496" s="12" t="s">
        <v>1416</v>
      </c>
      <c r="D496" s="12" t="s">
        <v>835</v>
      </c>
      <c r="E496" s="28">
        <v>8180</v>
      </c>
      <c r="F496" s="28">
        <v>5904</v>
      </c>
      <c r="G496" s="28">
        <v>104300</v>
      </c>
      <c r="H496" s="4"/>
    </row>
    <row r="497" spans="1:8" ht="15.5">
      <c r="A497" s="8">
        <v>496</v>
      </c>
      <c r="B497" s="12" t="s">
        <v>2313</v>
      </c>
      <c r="C497" s="12" t="s">
        <v>840</v>
      </c>
      <c r="D497" s="12" t="s">
        <v>817</v>
      </c>
      <c r="E497" s="28">
        <v>20822</v>
      </c>
      <c r="F497" s="28">
        <v>7387</v>
      </c>
      <c r="G497" s="28">
        <v>106100</v>
      </c>
      <c r="H497" s="4" t="s">
        <v>1498</v>
      </c>
    </row>
    <row r="498" spans="1:8" ht="15.5">
      <c r="A498" s="8">
        <v>497</v>
      </c>
      <c r="B498" s="12" t="s">
        <v>2317</v>
      </c>
      <c r="C498" s="12" t="s">
        <v>1183</v>
      </c>
      <c r="D498" s="12" t="s">
        <v>835</v>
      </c>
      <c r="E498" s="28">
        <v>9384</v>
      </c>
      <c r="F498" s="28">
        <v>6942</v>
      </c>
      <c r="G498" s="28">
        <v>115000</v>
      </c>
      <c r="H498" s="4"/>
    </row>
    <row r="499" spans="1:8" ht="15.5">
      <c r="A499" s="8">
        <v>498</v>
      </c>
      <c r="B499" s="12" t="s">
        <v>615</v>
      </c>
      <c r="C499" s="12" t="s">
        <v>1082</v>
      </c>
      <c r="D499" s="12" t="s">
        <v>817</v>
      </c>
      <c r="E499" s="28">
        <v>30091</v>
      </c>
      <c r="F499" s="28">
        <v>9101</v>
      </c>
      <c r="G499" s="28">
        <v>109000</v>
      </c>
      <c r="H499" s="4" t="s">
        <v>1235</v>
      </c>
    </row>
    <row r="500" spans="1:8" ht="15.5">
      <c r="A500" s="8">
        <v>499</v>
      </c>
      <c r="B500" s="12" t="s">
        <v>302</v>
      </c>
      <c r="C500" s="12" t="s">
        <v>844</v>
      </c>
      <c r="D500" s="12" t="s">
        <v>817</v>
      </c>
      <c r="E500" s="28">
        <v>32486</v>
      </c>
      <c r="F500" s="28">
        <v>7588</v>
      </c>
      <c r="G500" s="28">
        <v>107500</v>
      </c>
      <c r="H500" s="4" t="s">
        <v>821</v>
      </c>
    </row>
    <row r="501" spans="1:8" ht="15.5">
      <c r="A501" s="8">
        <v>500</v>
      </c>
      <c r="B501" s="12" t="s">
        <v>2326</v>
      </c>
      <c r="C501" s="12" t="s">
        <v>851</v>
      </c>
      <c r="D501" s="12" t="s">
        <v>835</v>
      </c>
      <c r="E501" s="28">
        <v>16973</v>
      </c>
      <c r="F501" s="28">
        <v>5035</v>
      </c>
      <c r="G501" s="28">
        <v>113800</v>
      </c>
      <c r="H501"/>
    </row>
    <row r="502" spans="1:8" ht="15.5">
      <c r="A502" s="26"/>
      <c r="B502" s="11"/>
      <c r="C502" s="11"/>
      <c r="D502" s="11"/>
      <c r="E502" s="27"/>
      <c r="F502" s="27"/>
      <c r="G502" s="27"/>
      <c r="H502" s="14"/>
    </row>
  </sheetData>
  <dataConsolidate/>
  <phoneticPr fontId="6" type="noConversion"/>
  <conditionalFormatting sqref="B32">
    <cfRule type="duplicateValues" dxfId="82" priority="13"/>
  </conditionalFormatting>
  <conditionalFormatting sqref="B41">
    <cfRule type="duplicateValues" dxfId="81" priority="11"/>
  </conditionalFormatting>
  <conditionalFormatting sqref="B47">
    <cfRule type="duplicateValues" dxfId="80" priority="17"/>
  </conditionalFormatting>
  <conditionalFormatting sqref="B51">
    <cfRule type="duplicateValues" dxfId="79" priority="19"/>
  </conditionalFormatting>
  <conditionalFormatting sqref="B76">
    <cfRule type="duplicateValues" dxfId="78" priority="1"/>
  </conditionalFormatting>
  <conditionalFormatting sqref="B80">
    <cfRule type="duplicateValues" dxfId="77" priority="25"/>
  </conditionalFormatting>
  <conditionalFormatting sqref="B83">
    <cfRule type="duplicateValues" dxfId="76" priority="7"/>
  </conditionalFormatting>
  <conditionalFormatting sqref="B84">
    <cfRule type="duplicateValues" dxfId="75" priority="9"/>
  </conditionalFormatting>
  <conditionalFormatting sqref="B114">
    <cfRule type="duplicateValues" dxfId="74" priority="5"/>
  </conditionalFormatting>
  <conditionalFormatting sqref="B166">
    <cfRule type="duplicateValues" dxfId="73" priority="23"/>
  </conditionalFormatting>
  <conditionalFormatting sqref="B197">
    <cfRule type="duplicateValues" dxfId="72" priority="15"/>
  </conditionalFormatting>
  <conditionalFormatting sqref="B307">
    <cfRule type="duplicateValues" dxfId="71" priority="28"/>
  </conditionalFormatting>
  <conditionalFormatting sqref="B325">
    <cfRule type="duplicateValues" dxfId="70" priority="32"/>
  </conditionalFormatting>
  <conditionalFormatting sqref="B408">
    <cfRule type="duplicateValues" dxfId="69" priority="3"/>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9F6F8-D9EF-254D-A041-103F07514D2E}">
  <sheetPr codeName="Sheet4"/>
  <dimension ref="A1:H51"/>
  <sheetViews>
    <sheetView topLeftCell="A29" workbookViewId="0">
      <selection activeCell="C1" sqref="C1:G1048576"/>
    </sheetView>
  </sheetViews>
  <sheetFormatPr defaultColWidth="10.81640625" defaultRowHeight="14.5"/>
  <cols>
    <col min="2" max="2" width="14.1796875" customWidth="1"/>
    <col min="3" max="3" width="18" hidden="1" customWidth="1"/>
    <col min="4" max="4" width="20.453125" hidden="1" customWidth="1"/>
    <col min="5" max="5" width="19.81640625" hidden="1" customWidth="1"/>
    <col min="6" max="6" width="17.26953125" hidden="1" customWidth="1"/>
    <col min="7" max="7" width="23.7265625" hidden="1" customWidth="1"/>
    <col min="8" max="8" width="23.453125" style="33" customWidth="1"/>
  </cols>
  <sheetData>
    <row r="1" spans="1:8">
      <c r="A1" s="25" t="s">
        <v>2339</v>
      </c>
      <c r="B1" s="25" t="s">
        <v>2352</v>
      </c>
      <c r="C1" s="25" t="s">
        <v>2353</v>
      </c>
      <c r="D1" s="25" t="s">
        <v>2354</v>
      </c>
      <c r="E1" s="25" t="s">
        <v>2355</v>
      </c>
      <c r="F1" s="25" t="s">
        <v>2356</v>
      </c>
      <c r="G1" s="25" t="s">
        <v>2357</v>
      </c>
      <c r="H1" s="32" t="s">
        <v>2358</v>
      </c>
    </row>
    <row r="2" spans="1:8">
      <c r="A2" s="25" t="s">
        <v>789</v>
      </c>
      <c r="B2" s="25">
        <v>37.68</v>
      </c>
      <c r="C2" s="25">
        <v>41</v>
      </c>
      <c r="D2" s="25">
        <v>36</v>
      </c>
      <c r="E2" s="25">
        <v>37</v>
      </c>
      <c r="F2" s="25">
        <v>42</v>
      </c>
      <c r="G2" s="25">
        <v>46</v>
      </c>
      <c r="H2" s="32">
        <f>(Safest_States[[#This Row],[Total Score]]-MIN(Safest_States[Total Score]))/(MAX(Safest_States[Total Score])-MIN(Safest_States[Total Score]))</f>
        <v>0.16258411843876172</v>
      </c>
    </row>
    <row r="3" spans="1:8">
      <c r="A3" s="25" t="s">
        <v>800</v>
      </c>
      <c r="B3" s="25">
        <v>54.52</v>
      </c>
      <c r="C3" s="25">
        <v>16</v>
      </c>
      <c r="D3" s="25"/>
      <c r="E3" s="25">
        <v>21</v>
      </c>
      <c r="F3" s="25">
        <v>27</v>
      </c>
      <c r="G3" s="25">
        <v>2</v>
      </c>
      <c r="H3" s="32">
        <f>(Safest_States[[#This Row],[Total Score]]-MIN(Safest_States[Total Score]))/(MAX(Safest_States[Total Score])-MIN(Safest_States[Total Score]))</f>
        <v>0.61588156123822335</v>
      </c>
    </row>
    <row r="4" spans="1:8">
      <c r="A4" s="25" t="s">
        <v>753</v>
      </c>
      <c r="B4" s="25">
        <v>52.95</v>
      </c>
      <c r="C4" s="25">
        <v>20</v>
      </c>
      <c r="D4" s="25">
        <v>33</v>
      </c>
      <c r="E4" s="25">
        <v>9</v>
      </c>
      <c r="F4" s="25">
        <v>49</v>
      </c>
      <c r="G4" s="25">
        <v>8</v>
      </c>
      <c r="H4" s="32">
        <f>(Safest_States[[#This Row],[Total Score]]-MIN(Safest_States[Total Score]))/(MAX(Safest_States[Total Score])-MIN(Safest_States[Total Score]))</f>
        <v>0.5736204576043068</v>
      </c>
    </row>
    <row r="5" spans="1:8">
      <c r="A5" s="25" t="s">
        <v>792</v>
      </c>
      <c r="B5" s="25">
        <v>33.72</v>
      </c>
      <c r="C5" s="25">
        <v>43</v>
      </c>
      <c r="D5" s="25">
        <v>47</v>
      </c>
      <c r="E5" s="25">
        <v>47</v>
      </c>
      <c r="F5" s="25">
        <v>47</v>
      </c>
      <c r="G5" s="25">
        <v>33</v>
      </c>
      <c r="H5" s="32">
        <f>(Safest_States[[#This Row],[Total Score]]-MIN(Safest_States[Total Score]))/(MAX(Safest_States[Total Score])-MIN(Safest_States[Total Score]))</f>
        <v>5.5989232839838435E-2</v>
      </c>
    </row>
    <row r="6" spans="1:8">
      <c r="A6" s="25" t="s">
        <v>666</v>
      </c>
      <c r="B6" s="25">
        <v>48.94</v>
      </c>
      <c r="C6" s="25">
        <v>22</v>
      </c>
      <c r="D6" s="25">
        <v>42</v>
      </c>
      <c r="E6" s="25">
        <v>18</v>
      </c>
      <c r="F6" s="25">
        <v>40</v>
      </c>
      <c r="G6" s="25">
        <v>19</v>
      </c>
      <c r="H6" s="32">
        <f>(Safest_States[[#This Row],[Total Score]]-MIN(Safest_States[Total Score]))/(MAX(Safest_States[Total Score])-MIN(Safest_States[Total Score]))</f>
        <v>0.46567967698519502</v>
      </c>
    </row>
    <row r="7" spans="1:8">
      <c r="A7" s="25" t="s">
        <v>757</v>
      </c>
      <c r="B7" s="25">
        <v>43.84</v>
      </c>
      <c r="C7" s="25">
        <v>8</v>
      </c>
      <c r="D7" s="25">
        <v>44</v>
      </c>
      <c r="E7" s="25">
        <v>43</v>
      </c>
      <c r="F7" s="25">
        <v>31</v>
      </c>
      <c r="G7" s="25">
        <v>28</v>
      </c>
      <c r="H7" s="32">
        <f>(Safest_States[[#This Row],[Total Score]]-MIN(Safest_States[Total Score]))/(MAX(Safest_States[Total Score])-MIN(Safest_States[Total Score]))</f>
        <v>0.32839838492597578</v>
      </c>
    </row>
    <row r="8" spans="1:8">
      <c r="A8" s="25" t="s">
        <v>742</v>
      </c>
      <c r="B8" s="25">
        <v>59.88</v>
      </c>
      <c r="C8" s="25">
        <v>23</v>
      </c>
      <c r="D8" s="25">
        <v>1</v>
      </c>
      <c r="E8" s="25">
        <v>27</v>
      </c>
      <c r="F8" s="25">
        <v>17</v>
      </c>
      <c r="G8" s="25">
        <v>17</v>
      </c>
      <c r="H8" s="32">
        <f>(Safest_States[[#This Row],[Total Score]]-MIN(Safest_States[Total Score]))/(MAX(Safest_States[Total Score])-MIN(Safest_States[Total Score]))</f>
        <v>0.7601615074024225</v>
      </c>
    </row>
    <row r="9" spans="1:8">
      <c r="A9" s="25" t="s">
        <v>778</v>
      </c>
      <c r="B9" s="25">
        <v>51.36</v>
      </c>
      <c r="C9" s="25">
        <v>29</v>
      </c>
      <c r="D9" s="25">
        <v>23</v>
      </c>
      <c r="E9" s="25">
        <v>33</v>
      </c>
      <c r="F9" s="25">
        <v>25</v>
      </c>
      <c r="G9" s="25">
        <v>13</v>
      </c>
      <c r="H9" s="32">
        <f>(Safest_States[[#This Row],[Total Score]]-MIN(Safest_States[Total Score]))/(MAX(Safest_States[Total Score])-MIN(Safest_States[Total Score]))</f>
        <v>0.5308209959623148</v>
      </c>
    </row>
    <row r="10" spans="1:8">
      <c r="A10" s="25" t="s">
        <v>751</v>
      </c>
      <c r="B10" s="25">
        <v>39.520000000000003</v>
      </c>
      <c r="C10" s="25">
        <v>25</v>
      </c>
      <c r="D10" s="25">
        <v>32</v>
      </c>
      <c r="E10" s="25">
        <v>44</v>
      </c>
      <c r="F10" s="25">
        <v>46</v>
      </c>
      <c r="G10" s="25">
        <v>42</v>
      </c>
      <c r="H10" s="32">
        <f>(Safest_States[[#This Row],[Total Score]]-MIN(Safest_States[Total Score]))/(MAX(Safest_States[Total Score])-MIN(Safest_States[Total Score]))</f>
        <v>0.21211305518169588</v>
      </c>
    </row>
    <row r="11" spans="1:8">
      <c r="A11" s="25" t="s">
        <v>767</v>
      </c>
      <c r="B11" s="25">
        <v>45.27</v>
      </c>
      <c r="C11" s="25">
        <v>44</v>
      </c>
      <c r="D11" s="25">
        <v>22</v>
      </c>
      <c r="E11" s="25">
        <v>25</v>
      </c>
      <c r="F11" s="25">
        <v>39</v>
      </c>
      <c r="G11" s="25">
        <v>34</v>
      </c>
      <c r="H11" s="32">
        <f>(Safest_States[[#This Row],[Total Score]]-MIN(Safest_States[Total Score]))/(MAX(Safest_States[Total Score])-MIN(Safest_States[Total Score]))</f>
        <v>0.36689098250336477</v>
      </c>
    </row>
    <row r="12" spans="1:8">
      <c r="A12" s="25" t="s">
        <v>810</v>
      </c>
      <c r="B12" s="25">
        <v>60.36</v>
      </c>
      <c r="C12" s="25">
        <v>14</v>
      </c>
      <c r="D12" s="25">
        <v>14</v>
      </c>
      <c r="E12" s="25">
        <v>13</v>
      </c>
      <c r="F12" s="25">
        <v>20</v>
      </c>
      <c r="G12" s="25">
        <v>4</v>
      </c>
      <c r="H12" s="32">
        <f>(Safest_States[[#This Row],[Total Score]]-MIN(Safest_States[Total Score]))/(MAX(Safest_States[Total Score])-MIN(Safest_States[Total Score]))</f>
        <v>0.77308209959623131</v>
      </c>
    </row>
    <row r="13" spans="1:8">
      <c r="A13" s="25" t="s">
        <v>796</v>
      </c>
      <c r="B13" s="25">
        <v>54.67</v>
      </c>
      <c r="C13" s="25">
        <v>18</v>
      </c>
      <c r="D13" s="25">
        <v>16</v>
      </c>
      <c r="E13" s="25">
        <v>46</v>
      </c>
      <c r="F13" s="25">
        <v>6</v>
      </c>
      <c r="G13" s="25">
        <v>15</v>
      </c>
      <c r="H13" s="32">
        <f>(Safest_States[[#This Row],[Total Score]]-MIN(Safest_States[Total Score]))/(MAX(Safest_States[Total Score])-MIN(Safest_States[Total Score]))</f>
        <v>0.61991924629878858</v>
      </c>
    </row>
    <row r="14" spans="1:8">
      <c r="A14" s="25" t="s">
        <v>746</v>
      </c>
      <c r="B14" s="25">
        <v>47.68</v>
      </c>
      <c r="C14" s="25">
        <v>49</v>
      </c>
      <c r="D14" s="25">
        <v>13</v>
      </c>
      <c r="E14" s="25">
        <v>23</v>
      </c>
      <c r="F14" s="25">
        <v>18</v>
      </c>
      <c r="G14" s="25">
        <v>35</v>
      </c>
      <c r="H14" s="32">
        <f>(Safest_States[[#This Row],[Total Score]]-MIN(Safest_States[Total Score]))/(MAX(Safest_States[Total Score])-MIN(Safest_States[Total Score]))</f>
        <v>0.43176312247644677</v>
      </c>
    </row>
    <row r="15" spans="1:8">
      <c r="A15" s="25" t="s">
        <v>416</v>
      </c>
      <c r="B15" s="25">
        <v>52.98</v>
      </c>
      <c r="C15" s="25">
        <v>37</v>
      </c>
      <c r="D15" s="25">
        <v>15</v>
      </c>
      <c r="E15" s="25">
        <v>12</v>
      </c>
      <c r="F15" s="25">
        <v>24</v>
      </c>
      <c r="G15" s="25">
        <v>29</v>
      </c>
      <c r="H15" s="32">
        <f>(Safest_States[[#This Row],[Total Score]]-MIN(Safest_States[Total Score]))/(MAX(Safest_States[Total Score])-MIN(Safest_States[Total Score]))</f>
        <v>0.57442799461641969</v>
      </c>
    </row>
    <row r="16" spans="1:8">
      <c r="A16" s="25" t="s">
        <v>770</v>
      </c>
      <c r="B16" s="25">
        <v>55.29</v>
      </c>
      <c r="C16" s="25">
        <v>19</v>
      </c>
      <c r="D16" s="25">
        <v>8</v>
      </c>
      <c r="E16" s="25">
        <v>7</v>
      </c>
      <c r="F16" s="25">
        <v>5</v>
      </c>
      <c r="G16" s="25">
        <v>47</v>
      </c>
      <c r="H16" s="32">
        <f>(Safest_States[[#This Row],[Total Score]]-MIN(Safest_States[Total Score]))/(MAX(Safest_States[Total Score])-MIN(Safest_States[Total Score]))</f>
        <v>0.63660834454912507</v>
      </c>
    </row>
    <row r="17" spans="1:8">
      <c r="A17" s="25" t="s">
        <v>777</v>
      </c>
      <c r="B17" s="25">
        <v>42.91</v>
      </c>
      <c r="C17" s="25">
        <v>28</v>
      </c>
      <c r="D17" s="25">
        <v>29</v>
      </c>
      <c r="E17" s="25">
        <v>34</v>
      </c>
      <c r="F17" s="25">
        <v>21</v>
      </c>
      <c r="G17" s="25">
        <v>44</v>
      </c>
      <c r="H17" s="32">
        <f>(Safest_States[[#This Row],[Total Score]]-MIN(Safest_States[Total Score]))/(MAX(Safest_States[Total Score])-MIN(Safest_States[Total Score]))</f>
        <v>0.30336473755047089</v>
      </c>
    </row>
    <row r="18" spans="1:8">
      <c r="A18" s="25" t="s">
        <v>775</v>
      </c>
      <c r="B18" s="25">
        <v>48.73</v>
      </c>
      <c r="C18" s="25">
        <v>39</v>
      </c>
      <c r="D18" s="25">
        <v>25</v>
      </c>
      <c r="E18" s="25">
        <v>20</v>
      </c>
      <c r="F18" s="25">
        <v>35</v>
      </c>
      <c r="G18" s="25">
        <v>30</v>
      </c>
      <c r="H18" s="32">
        <f>(Safest_States[[#This Row],[Total Score]]-MIN(Safest_States[Total Score]))/(MAX(Safest_States[Total Score])-MIN(Safest_States[Total Score]))</f>
        <v>0.46002691790040362</v>
      </c>
    </row>
    <row r="19" spans="1:8">
      <c r="A19" s="25" t="s">
        <v>784</v>
      </c>
      <c r="B19" s="25">
        <v>31.64</v>
      </c>
      <c r="C19" s="25">
        <v>48</v>
      </c>
      <c r="D19" s="25">
        <v>46</v>
      </c>
      <c r="E19" s="25">
        <v>40</v>
      </c>
      <c r="F19" s="25">
        <v>34</v>
      </c>
      <c r="G19" s="25">
        <v>49</v>
      </c>
      <c r="H19" s="32">
        <f>(Safest_States[[#This Row],[Total Score]]-MIN(Safest_States[Total Score]))/(MAX(Safest_States[Total Score])-MIN(Safest_States[Total Score]))</f>
        <v>0</v>
      </c>
    </row>
    <row r="20" spans="1:8">
      <c r="A20" s="25" t="s">
        <v>798</v>
      </c>
      <c r="B20" s="25">
        <v>66.95</v>
      </c>
      <c r="C20" s="25">
        <v>13</v>
      </c>
      <c r="D20" s="25">
        <v>3</v>
      </c>
      <c r="E20" s="25">
        <v>19</v>
      </c>
      <c r="F20" s="25">
        <v>2</v>
      </c>
      <c r="G20" s="25">
        <v>1</v>
      </c>
      <c r="H20" s="32">
        <f>(Safest_States[[#This Row],[Total Score]]-MIN(Safest_States[Total Score]))/(MAX(Safest_States[Total Score])-MIN(Safest_States[Total Score]))</f>
        <v>0.95047106325706587</v>
      </c>
    </row>
    <row r="21" spans="1:8">
      <c r="A21" s="25" t="s">
        <v>750</v>
      </c>
      <c r="B21" s="25">
        <v>53.23</v>
      </c>
      <c r="C21" s="25">
        <v>24</v>
      </c>
      <c r="D21" s="25">
        <v>9</v>
      </c>
      <c r="E21" s="25">
        <v>14</v>
      </c>
      <c r="F21" s="25">
        <v>45</v>
      </c>
      <c r="G21" s="25">
        <v>23</v>
      </c>
      <c r="H21" s="32">
        <f>(Safest_States[[#This Row],[Total Score]]-MIN(Safest_States[Total Score]))/(MAX(Safest_States[Total Score])-MIN(Safest_States[Total Score]))</f>
        <v>0.58115746971736182</v>
      </c>
    </row>
    <row r="22" spans="1:8">
      <c r="A22" s="25" t="s">
        <v>738</v>
      </c>
      <c r="B22" s="25">
        <v>60.02</v>
      </c>
      <c r="C22" s="25">
        <v>5</v>
      </c>
      <c r="D22" s="25">
        <v>7</v>
      </c>
      <c r="E22" s="25">
        <v>42</v>
      </c>
      <c r="F22" s="25">
        <v>1</v>
      </c>
      <c r="G22" s="25">
        <v>11</v>
      </c>
      <c r="H22" s="32">
        <f>(Safest_States[[#This Row],[Total Score]]-MIN(Safest_States[Total Score]))/(MAX(Safest_States[Total Score])-MIN(Safest_States[Total Score]))</f>
        <v>0.76393001345895017</v>
      </c>
    </row>
    <row r="23" spans="1:8">
      <c r="A23" s="25" t="s">
        <v>741</v>
      </c>
      <c r="B23" s="25">
        <v>49.79</v>
      </c>
      <c r="C23" s="25">
        <v>34</v>
      </c>
      <c r="D23" s="25">
        <v>43</v>
      </c>
      <c r="E23" s="25">
        <v>15</v>
      </c>
      <c r="F23" s="25">
        <v>38</v>
      </c>
      <c r="G23" s="25">
        <v>14</v>
      </c>
      <c r="H23" s="32">
        <f>(Safest_States[[#This Row],[Total Score]]-MIN(Safest_States[Total Score]))/(MAX(Safest_States[Total Score])-MIN(Safest_States[Total Score]))</f>
        <v>0.48855989232839825</v>
      </c>
    </row>
    <row r="24" spans="1:8">
      <c r="A24" s="25" t="s">
        <v>748</v>
      </c>
      <c r="B24" s="25">
        <v>59.81</v>
      </c>
      <c r="C24" s="25">
        <v>4</v>
      </c>
      <c r="D24" s="25">
        <v>17</v>
      </c>
      <c r="E24" s="25">
        <v>6</v>
      </c>
      <c r="F24" s="25">
        <v>3</v>
      </c>
      <c r="G24" s="25">
        <v>22</v>
      </c>
      <c r="H24" s="32">
        <f>(Safest_States[[#This Row],[Total Score]]-MIN(Safest_States[Total Score]))/(MAX(Safest_States[Total Score])-MIN(Safest_States[Total Score]))</f>
        <v>0.75827725437415872</v>
      </c>
    </row>
    <row r="25" spans="1:8">
      <c r="A25" s="25" t="s">
        <v>793</v>
      </c>
      <c r="B25" s="25">
        <v>32.520000000000003</v>
      </c>
      <c r="C25" s="25">
        <v>46</v>
      </c>
      <c r="D25" s="25">
        <v>30</v>
      </c>
      <c r="E25" s="25">
        <v>48</v>
      </c>
      <c r="F25" s="25">
        <v>50</v>
      </c>
      <c r="G25" s="25">
        <v>50</v>
      </c>
      <c r="H25" s="32">
        <f>(Safest_States[[#This Row],[Total Score]]-MIN(Safest_States[Total Score]))/(MAX(Safest_States[Total Score])-MIN(Safest_States[Total Score]))</f>
        <v>2.3687752355316352E-2</v>
      </c>
    </row>
    <row r="26" spans="1:8">
      <c r="A26" s="25" t="s">
        <v>763</v>
      </c>
      <c r="B26" s="25">
        <v>40.25</v>
      </c>
      <c r="C26" s="25">
        <v>32</v>
      </c>
      <c r="D26" s="25">
        <v>41</v>
      </c>
      <c r="E26" s="25">
        <v>24</v>
      </c>
      <c r="F26" s="25">
        <v>43</v>
      </c>
      <c r="G26" s="25">
        <v>41</v>
      </c>
      <c r="H26" s="32">
        <f>(Safest_States[[#This Row],[Total Score]]-MIN(Safest_States[Total Score]))/(MAX(Safest_States[Total Score])-MIN(Safest_States[Total Score]))</f>
        <v>0.23176312247644679</v>
      </c>
    </row>
    <row r="27" spans="1:8">
      <c r="A27" s="25" t="s">
        <v>794</v>
      </c>
      <c r="B27" s="25">
        <v>42.16</v>
      </c>
      <c r="C27" s="25">
        <v>6</v>
      </c>
      <c r="D27" s="25">
        <v>45</v>
      </c>
      <c r="E27" s="25">
        <v>38</v>
      </c>
      <c r="F27" s="25">
        <v>28</v>
      </c>
      <c r="G27" s="25">
        <v>32</v>
      </c>
      <c r="H27" s="32">
        <f>(Safest_States[[#This Row],[Total Score]]-MIN(Safest_States[Total Score]))/(MAX(Safest_States[Total Score])-MIN(Safest_States[Total Score]))</f>
        <v>0.28317631224764456</v>
      </c>
    </row>
    <row r="28" spans="1:8">
      <c r="A28" s="25" t="s">
        <v>764</v>
      </c>
      <c r="B28" s="25">
        <v>46.58</v>
      </c>
      <c r="C28" s="25">
        <v>9</v>
      </c>
      <c r="D28" s="25">
        <v>24</v>
      </c>
      <c r="E28" s="25">
        <v>39</v>
      </c>
      <c r="F28" s="25">
        <v>9</v>
      </c>
      <c r="G28" s="25">
        <v>40</v>
      </c>
      <c r="H28" s="32">
        <f>(Safest_States[[#This Row],[Total Score]]-MIN(Safest_States[Total Score]))/(MAX(Safest_States[Total Score])-MIN(Safest_States[Total Score]))</f>
        <v>0.40215343203230136</v>
      </c>
    </row>
    <row r="29" spans="1:8">
      <c r="A29" s="25" t="s">
        <v>719</v>
      </c>
      <c r="B29" s="25">
        <v>47.72</v>
      </c>
      <c r="C29" s="25">
        <v>50</v>
      </c>
      <c r="D29" s="25">
        <v>48</v>
      </c>
      <c r="E29" s="25">
        <v>17</v>
      </c>
      <c r="F29" s="25">
        <v>37</v>
      </c>
      <c r="G29" s="25">
        <v>6</v>
      </c>
      <c r="H29" s="32">
        <f>(Safest_States[[#This Row],[Total Score]]-MIN(Safest_States[Total Score]))/(MAX(Safest_States[Total Score])-MIN(Safest_States[Total Score]))</f>
        <v>0.43283983849259744</v>
      </c>
    </row>
    <row r="30" spans="1:8">
      <c r="A30" s="25" t="s">
        <v>773</v>
      </c>
      <c r="B30" s="25">
        <v>63.99</v>
      </c>
      <c r="C30" s="25">
        <v>1</v>
      </c>
      <c r="D30" s="25">
        <v>4</v>
      </c>
      <c r="E30" s="25">
        <v>41</v>
      </c>
      <c r="F30" s="25">
        <v>13</v>
      </c>
      <c r="G30" s="25">
        <v>3</v>
      </c>
      <c r="H30" s="32">
        <f>(Safest_States[[#This Row],[Total Score]]-MIN(Safest_States[Total Score]))/(MAX(Safest_States[Total Score])-MIN(Safest_States[Total Score]))</f>
        <v>0.87079407806191111</v>
      </c>
    </row>
    <row r="31" spans="1:8">
      <c r="A31" s="25" t="s">
        <v>747</v>
      </c>
      <c r="B31" s="25">
        <v>54.62</v>
      </c>
      <c r="C31" s="25">
        <v>30</v>
      </c>
      <c r="D31" s="25">
        <v>5</v>
      </c>
      <c r="E31" s="25">
        <v>28</v>
      </c>
      <c r="F31" s="25">
        <v>16</v>
      </c>
      <c r="G31" s="25">
        <v>25</v>
      </c>
      <c r="H31" s="32">
        <f>(Safest_States[[#This Row],[Total Score]]-MIN(Safest_States[Total Score]))/(MAX(Safest_States[Total Score])-MIN(Safest_States[Total Score]))</f>
        <v>0.61857335127860014</v>
      </c>
    </row>
    <row r="32" spans="1:8">
      <c r="A32" s="25" t="s">
        <v>780</v>
      </c>
      <c r="B32" s="25">
        <v>49.92</v>
      </c>
      <c r="C32" s="25">
        <v>38</v>
      </c>
      <c r="D32" s="25">
        <v>38</v>
      </c>
      <c r="E32" s="25">
        <v>10</v>
      </c>
      <c r="F32" s="25">
        <v>48</v>
      </c>
      <c r="G32" s="25">
        <v>12</v>
      </c>
      <c r="H32" s="32">
        <f>(Safest_States[[#This Row],[Total Score]]-MIN(Safest_States[Total Score]))/(MAX(Safest_States[Total Score])-MIN(Safest_States[Total Score]))</f>
        <v>0.49205921938088826</v>
      </c>
    </row>
    <row r="33" spans="1:8">
      <c r="A33" s="25" t="s">
        <v>740</v>
      </c>
      <c r="B33" s="25">
        <v>51.92</v>
      </c>
      <c r="C33" s="25">
        <v>31</v>
      </c>
      <c r="D33" s="25">
        <v>10</v>
      </c>
      <c r="E33" s="25">
        <v>30</v>
      </c>
      <c r="F33" s="25">
        <v>4</v>
      </c>
      <c r="G33" s="25">
        <v>26</v>
      </c>
      <c r="H33" s="32">
        <f>(Safest_States[[#This Row],[Total Score]]-MIN(Safest_States[Total Score]))/(MAX(Safest_States[Total Score])-MIN(Safest_States[Total Score]))</f>
        <v>0.54589502018842528</v>
      </c>
    </row>
    <row r="34" spans="1:8">
      <c r="A34" s="25" t="s">
        <v>752</v>
      </c>
      <c r="B34" s="25">
        <v>52.37</v>
      </c>
      <c r="C34" s="25">
        <v>15</v>
      </c>
      <c r="D34" s="25">
        <v>12</v>
      </c>
      <c r="E34" s="25">
        <v>4</v>
      </c>
      <c r="F34" s="25">
        <v>30</v>
      </c>
      <c r="G34" s="25">
        <v>43</v>
      </c>
      <c r="H34" s="32">
        <f>(Safest_States[[#This Row],[Total Score]]-MIN(Safest_States[Total Score]))/(MAX(Safest_States[Total Score])-MIN(Safest_States[Total Score]))</f>
        <v>0.55800807537012098</v>
      </c>
    </row>
    <row r="35" spans="1:8">
      <c r="A35" s="25" t="s">
        <v>802</v>
      </c>
      <c r="B35" s="25">
        <v>47.94</v>
      </c>
      <c r="C35" s="25">
        <v>12</v>
      </c>
      <c r="D35" s="25">
        <v>20</v>
      </c>
      <c r="E35" s="25">
        <v>49</v>
      </c>
      <c r="F35" s="25">
        <v>8</v>
      </c>
      <c r="G35" s="25">
        <v>37</v>
      </c>
      <c r="H35" s="32">
        <f>(Safest_States[[#This Row],[Total Score]]-MIN(Safest_States[Total Score]))/(MAX(Safest_States[Total Score])-MIN(Safest_States[Total Score]))</f>
        <v>0.43876177658142651</v>
      </c>
    </row>
    <row r="36" spans="1:8">
      <c r="A36" s="25" t="s">
        <v>756</v>
      </c>
      <c r="B36" s="25">
        <v>45.14</v>
      </c>
      <c r="C36" s="25">
        <v>47</v>
      </c>
      <c r="D36" s="25">
        <v>32</v>
      </c>
      <c r="E36" s="25">
        <v>29</v>
      </c>
      <c r="F36" s="25">
        <v>23</v>
      </c>
      <c r="G36" s="25">
        <v>24</v>
      </c>
      <c r="H36" s="32">
        <f>(Safest_States[[#This Row],[Total Score]]-MIN(Safest_States[Total Score]))/(MAX(Safest_States[Total Score])-MIN(Safest_States[Total Score]))</f>
        <v>0.36339165545087476</v>
      </c>
    </row>
    <row r="37" spans="1:8">
      <c r="A37" s="25" t="s">
        <v>787</v>
      </c>
      <c r="B37" s="25">
        <v>39.340000000000003</v>
      </c>
      <c r="C37" s="25">
        <v>45</v>
      </c>
      <c r="D37" s="25">
        <v>35</v>
      </c>
      <c r="E37" s="25">
        <v>36</v>
      </c>
      <c r="F37" s="25">
        <v>29</v>
      </c>
      <c r="G37" s="25">
        <v>45</v>
      </c>
      <c r="H37" s="32">
        <f>(Safest_States[[#This Row],[Total Score]]-MIN(Safest_States[Total Score]))/(MAX(Safest_States[Total Score])-MIN(Safest_States[Total Score]))</f>
        <v>0.20726783310901753</v>
      </c>
    </row>
    <row r="38" spans="1:8">
      <c r="A38" s="25" t="s">
        <v>766</v>
      </c>
      <c r="B38" s="25">
        <v>55.48</v>
      </c>
      <c r="C38" s="25">
        <v>11</v>
      </c>
      <c r="D38" s="25">
        <v>39</v>
      </c>
      <c r="E38" s="25">
        <v>8</v>
      </c>
      <c r="F38" s="25">
        <v>12</v>
      </c>
      <c r="G38" s="25">
        <v>16</v>
      </c>
      <c r="H38" s="32">
        <f>(Safest_States[[#This Row],[Total Score]]-MIN(Safest_States[Total Score]))/(MAX(Safest_States[Total Score])-MIN(Safest_States[Total Score]))</f>
        <v>0.64172274562584097</v>
      </c>
    </row>
    <row r="39" spans="1:8">
      <c r="A39" s="25" t="s">
        <v>743</v>
      </c>
      <c r="B39" s="25">
        <v>48.51</v>
      </c>
      <c r="C39" s="25">
        <v>35</v>
      </c>
      <c r="D39" s="25">
        <v>18</v>
      </c>
      <c r="E39" s="25">
        <v>26</v>
      </c>
      <c r="F39" s="25">
        <v>33</v>
      </c>
      <c r="G39" s="25">
        <v>27</v>
      </c>
      <c r="H39" s="32">
        <f>(Safest_States[[#This Row],[Total Score]]-MIN(Safest_States[Total Score]))/(MAX(Safest_States[Total Score])-MIN(Safest_States[Total Score]))</f>
        <v>0.45410497981157455</v>
      </c>
    </row>
    <row r="40" spans="1:8">
      <c r="A40" s="25" t="s">
        <v>768</v>
      </c>
      <c r="B40" s="25">
        <v>58.99</v>
      </c>
      <c r="C40" s="25">
        <v>26</v>
      </c>
      <c r="D40" s="25">
        <v>6</v>
      </c>
      <c r="E40" s="25">
        <v>35</v>
      </c>
      <c r="F40" s="25">
        <v>19</v>
      </c>
      <c r="G40" s="25">
        <v>10</v>
      </c>
      <c r="H40" s="32">
        <f>(Safest_States[[#This Row],[Total Score]]-MIN(Safest_States[Total Score]))/(MAX(Safest_States[Total Score])-MIN(Safest_States[Total Score]))</f>
        <v>0.73620457604306855</v>
      </c>
    </row>
    <row r="41" spans="1:8">
      <c r="A41" s="25" t="s">
        <v>783</v>
      </c>
      <c r="B41" s="25">
        <v>41.03</v>
      </c>
      <c r="C41" s="25">
        <v>36</v>
      </c>
      <c r="D41" s="25">
        <v>50</v>
      </c>
      <c r="E41" s="25">
        <v>16</v>
      </c>
      <c r="F41" s="25">
        <v>44</v>
      </c>
      <c r="G41" s="25">
        <v>36</v>
      </c>
      <c r="H41" s="32">
        <f>(Safest_States[[#This Row],[Total Score]]-MIN(Safest_States[Total Score]))/(MAX(Safest_States[Total Score])-MIN(Safest_States[Total Score]))</f>
        <v>0.25275908479138626</v>
      </c>
    </row>
    <row r="42" spans="1:8">
      <c r="A42" s="25" t="s">
        <v>808</v>
      </c>
      <c r="B42" s="25">
        <v>43.38</v>
      </c>
      <c r="C42" s="25">
        <v>3</v>
      </c>
      <c r="D42" s="25">
        <v>28</v>
      </c>
      <c r="E42" s="25">
        <v>50</v>
      </c>
      <c r="F42" s="25">
        <v>32</v>
      </c>
      <c r="G42" s="25">
        <v>39</v>
      </c>
      <c r="H42" s="32">
        <f>(Safest_States[[#This Row],[Total Score]]-MIN(Safest_States[Total Score]))/(MAX(Safest_States[Total Score])-MIN(Safest_States[Total Score]))</f>
        <v>0.31601615074024225</v>
      </c>
    </row>
    <row r="43" spans="1:8">
      <c r="A43" s="25" t="s">
        <v>771</v>
      </c>
      <c r="B43" s="25">
        <v>41.34</v>
      </c>
      <c r="C43" s="25">
        <v>40</v>
      </c>
      <c r="D43" s="25">
        <v>49</v>
      </c>
      <c r="E43" s="25">
        <v>11</v>
      </c>
      <c r="F43" s="25">
        <v>41</v>
      </c>
      <c r="G43" s="25">
        <v>38</v>
      </c>
      <c r="H43" s="32">
        <f>(Safest_States[[#This Row],[Total Score]]-MIN(Safest_States[Total Score]))/(MAX(Safest_States[Total Score])-MIN(Safest_States[Total Score]))</f>
        <v>0.26110363391655456</v>
      </c>
    </row>
    <row r="44" spans="1:8">
      <c r="A44" s="25" t="s">
        <v>745</v>
      </c>
      <c r="B44" s="25">
        <v>36.770000000000003</v>
      </c>
      <c r="C44" s="25">
        <v>42</v>
      </c>
      <c r="D44" s="25">
        <v>40</v>
      </c>
      <c r="E44" s="25">
        <v>31</v>
      </c>
      <c r="F44" s="25">
        <v>36</v>
      </c>
      <c r="G44" s="25">
        <v>48</v>
      </c>
      <c r="H44" s="32">
        <f>(Safest_States[[#This Row],[Total Score]]-MIN(Safest_States[Total Score]))/(MAX(Safest_States[Total Score])-MIN(Safest_States[Total Score]))</f>
        <v>0.13808882907133249</v>
      </c>
    </row>
    <row r="45" spans="1:8">
      <c r="A45" s="25" t="s">
        <v>761</v>
      </c>
      <c r="B45" s="25">
        <v>63.48</v>
      </c>
      <c r="C45" s="25">
        <v>2</v>
      </c>
      <c r="D45" s="25">
        <v>19</v>
      </c>
      <c r="E45" s="25">
        <v>2</v>
      </c>
      <c r="F45" s="25">
        <v>7</v>
      </c>
      <c r="G45" s="25">
        <v>5</v>
      </c>
      <c r="H45" s="32">
        <f>(Safest_States[[#This Row],[Total Score]]-MIN(Safest_States[Total Score]))/(MAX(Safest_States[Total Score])-MIN(Safest_States[Total Score]))</f>
        <v>0.85706594885598897</v>
      </c>
    </row>
    <row r="46" spans="1:8">
      <c r="A46" s="25" t="s">
        <v>785</v>
      </c>
      <c r="B46" s="25">
        <v>68.790000000000006</v>
      </c>
      <c r="C46" s="25">
        <v>10</v>
      </c>
      <c r="D46" s="25">
        <v>2</v>
      </c>
      <c r="E46" s="25">
        <v>1</v>
      </c>
      <c r="F46" s="25">
        <v>14</v>
      </c>
      <c r="G46" s="25">
        <v>7</v>
      </c>
      <c r="H46" s="32">
        <f>(Safest_States[[#This Row],[Total Score]]-MIN(Safest_States[Total Score]))/(MAX(Safest_States[Total Score])-MIN(Safest_States[Total Score]))</f>
        <v>1</v>
      </c>
    </row>
    <row r="47" spans="1:8">
      <c r="A47" s="25" t="s">
        <v>760</v>
      </c>
      <c r="B47" s="25">
        <v>55.99</v>
      </c>
      <c r="C47" s="25">
        <v>17</v>
      </c>
      <c r="D47" s="25">
        <v>11</v>
      </c>
      <c r="E47" s="25">
        <v>3</v>
      </c>
      <c r="F47" s="25">
        <v>22</v>
      </c>
      <c r="G47" s="25">
        <v>31</v>
      </c>
      <c r="H47" s="32">
        <f>(Safest_States[[#This Row],[Total Score]]-MIN(Safest_States[Total Score]))/(MAX(Safest_States[Total Score])-MIN(Safest_States[Total Score]))</f>
        <v>0.65545087483176301</v>
      </c>
    </row>
    <row r="48" spans="1:8">
      <c r="A48" s="25" t="s">
        <v>71</v>
      </c>
      <c r="B48" s="25">
        <v>59.44</v>
      </c>
      <c r="C48" s="25">
        <v>7</v>
      </c>
      <c r="D48" s="25">
        <v>27</v>
      </c>
      <c r="E48" s="25">
        <v>5</v>
      </c>
      <c r="F48" s="25">
        <v>15</v>
      </c>
      <c r="G48" s="25">
        <v>9</v>
      </c>
      <c r="H48" s="32">
        <f>(Safest_States[[#This Row],[Total Score]]-MIN(Safest_States[Total Score]))/(MAX(Safest_States[Total Score])-MIN(Safest_States[Total Score]))</f>
        <v>0.74831763122476425</v>
      </c>
    </row>
    <row r="49" spans="1:8">
      <c r="A49" s="25" t="s">
        <v>791</v>
      </c>
      <c r="B49" s="25">
        <v>47.08</v>
      </c>
      <c r="C49" s="25">
        <v>33</v>
      </c>
      <c r="D49" s="25">
        <v>31</v>
      </c>
      <c r="E49" s="25">
        <v>45</v>
      </c>
      <c r="F49" s="25">
        <v>26</v>
      </c>
      <c r="G49" s="25">
        <v>18</v>
      </c>
      <c r="H49" s="32">
        <f>(Safest_States[[#This Row],[Total Score]]-MIN(Safest_States[Total Score]))/(MAX(Safest_States[Total Score])-MIN(Safest_States[Total Score]))</f>
        <v>0.41561238223418562</v>
      </c>
    </row>
    <row r="50" spans="1:8">
      <c r="A50" s="25" t="s">
        <v>744</v>
      </c>
      <c r="B50" s="25">
        <v>51.42</v>
      </c>
      <c r="C50" s="25">
        <v>21</v>
      </c>
      <c r="D50" s="25">
        <v>26</v>
      </c>
      <c r="E50" s="25">
        <v>32</v>
      </c>
      <c r="F50" s="25">
        <v>11</v>
      </c>
      <c r="G50" s="25">
        <v>20</v>
      </c>
      <c r="H50" s="32">
        <f>(Safest_States[[#This Row],[Total Score]]-MIN(Safest_States[Total Score]))/(MAX(Safest_States[Total Score])-MIN(Safest_States[Total Score]))</f>
        <v>0.53243606998654103</v>
      </c>
    </row>
    <row r="51" spans="1:8">
      <c r="A51" s="25" t="s">
        <v>729</v>
      </c>
      <c r="B51" s="25">
        <v>54.04</v>
      </c>
      <c r="C51" s="25">
        <v>27</v>
      </c>
      <c r="D51" s="25">
        <v>21</v>
      </c>
      <c r="E51" s="25">
        <v>22</v>
      </c>
      <c r="F51" s="25">
        <v>10</v>
      </c>
      <c r="G51" s="25">
        <v>21</v>
      </c>
      <c r="H51" s="32">
        <f>(Safest_States[[#This Row],[Total Score]]-MIN(Safest_States[Total Score]))/(MAX(Safest_States[Total Score])-MIN(Safest_States[Total Score]))</f>
        <v>0.60296096904441443</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7B625-0C5D-1A49-84F4-17C3BF8C87D6}">
  <sheetPr codeName="Sheet5"/>
  <dimension ref="A1:J501"/>
  <sheetViews>
    <sheetView zoomScale="92" workbookViewId="0">
      <selection activeCell="B4" sqref="B4"/>
    </sheetView>
  </sheetViews>
  <sheetFormatPr defaultColWidth="10.81640625" defaultRowHeight="14.5"/>
  <cols>
    <col min="1" max="1" width="10.81640625" style="9"/>
    <col min="2" max="2" width="84.1796875" style="13" customWidth="1"/>
    <col min="3" max="3" width="10.81640625" style="13"/>
    <col min="4" max="4" width="23.7265625" style="13" customWidth="1"/>
    <col min="5" max="5" width="13.81640625" style="16" bestFit="1" customWidth="1"/>
    <col min="6" max="6" width="9.26953125" style="16" bestFit="1" customWidth="1"/>
    <col min="7" max="7" width="25.26953125" style="16" bestFit="1" customWidth="1"/>
    <col min="8" max="8" width="16" bestFit="1" customWidth="1"/>
    <col min="9" max="9" width="10.81640625" customWidth="1"/>
  </cols>
  <sheetData>
    <row r="1" spans="1:10" ht="15.5">
      <c r="A1" s="8" t="s">
        <v>2330</v>
      </c>
      <c r="B1" s="10" t="s">
        <v>1</v>
      </c>
      <c r="C1" s="11" t="s">
        <v>2331</v>
      </c>
      <c r="D1" s="11" t="s">
        <v>811</v>
      </c>
      <c r="E1" s="14" t="s">
        <v>812</v>
      </c>
      <c r="F1" s="14" t="s">
        <v>813</v>
      </c>
      <c r="G1" s="14" t="s">
        <v>814</v>
      </c>
      <c r="H1" s="3" t="s">
        <v>815</v>
      </c>
    </row>
    <row r="2" spans="1:10" ht="15.5">
      <c r="A2" s="8">
        <v>1</v>
      </c>
      <c r="B2" s="12" t="s">
        <v>26</v>
      </c>
      <c r="C2" s="12" t="s">
        <v>816</v>
      </c>
      <c r="D2" s="12" t="s">
        <v>817</v>
      </c>
      <c r="E2" s="15" t="s">
        <v>818</v>
      </c>
      <c r="F2" s="15" t="s">
        <v>819</v>
      </c>
      <c r="G2" s="15" t="s">
        <v>820</v>
      </c>
      <c r="H2" s="4" t="s">
        <v>821</v>
      </c>
    </row>
    <row r="3" spans="1:10" ht="15.5">
      <c r="A3" s="8">
        <v>2</v>
      </c>
      <c r="B3" s="12" t="s">
        <v>7</v>
      </c>
      <c r="C3" s="12" t="s">
        <v>822</v>
      </c>
      <c r="D3" s="12" t="s">
        <v>817</v>
      </c>
      <c r="E3" s="15" t="s">
        <v>823</v>
      </c>
      <c r="F3" s="15" t="s">
        <v>824</v>
      </c>
      <c r="G3" s="15" t="s">
        <v>825</v>
      </c>
      <c r="H3" s="4" t="s">
        <v>826</v>
      </c>
    </row>
    <row r="4" spans="1:10" ht="15.5">
      <c r="A4" s="8">
        <v>3</v>
      </c>
      <c r="B4" s="12" t="s">
        <v>4</v>
      </c>
      <c r="C4" s="12" t="s">
        <v>827</v>
      </c>
      <c r="D4" s="12" t="s">
        <v>817</v>
      </c>
      <c r="E4" s="15" t="s">
        <v>828</v>
      </c>
      <c r="F4" s="15" t="s">
        <v>829</v>
      </c>
      <c r="G4" s="15" t="s">
        <v>820</v>
      </c>
      <c r="H4" s="4" t="s">
        <v>830</v>
      </c>
      <c r="J4" s="6"/>
    </row>
    <row r="5" spans="1:10" ht="15.5">
      <c r="A5" s="8">
        <v>4</v>
      </c>
      <c r="B5" s="12" t="s">
        <v>16</v>
      </c>
      <c r="C5" s="12" t="s">
        <v>831</v>
      </c>
      <c r="D5" s="12" t="s">
        <v>817</v>
      </c>
      <c r="E5" s="15" t="s">
        <v>832</v>
      </c>
      <c r="F5" s="15" t="s">
        <v>833</v>
      </c>
      <c r="G5" s="15" t="s">
        <v>834</v>
      </c>
      <c r="H5" s="4" t="s">
        <v>826</v>
      </c>
    </row>
    <row r="6" spans="1:10" ht="15.5">
      <c r="A6" s="8">
        <v>5</v>
      </c>
      <c r="B6" s="12" t="s">
        <v>10</v>
      </c>
      <c r="C6" s="12" t="s">
        <v>822</v>
      </c>
      <c r="D6" s="12" t="s">
        <v>835</v>
      </c>
      <c r="E6" s="15" t="s">
        <v>836</v>
      </c>
      <c r="F6" s="15" t="s">
        <v>837</v>
      </c>
      <c r="G6" s="15" t="s">
        <v>838</v>
      </c>
      <c r="H6" s="4"/>
    </row>
    <row r="7" spans="1:10" ht="15.5">
      <c r="A7" s="8">
        <v>6</v>
      </c>
      <c r="B7" s="12" t="s">
        <v>839</v>
      </c>
      <c r="C7" s="12" t="s">
        <v>840</v>
      </c>
      <c r="D7" s="12" t="s">
        <v>817</v>
      </c>
      <c r="E7" s="15" t="s">
        <v>841</v>
      </c>
      <c r="F7" s="15" t="s">
        <v>842</v>
      </c>
      <c r="G7" s="15" t="s">
        <v>843</v>
      </c>
      <c r="H7" s="4" t="s">
        <v>826</v>
      </c>
    </row>
    <row r="8" spans="1:10" ht="15.5">
      <c r="A8" s="8">
        <v>7</v>
      </c>
      <c r="B8" s="12" t="s">
        <v>18</v>
      </c>
      <c r="C8" s="12" t="s">
        <v>844</v>
      </c>
      <c r="D8" s="12" t="s">
        <v>817</v>
      </c>
      <c r="E8" s="15" t="s">
        <v>845</v>
      </c>
      <c r="F8" s="15" t="s">
        <v>846</v>
      </c>
      <c r="G8" s="15" t="s">
        <v>847</v>
      </c>
      <c r="H8" s="4" t="s">
        <v>826</v>
      </c>
    </row>
    <row r="9" spans="1:10" ht="15.5">
      <c r="A9" s="8">
        <v>8</v>
      </c>
      <c r="B9" s="12" t="s">
        <v>6</v>
      </c>
      <c r="C9" s="12" t="s">
        <v>827</v>
      </c>
      <c r="D9" s="12" t="s">
        <v>817</v>
      </c>
      <c r="E9" s="15" t="s">
        <v>848</v>
      </c>
      <c r="F9" s="15" t="s">
        <v>849</v>
      </c>
      <c r="G9" s="15" t="s">
        <v>850</v>
      </c>
      <c r="H9" s="4" t="s">
        <v>830</v>
      </c>
    </row>
    <row r="10" spans="1:10" ht="15.5">
      <c r="A10" s="8">
        <v>9</v>
      </c>
      <c r="B10" s="12" t="s">
        <v>128</v>
      </c>
      <c r="C10" s="12" t="s">
        <v>851</v>
      </c>
      <c r="D10" s="12" t="s">
        <v>817</v>
      </c>
      <c r="E10" s="15" t="s">
        <v>852</v>
      </c>
      <c r="F10" s="15" t="s">
        <v>853</v>
      </c>
      <c r="G10" s="15" t="s">
        <v>854</v>
      </c>
      <c r="H10" s="4" t="s">
        <v>830</v>
      </c>
    </row>
    <row r="11" spans="1:10" ht="15.5">
      <c r="A11" s="8">
        <v>10</v>
      </c>
      <c r="B11" s="12" t="s">
        <v>8</v>
      </c>
      <c r="C11" s="12" t="s">
        <v>840</v>
      </c>
      <c r="D11" s="12" t="s">
        <v>817</v>
      </c>
      <c r="E11" s="15" t="s">
        <v>855</v>
      </c>
      <c r="F11" s="15" t="s">
        <v>856</v>
      </c>
      <c r="G11" s="15" t="s">
        <v>857</v>
      </c>
      <c r="H11" s="4" t="s">
        <v>826</v>
      </c>
    </row>
    <row r="12" spans="1:10" ht="15.5">
      <c r="A12" s="8">
        <v>11</v>
      </c>
      <c r="B12" s="12" t="s">
        <v>60</v>
      </c>
      <c r="C12" s="12" t="s">
        <v>858</v>
      </c>
      <c r="D12" s="12" t="s">
        <v>817</v>
      </c>
      <c r="E12" s="15" t="s">
        <v>859</v>
      </c>
      <c r="F12" s="15" t="s">
        <v>860</v>
      </c>
      <c r="G12" s="15" t="s">
        <v>861</v>
      </c>
      <c r="H12" s="4" t="s">
        <v>830</v>
      </c>
    </row>
    <row r="13" spans="1:10" ht="15.5">
      <c r="A13" s="8">
        <v>12</v>
      </c>
      <c r="B13" s="12" t="s">
        <v>33</v>
      </c>
      <c r="C13" s="12" t="s">
        <v>862</v>
      </c>
      <c r="D13" s="12" t="s">
        <v>817</v>
      </c>
      <c r="E13" s="15" t="s">
        <v>863</v>
      </c>
      <c r="F13" s="15" t="s">
        <v>864</v>
      </c>
      <c r="G13" s="15" t="s">
        <v>865</v>
      </c>
      <c r="H13" s="4" t="s">
        <v>830</v>
      </c>
    </row>
    <row r="14" spans="1:10" ht="15.5">
      <c r="A14" s="8">
        <v>13</v>
      </c>
      <c r="B14" s="12" t="s">
        <v>15</v>
      </c>
      <c r="C14" s="12" t="s">
        <v>822</v>
      </c>
      <c r="D14" s="12" t="s">
        <v>835</v>
      </c>
      <c r="E14" s="15" t="s">
        <v>866</v>
      </c>
      <c r="F14" s="15" t="s">
        <v>867</v>
      </c>
      <c r="G14" s="15" t="s">
        <v>868</v>
      </c>
      <c r="H14" s="4"/>
    </row>
    <row r="15" spans="1:10" ht="15.5">
      <c r="A15" s="8">
        <v>14</v>
      </c>
      <c r="B15" s="12" t="s">
        <v>24</v>
      </c>
      <c r="C15" s="12" t="s">
        <v>858</v>
      </c>
      <c r="D15" s="12" t="s">
        <v>817</v>
      </c>
      <c r="E15" s="15" t="s">
        <v>869</v>
      </c>
      <c r="F15" s="15" t="s">
        <v>870</v>
      </c>
      <c r="G15" s="15" t="s">
        <v>871</v>
      </c>
      <c r="H15" s="4" t="s">
        <v>830</v>
      </c>
    </row>
    <row r="16" spans="1:10" ht="15.5">
      <c r="A16" s="8">
        <v>15</v>
      </c>
      <c r="B16" s="12" t="s">
        <v>109</v>
      </c>
      <c r="C16" s="12" t="s">
        <v>872</v>
      </c>
      <c r="D16" s="12" t="s">
        <v>817</v>
      </c>
      <c r="E16" s="15" t="s">
        <v>873</v>
      </c>
      <c r="F16" s="15" t="s">
        <v>874</v>
      </c>
      <c r="G16" s="15" t="s">
        <v>875</v>
      </c>
      <c r="H16" s="4" t="s">
        <v>821</v>
      </c>
    </row>
    <row r="17" spans="1:8" ht="15.5">
      <c r="A17" s="8">
        <v>16</v>
      </c>
      <c r="B17" s="12" t="s">
        <v>118</v>
      </c>
      <c r="C17" s="12" t="s">
        <v>876</v>
      </c>
      <c r="D17" s="12" t="s">
        <v>817</v>
      </c>
      <c r="E17" s="15" t="s">
        <v>877</v>
      </c>
      <c r="F17" s="15" t="s">
        <v>878</v>
      </c>
      <c r="G17" s="15" t="s">
        <v>879</v>
      </c>
      <c r="H17" s="4" t="s">
        <v>830</v>
      </c>
    </row>
    <row r="18" spans="1:8" ht="15.5">
      <c r="A18" s="8">
        <v>17</v>
      </c>
      <c r="B18" s="12" t="s">
        <v>257</v>
      </c>
      <c r="C18" s="12" t="s">
        <v>827</v>
      </c>
      <c r="D18" s="12" t="s">
        <v>817</v>
      </c>
      <c r="E18" s="15" t="s">
        <v>880</v>
      </c>
      <c r="F18" s="15" t="s">
        <v>881</v>
      </c>
      <c r="G18" s="15" t="s">
        <v>882</v>
      </c>
      <c r="H18" s="4" t="s">
        <v>826</v>
      </c>
    </row>
    <row r="19" spans="1:8" ht="15.5">
      <c r="A19" s="8">
        <v>18</v>
      </c>
      <c r="B19" s="12" t="s">
        <v>90</v>
      </c>
      <c r="C19" s="12" t="s">
        <v>883</v>
      </c>
      <c r="D19" s="12" t="s">
        <v>817</v>
      </c>
      <c r="E19" s="15" t="s">
        <v>884</v>
      </c>
      <c r="F19" s="15" t="s">
        <v>885</v>
      </c>
      <c r="G19" s="15" t="s">
        <v>886</v>
      </c>
      <c r="H19" s="4" t="s">
        <v>830</v>
      </c>
    </row>
    <row r="20" spans="1:8" ht="15.5">
      <c r="A20" s="8">
        <v>19</v>
      </c>
      <c r="B20" s="12" t="s">
        <v>484</v>
      </c>
      <c r="C20" s="12" t="s">
        <v>822</v>
      </c>
      <c r="D20" s="12" t="s">
        <v>817</v>
      </c>
      <c r="E20" s="15" t="s">
        <v>887</v>
      </c>
      <c r="F20" s="15" t="s">
        <v>888</v>
      </c>
      <c r="G20" s="15" t="s">
        <v>838</v>
      </c>
      <c r="H20" s="4" t="s">
        <v>826</v>
      </c>
    </row>
    <row r="21" spans="1:8" ht="15.5">
      <c r="A21" s="8">
        <v>20</v>
      </c>
      <c r="B21" s="12" t="s">
        <v>46</v>
      </c>
      <c r="C21" s="12" t="s">
        <v>889</v>
      </c>
      <c r="D21" s="12" t="s">
        <v>817</v>
      </c>
      <c r="E21" s="15" t="s">
        <v>890</v>
      </c>
      <c r="F21" s="15" t="s">
        <v>891</v>
      </c>
      <c r="G21" s="15" t="s">
        <v>892</v>
      </c>
      <c r="H21" s="4" t="s">
        <v>826</v>
      </c>
    </row>
    <row r="22" spans="1:8" ht="15.5">
      <c r="A22" s="8">
        <v>21</v>
      </c>
      <c r="B22" s="12" t="s">
        <v>32</v>
      </c>
      <c r="C22" s="12" t="s">
        <v>822</v>
      </c>
      <c r="D22" s="12" t="s">
        <v>835</v>
      </c>
      <c r="E22" s="15" t="s">
        <v>893</v>
      </c>
      <c r="F22" s="15" t="s">
        <v>894</v>
      </c>
      <c r="G22" s="15" t="s">
        <v>895</v>
      </c>
      <c r="H22" s="4"/>
    </row>
    <row r="23" spans="1:8" ht="15.5">
      <c r="A23" s="8">
        <v>22</v>
      </c>
      <c r="B23" s="12" t="s">
        <v>92</v>
      </c>
      <c r="C23" s="12" t="s">
        <v>822</v>
      </c>
      <c r="D23" s="12" t="s">
        <v>817</v>
      </c>
      <c r="E23" s="15" t="s">
        <v>896</v>
      </c>
      <c r="F23" s="15" t="s">
        <v>897</v>
      </c>
      <c r="G23" s="15" t="s">
        <v>898</v>
      </c>
      <c r="H23" s="4" t="s">
        <v>899</v>
      </c>
    </row>
    <row r="24" spans="1:8" ht="15.5">
      <c r="A24" s="8">
        <v>23</v>
      </c>
      <c r="B24" s="12" t="s">
        <v>315</v>
      </c>
      <c r="C24" s="12" t="s">
        <v>827</v>
      </c>
      <c r="D24" s="12" t="s">
        <v>817</v>
      </c>
      <c r="E24" s="15" t="s">
        <v>900</v>
      </c>
      <c r="F24" s="15" t="s">
        <v>901</v>
      </c>
      <c r="G24" s="15" t="s">
        <v>902</v>
      </c>
      <c r="H24" s="4" t="s">
        <v>826</v>
      </c>
    </row>
    <row r="25" spans="1:8" ht="15.5">
      <c r="A25" s="8">
        <v>24</v>
      </c>
      <c r="B25" s="12" t="s">
        <v>308</v>
      </c>
      <c r="C25" s="12" t="s">
        <v>827</v>
      </c>
      <c r="D25" s="12" t="s">
        <v>817</v>
      </c>
      <c r="E25" s="15" t="s">
        <v>903</v>
      </c>
      <c r="F25" s="15" t="s">
        <v>904</v>
      </c>
      <c r="G25" s="15" t="s">
        <v>905</v>
      </c>
      <c r="H25" s="4" t="s">
        <v>826</v>
      </c>
    </row>
    <row r="26" spans="1:8" ht="15.5">
      <c r="A26" s="8">
        <v>25</v>
      </c>
      <c r="B26" s="12" t="s">
        <v>343</v>
      </c>
      <c r="C26" s="12" t="s">
        <v>906</v>
      </c>
      <c r="D26" s="12" t="s">
        <v>817</v>
      </c>
      <c r="E26" s="15" t="s">
        <v>907</v>
      </c>
      <c r="F26" s="15" t="s">
        <v>908</v>
      </c>
      <c r="G26" s="15" t="s">
        <v>909</v>
      </c>
      <c r="H26" s="4" t="s">
        <v>826</v>
      </c>
    </row>
    <row r="27" spans="1:8" ht="15.5">
      <c r="A27" s="8">
        <v>26</v>
      </c>
      <c r="B27" s="12" t="s">
        <v>36</v>
      </c>
      <c r="C27" s="12" t="s">
        <v>910</v>
      </c>
      <c r="D27" s="12" t="s">
        <v>835</v>
      </c>
      <c r="E27" s="15" t="s">
        <v>911</v>
      </c>
      <c r="F27" s="15" t="s">
        <v>912</v>
      </c>
      <c r="G27" s="15" t="s">
        <v>913</v>
      </c>
      <c r="H27" s="4"/>
    </row>
    <row r="28" spans="1:8" ht="15.5">
      <c r="A28" s="8">
        <v>27</v>
      </c>
      <c r="B28" s="12" t="s">
        <v>233</v>
      </c>
      <c r="C28" s="12" t="s">
        <v>844</v>
      </c>
      <c r="D28" s="12" t="s">
        <v>817</v>
      </c>
      <c r="E28" s="15" t="s">
        <v>914</v>
      </c>
      <c r="F28" s="15" t="s">
        <v>915</v>
      </c>
      <c r="G28" s="15" t="s">
        <v>916</v>
      </c>
      <c r="H28" s="4" t="s">
        <v>826</v>
      </c>
    </row>
    <row r="29" spans="1:8" ht="15.5">
      <c r="A29" s="8">
        <v>28</v>
      </c>
      <c r="B29" s="12" t="s">
        <v>40</v>
      </c>
      <c r="C29" s="12" t="s">
        <v>822</v>
      </c>
      <c r="D29" s="12" t="s">
        <v>817</v>
      </c>
      <c r="E29" s="15" t="s">
        <v>917</v>
      </c>
      <c r="F29" s="15" t="s">
        <v>918</v>
      </c>
      <c r="G29" s="15" t="s">
        <v>919</v>
      </c>
      <c r="H29" s="4" t="s">
        <v>920</v>
      </c>
    </row>
    <row r="30" spans="1:8" ht="15.5">
      <c r="A30" s="8">
        <v>29</v>
      </c>
      <c r="B30" s="12" t="s">
        <v>921</v>
      </c>
      <c r="C30" s="12" t="s">
        <v>922</v>
      </c>
      <c r="D30" s="12" t="s">
        <v>835</v>
      </c>
      <c r="E30" s="15" t="s">
        <v>923</v>
      </c>
      <c r="F30" s="15" t="s">
        <v>924</v>
      </c>
      <c r="G30" s="15" t="s">
        <v>925</v>
      </c>
      <c r="H30" s="4"/>
    </row>
    <row r="31" spans="1:8" ht="15.5">
      <c r="A31" s="8">
        <v>30</v>
      </c>
      <c r="B31" s="12" t="s">
        <v>73</v>
      </c>
      <c r="C31" s="12" t="s">
        <v>926</v>
      </c>
      <c r="D31" s="12" t="s">
        <v>817</v>
      </c>
      <c r="E31" s="15" t="s">
        <v>927</v>
      </c>
      <c r="F31" s="15" t="s">
        <v>928</v>
      </c>
      <c r="G31" s="15" t="s">
        <v>929</v>
      </c>
      <c r="H31" s="4" t="s">
        <v>826</v>
      </c>
    </row>
    <row r="32" spans="1:8" ht="15.5">
      <c r="A32" s="8">
        <v>31</v>
      </c>
      <c r="B32" s="12" t="s">
        <v>930</v>
      </c>
      <c r="C32" s="12" t="s">
        <v>889</v>
      </c>
      <c r="D32" s="12" t="s">
        <v>835</v>
      </c>
      <c r="E32" s="15" t="s">
        <v>931</v>
      </c>
      <c r="F32" s="15" t="s">
        <v>932</v>
      </c>
      <c r="G32" s="15" t="s">
        <v>933</v>
      </c>
      <c r="H32" s="4"/>
    </row>
    <row r="33" spans="1:8" ht="15.5">
      <c r="A33" s="8">
        <v>32</v>
      </c>
      <c r="B33" s="12" t="s">
        <v>70</v>
      </c>
      <c r="C33" s="12" t="s">
        <v>934</v>
      </c>
      <c r="D33" s="12" t="s">
        <v>817</v>
      </c>
      <c r="E33" s="15" t="s">
        <v>935</v>
      </c>
      <c r="F33" s="15" t="s">
        <v>936</v>
      </c>
      <c r="G33" s="15" t="s">
        <v>937</v>
      </c>
      <c r="H33" s="4" t="s">
        <v>938</v>
      </c>
    </row>
    <row r="34" spans="1:8" ht="15.5">
      <c r="A34" s="8">
        <v>33</v>
      </c>
      <c r="B34" s="12" t="s">
        <v>114</v>
      </c>
      <c r="C34" s="12" t="s">
        <v>939</v>
      </c>
      <c r="D34" s="12" t="s">
        <v>817</v>
      </c>
      <c r="E34" s="15" t="s">
        <v>940</v>
      </c>
      <c r="F34" s="15" t="s">
        <v>941</v>
      </c>
      <c r="G34" s="15" t="s">
        <v>942</v>
      </c>
      <c r="H34" s="4" t="s">
        <v>830</v>
      </c>
    </row>
    <row r="35" spans="1:8" ht="15.5">
      <c r="A35" s="8">
        <v>34</v>
      </c>
      <c r="B35" s="12" t="s">
        <v>61</v>
      </c>
      <c r="C35" s="12" t="s">
        <v>943</v>
      </c>
      <c r="D35" s="12" t="s">
        <v>835</v>
      </c>
      <c r="E35" s="15" t="s">
        <v>944</v>
      </c>
      <c r="F35" s="15" t="s">
        <v>945</v>
      </c>
      <c r="G35" s="15" t="s">
        <v>946</v>
      </c>
      <c r="H35" s="4"/>
    </row>
    <row r="36" spans="1:8" ht="15.5">
      <c r="A36" s="8">
        <v>35</v>
      </c>
      <c r="B36" s="12" t="s">
        <v>69</v>
      </c>
      <c r="C36" s="12" t="s">
        <v>822</v>
      </c>
      <c r="D36" s="12" t="s">
        <v>835</v>
      </c>
      <c r="E36" s="15" t="s">
        <v>947</v>
      </c>
      <c r="F36" s="15" t="s">
        <v>948</v>
      </c>
      <c r="G36" s="15" t="s">
        <v>949</v>
      </c>
      <c r="H36" s="4"/>
    </row>
    <row r="37" spans="1:8" ht="15.5">
      <c r="A37" s="8">
        <v>36</v>
      </c>
      <c r="B37" s="12" t="s">
        <v>82</v>
      </c>
      <c r="C37" s="12" t="s">
        <v>950</v>
      </c>
      <c r="D37" s="12" t="s">
        <v>817</v>
      </c>
      <c r="E37" s="15" t="s">
        <v>951</v>
      </c>
      <c r="F37" s="15" t="s">
        <v>952</v>
      </c>
      <c r="G37" s="15" t="s">
        <v>953</v>
      </c>
      <c r="H37" s="4" t="s">
        <v>826</v>
      </c>
    </row>
    <row r="38" spans="1:8" ht="15.5">
      <c r="A38" s="8">
        <v>37</v>
      </c>
      <c r="B38" s="12" t="s">
        <v>367</v>
      </c>
      <c r="C38" s="12" t="s">
        <v>822</v>
      </c>
      <c r="D38" s="12" t="s">
        <v>817</v>
      </c>
      <c r="E38" s="15" t="s">
        <v>954</v>
      </c>
      <c r="F38" s="15" t="s">
        <v>955</v>
      </c>
      <c r="G38" s="15" t="s">
        <v>956</v>
      </c>
      <c r="H38" s="4" t="s">
        <v>826</v>
      </c>
    </row>
    <row r="39" spans="1:8" ht="15.5">
      <c r="A39" s="8">
        <v>38</v>
      </c>
      <c r="B39" s="12" t="s">
        <v>84</v>
      </c>
      <c r="C39" s="12" t="s">
        <v>939</v>
      </c>
      <c r="D39" s="12" t="s">
        <v>835</v>
      </c>
      <c r="E39" s="15" t="s">
        <v>957</v>
      </c>
      <c r="F39" s="15" t="s">
        <v>958</v>
      </c>
      <c r="G39" s="15" t="s">
        <v>959</v>
      </c>
      <c r="H39" s="4"/>
    </row>
    <row r="40" spans="1:8" ht="15.5">
      <c r="A40" s="8">
        <v>39</v>
      </c>
      <c r="B40" s="12" t="s">
        <v>59</v>
      </c>
      <c r="C40" s="12" t="s">
        <v>822</v>
      </c>
      <c r="D40" s="12" t="s">
        <v>835</v>
      </c>
      <c r="E40" s="15" t="s">
        <v>960</v>
      </c>
      <c r="F40" s="15" t="s">
        <v>961</v>
      </c>
      <c r="G40" s="15" t="s">
        <v>962</v>
      </c>
      <c r="H40" s="4"/>
    </row>
    <row r="41" spans="1:8" ht="15.5">
      <c r="A41" s="8">
        <v>40</v>
      </c>
      <c r="B41" s="12" t="s">
        <v>963</v>
      </c>
      <c r="C41" s="12" t="s">
        <v>858</v>
      </c>
      <c r="D41" s="12" t="s">
        <v>835</v>
      </c>
      <c r="E41" s="15" t="s">
        <v>964</v>
      </c>
      <c r="F41" s="15" t="s">
        <v>965</v>
      </c>
      <c r="G41" s="15" t="s">
        <v>966</v>
      </c>
      <c r="H41" s="4"/>
    </row>
    <row r="42" spans="1:8" ht="15.5">
      <c r="A42" s="8">
        <v>41</v>
      </c>
      <c r="B42" s="12" t="s">
        <v>967</v>
      </c>
      <c r="C42" s="12" t="s">
        <v>862</v>
      </c>
      <c r="D42" s="12" t="s">
        <v>835</v>
      </c>
      <c r="E42" s="15" t="s">
        <v>968</v>
      </c>
      <c r="F42" s="15" t="s">
        <v>969</v>
      </c>
      <c r="G42" s="15" t="s">
        <v>970</v>
      </c>
      <c r="H42" s="4"/>
    </row>
    <row r="43" spans="1:8" ht="15.5">
      <c r="A43" s="8">
        <v>42</v>
      </c>
      <c r="B43" s="12" t="s">
        <v>116</v>
      </c>
      <c r="C43" s="12" t="s">
        <v>971</v>
      </c>
      <c r="D43" s="12" t="s">
        <v>817</v>
      </c>
      <c r="E43" s="15" t="s">
        <v>972</v>
      </c>
      <c r="F43" s="15" t="s">
        <v>973</v>
      </c>
      <c r="G43" s="15" t="s">
        <v>974</v>
      </c>
      <c r="H43" s="4" t="s">
        <v>826</v>
      </c>
    </row>
    <row r="44" spans="1:8" ht="15.5">
      <c r="A44" s="8">
        <v>43</v>
      </c>
      <c r="B44" s="12" t="s">
        <v>31</v>
      </c>
      <c r="C44" s="12" t="s">
        <v>822</v>
      </c>
      <c r="D44" s="12" t="s">
        <v>835</v>
      </c>
      <c r="E44" s="15" t="s">
        <v>975</v>
      </c>
      <c r="F44" s="15" t="s">
        <v>976</v>
      </c>
      <c r="G44" s="15" t="s">
        <v>977</v>
      </c>
      <c r="H44" s="4"/>
    </row>
    <row r="45" spans="1:8" ht="15.5">
      <c r="A45" s="8">
        <v>44</v>
      </c>
      <c r="B45" s="12" t="s">
        <v>978</v>
      </c>
      <c r="C45" s="12" t="s">
        <v>979</v>
      </c>
      <c r="D45" s="12" t="s">
        <v>835</v>
      </c>
      <c r="E45" s="15" t="s">
        <v>980</v>
      </c>
      <c r="F45" s="15" t="s">
        <v>981</v>
      </c>
      <c r="G45" s="15" t="s">
        <v>982</v>
      </c>
      <c r="H45" s="4"/>
    </row>
    <row r="46" spans="1:8" ht="15.5">
      <c r="A46" s="8">
        <v>45</v>
      </c>
      <c r="B46" s="12" t="s">
        <v>389</v>
      </c>
      <c r="C46" s="12" t="s">
        <v>840</v>
      </c>
      <c r="D46" s="12" t="s">
        <v>817</v>
      </c>
      <c r="E46" s="15" t="s">
        <v>983</v>
      </c>
      <c r="F46" s="15" t="s">
        <v>984</v>
      </c>
      <c r="G46" s="15" t="s">
        <v>985</v>
      </c>
      <c r="H46" s="4" t="s">
        <v>821</v>
      </c>
    </row>
    <row r="47" spans="1:8" ht="15.5">
      <c r="A47" s="8">
        <v>46</v>
      </c>
      <c r="B47" s="12" t="s">
        <v>986</v>
      </c>
      <c r="C47" s="12" t="s">
        <v>851</v>
      </c>
      <c r="D47" s="12" t="s">
        <v>835</v>
      </c>
      <c r="E47" s="15" t="s">
        <v>987</v>
      </c>
      <c r="F47" s="15" t="s">
        <v>988</v>
      </c>
      <c r="G47" s="15" t="s">
        <v>989</v>
      </c>
      <c r="H47" s="4"/>
    </row>
    <row r="48" spans="1:8" ht="15.5">
      <c r="A48" s="8">
        <v>47</v>
      </c>
      <c r="B48" s="12" t="s">
        <v>349</v>
      </c>
      <c r="C48" s="12" t="s">
        <v>943</v>
      </c>
      <c r="D48" s="12" t="s">
        <v>817</v>
      </c>
      <c r="E48" s="15" t="s">
        <v>990</v>
      </c>
      <c r="F48" s="15" t="s">
        <v>991</v>
      </c>
      <c r="G48" s="15" t="s">
        <v>992</v>
      </c>
      <c r="H48" s="4" t="s">
        <v>899</v>
      </c>
    </row>
    <row r="49" spans="1:8" ht="15.5">
      <c r="A49" s="8">
        <v>48</v>
      </c>
      <c r="B49" s="12" t="s">
        <v>365</v>
      </c>
      <c r="C49" s="12" t="s">
        <v>889</v>
      </c>
      <c r="D49" s="12" t="s">
        <v>817</v>
      </c>
      <c r="E49" s="15" t="s">
        <v>993</v>
      </c>
      <c r="F49" s="15" t="s">
        <v>994</v>
      </c>
      <c r="G49" s="15" t="s">
        <v>995</v>
      </c>
      <c r="H49" s="4" t="s">
        <v>830</v>
      </c>
    </row>
    <row r="50" spans="1:8" ht="15.5">
      <c r="A50" s="8">
        <v>49</v>
      </c>
      <c r="B50" s="12" t="s">
        <v>34</v>
      </c>
      <c r="C50" s="12" t="s">
        <v>840</v>
      </c>
      <c r="D50" s="12" t="s">
        <v>817</v>
      </c>
      <c r="E50" s="15" t="s">
        <v>996</v>
      </c>
      <c r="F50" s="15" t="s">
        <v>997</v>
      </c>
      <c r="G50" s="15" t="s">
        <v>998</v>
      </c>
      <c r="H50" s="4" t="s">
        <v>938</v>
      </c>
    </row>
    <row r="51" spans="1:8" ht="15.5">
      <c r="A51" s="8">
        <v>50</v>
      </c>
      <c r="B51" s="12" t="s">
        <v>999</v>
      </c>
      <c r="C51" s="12" t="s">
        <v>1000</v>
      </c>
      <c r="D51" s="12" t="s">
        <v>835</v>
      </c>
      <c r="E51" s="15" t="s">
        <v>1001</v>
      </c>
      <c r="F51" s="15" t="s">
        <v>1002</v>
      </c>
      <c r="G51" s="15" t="s">
        <v>1003</v>
      </c>
    </row>
    <row r="52" spans="1:8" ht="15.5">
      <c r="A52" s="8">
        <v>51</v>
      </c>
      <c r="B52" s="12" t="s">
        <v>252</v>
      </c>
      <c r="C52" s="12" t="s">
        <v>1004</v>
      </c>
      <c r="D52" s="12" t="s">
        <v>817</v>
      </c>
      <c r="E52" s="15" t="s">
        <v>1005</v>
      </c>
      <c r="F52" s="15" t="s">
        <v>1006</v>
      </c>
      <c r="G52" s="15" t="s">
        <v>1007</v>
      </c>
      <c r="H52" s="4" t="s">
        <v>821</v>
      </c>
    </row>
    <row r="53" spans="1:8" ht="15.5">
      <c r="A53" s="8">
        <v>52</v>
      </c>
      <c r="B53" s="12" t="s">
        <v>75</v>
      </c>
      <c r="C53" s="12" t="s">
        <v>827</v>
      </c>
      <c r="D53" s="12" t="s">
        <v>817</v>
      </c>
      <c r="E53" s="15" t="s">
        <v>1008</v>
      </c>
      <c r="F53" s="15" t="s">
        <v>1009</v>
      </c>
      <c r="G53" s="15" t="s">
        <v>1010</v>
      </c>
      <c r="H53" s="4" t="s">
        <v>899</v>
      </c>
    </row>
    <row r="54" spans="1:8" ht="15.5">
      <c r="A54" s="8">
        <v>53</v>
      </c>
      <c r="B54" s="12" t="s">
        <v>62</v>
      </c>
      <c r="C54" s="12" t="s">
        <v>827</v>
      </c>
      <c r="D54" s="12" t="s">
        <v>817</v>
      </c>
      <c r="E54" s="15" t="s">
        <v>1011</v>
      </c>
      <c r="F54" s="15" t="s">
        <v>1012</v>
      </c>
      <c r="G54" s="15" t="s">
        <v>1010</v>
      </c>
      <c r="H54" s="4" t="s">
        <v>938</v>
      </c>
    </row>
    <row r="55" spans="1:8" ht="15.5">
      <c r="A55" s="8">
        <v>54</v>
      </c>
      <c r="B55" s="12" t="s">
        <v>279</v>
      </c>
      <c r="C55" s="12" t="s">
        <v>831</v>
      </c>
      <c r="D55" s="12" t="s">
        <v>817</v>
      </c>
      <c r="E55" s="15" t="s">
        <v>1013</v>
      </c>
      <c r="F55" s="15" t="s">
        <v>1014</v>
      </c>
      <c r="G55" s="15" t="s">
        <v>1015</v>
      </c>
      <c r="H55" s="4" t="s">
        <v>899</v>
      </c>
    </row>
    <row r="56" spans="1:8" ht="15.5">
      <c r="A56" s="8">
        <v>55</v>
      </c>
      <c r="B56" s="12" t="s">
        <v>1016</v>
      </c>
      <c r="C56" s="12" t="s">
        <v>943</v>
      </c>
      <c r="D56" s="12" t="s">
        <v>835</v>
      </c>
      <c r="E56" s="15" t="s">
        <v>1017</v>
      </c>
      <c r="F56" s="15" t="s">
        <v>1018</v>
      </c>
      <c r="G56" s="15" t="s">
        <v>1019</v>
      </c>
      <c r="H56" s="4"/>
    </row>
    <row r="57" spans="1:8" ht="15.5">
      <c r="A57" s="8">
        <v>56</v>
      </c>
      <c r="B57" s="12" t="s">
        <v>380</v>
      </c>
      <c r="C57" s="12" t="s">
        <v>840</v>
      </c>
      <c r="D57" s="12" t="s">
        <v>817</v>
      </c>
      <c r="E57" s="15" t="s">
        <v>1020</v>
      </c>
      <c r="F57" s="15" t="s">
        <v>1021</v>
      </c>
      <c r="G57" s="15" t="s">
        <v>1022</v>
      </c>
      <c r="H57" s="4" t="s">
        <v>821</v>
      </c>
    </row>
    <row r="58" spans="1:8" ht="15.5">
      <c r="A58" s="8">
        <v>57</v>
      </c>
      <c r="B58" s="12" t="s">
        <v>217</v>
      </c>
      <c r="C58" s="12" t="s">
        <v>822</v>
      </c>
      <c r="D58" s="12" t="s">
        <v>835</v>
      </c>
      <c r="E58" s="15" t="s">
        <v>1023</v>
      </c>
      <c r="F58" s="15" t="s">
        <v>1024</v>
      </c>
      <c r="G58" s="15" t="s">
        <v>1025</v>
      </c>
      <c r="H58" s="4"/>
    </row>
    <row r="59" spans="1:8" ht="15.5">
      <c r="A59" s="8">
        <v>58</v>
      </c>
      <c r="B59" s="12" t="s">
        <v>44</v>
      </c>
      <c r="C59" s="12" t="s">
        <v>844</v>
      </c>
      <c r="D59" s="12" t="s">
        <v>817</v>
      </c>
      <c r="E59" s="15" t="s">
        <v>1026</v>
      </c>
      <c r="F59" s="15" t="s">
        <v>1027</v>
      </c>
      <c r="G59" s="15" t="s">
        <v>1028</v>
      </c>
      <c r="H59" s="4" t="s">
        <v>826</v>
      </c>
    </row>
    <row r="60" spans="1:8" ht="15.5">
      <c r="A60" s="8">
        <v>59</v>
      </c>
      <c r="B60" s="12" t="s">
        <v>142</v>
      </c>
      <c r="C60" s="12" t="s">
        <v>827</v>
      </c>
      <c r="D60" s="12" t="s">
        <v>817</v>
      </c>
      <c r="E60" s="15" t="s">
        <v>1029</v>
      </c>
      <c r="F60" s="15" t="s">
        <v>1030</v>
      </c>
      <c r="G60" s="15" t="s">
        <v>1031</v>
      </c>
      <c r="H60" s="4" t="s">
        <v>899</v>
      </c>
    </row>
    <row r="61" spans="1:8" ht="15.5">
      <c r="A61" s="8">
        <v>60</v>
      </c>
      <c r="B61" s="12" t="s">
        <v>471</v>
      </c>
      <c r="C61" s="12" t="s">
        <v>844</v>
      </c>
      <c r="D61" s="12" t="s">
        <v>817</v>
      </c>
      <c r="E61" s="15" t="s">
        <v>1032</v>
      </c>
      <c r="F61" s="15" t="s">
        <v>1033</v>
      </c>
      <c r="G61" s="15" t="s">
        <v>1034</v>
      </c>
      <c r="H61" s="4" t="s">
        <v>920</v>
      </c>
    </row>
    <row r="62" spans="1:8" ht="15.5">
      <c r="A62" s="8">
        <v>61</v>
      </c>
      <c r="B62" s="12" t="s">
        <v>225</v>
      </c>
      <c r="C62" s="12" t="s">
        <v>822</v>
      </c>
      <c r="D62" s="12" t="s">
        <v>817</v>
      </c>
      <c r="E62" s="15" t="s">
        <v>1035</v>
      </c>
      <c r="F62" s="15" t="s">
        <v>1036</v>
      </c>
      <c r="G62" s="15" t="s">
        <v>1037</v>
      </c>
      <c r="H62" s="4" t="s">
        <v>938</v>
      </c>
    </row>
    <row r="63" spans="1:8" ht="15.5">
      <c r="A63" s="8">
        <v>62</v>
      </c>
      <c r="B63" s="12" t="s">
        <v>86</v>
      </c>
      <c r="C63" s="12" t="s">
        <v>939</v>
      </c>
      <c r="D63" s="12" t="s">
        <v>835</v>
      </c>
      <c r="E63" s="15" t="s">
        <v>1038</v>
      </c>
      <c r="F63" s="15" t="s">
        <v>1039</v>
      </c>
      <c r="G63" s="15" t="s">
        <v>1040</v>
      </c>
      <c r="H63" s="4"/>
    </row>
    <row r="64" spans="1:8" ht="15.5">
      <c r="A64" s="8">
        <v>63</v>
      </c>
      <c r="B64" s="12" t="s">
        <v>29</v>
      </c>
      <c r="C64" s="12" t="s">
        <v>971</v>
      </c>
      <c r="D64" s="12" t="s">
        <v>835</v>
      </c>
      <c r="E64" s="15" t="s">
        <v>1041</v>
      </c>
      <c r="F64" s="15" t="s">
        <v>1042</v>
      </c>
      <c r="G64" s="15" t="s">
        <v>1043</v>
      </c>
      <c r="H64" s="4"/>
    </row>
    <row r="65" spans="1:8" ht="15.5">
      <c r="A65" s="8">
        <v>64</v>
      </c>
      <c r="B65" s="12" t="s">
        <v>245</v>
      </c>
      <c r="C65" s="12" t="s">
        <v>844</v>
      </c>
      <c r="D65" s="12" t="s">
        <v>817</v>
      </c>
      <c r="E65" s="15" t="s">
        <v>1044</v>
      </c>
      <c r="F65" s="15" t="s">
        <v>1045</v>
      </c>
      <c r="G65" s="15" t="s">
        <v>1046</v>
      </c>
      <c r="H65" s="4" t="s">
        <v>899</v>
      </c>
    </row>
    <row r="66" spans="1:8" ht="15.5">
      <c r="A66" s="8">
        <v>65</v>
      </c>
      <c r="B66" s="12" t="s">
        <v>108</v>
      </c>
      <c r="C66" s="12" t="s">
        <v>910</v>
      </c>
      <c r="D66" s="12" t="s">
        <v>835</v>
      </c>
      <c r="E66" s="15" t="s">
        <v>1047</v>
      </c>
      <c r="F66" s="15" t="s">
        <v>1048</v>
      </c>
      <c r="G66" s="15" t="s">
        <v>1049</v>
      </c>
      <c r="H66" s="4"/>
    </row>
    <row r="67" spans="1:8" ht="15.5">
      <c r="A67" s="8">
        <v>66</v>
      </c>
      <c r="B67" s="12" t="s">
        <v>386</v>
      </c>
      <c r="C67" s="12" t="s">
        <v>840</v>
      </c>
      <c r="D67" s="12" t="s">
        <v>817</v>
      </c>
      <c r="E67" s="15" t="s">
        <v>1050</v>
      </c>
      <c r="F67" s="15" t="s">
        <v>1051</v>
      </c>
      <c r="G67" s="15" t="s">
        <v>1052</v>
      </c>
      <c r="H67" s="4" t="s">
        <v>826</v>
      </c>
    </row>
    <row r="68" spans="1:8" ht="15.5">
      <c r="A68" s="8">
        <v>67</v>
      </c>
      <c r="B68" s="12" t="s">
        <v>100</v>
      </c>
      <c r="C68" s="12" t="s">
        <v>934</v>
      </c>
      <c r="D68" s="12" t="s">
        <v>817</v>
      </c>
      <c r="E68" s="15" t="s">
        <v>1053</v>
      </c>
      <c r="F68" s="15" t="s">
        <v>1054</v>
      </c>
      <c r="G68" s="15" t="s">
        <v>1055</v>
      </c>
      <c r="H68" s="4" t="s">
        <v>920</v>
      </c>
    </row>
    <row r="69" spans="1:8" ht="15.5">
      <c r="A69" s="8">
        <v>68</v>
      </c>
      <c r="B69" s="12" t="s">
        <v>1056</v>
      </c>
      <c r="C69" s="12" t="s">
        <v>889</v>
      </c>
      <c r="D69" s="12" t="s">
        <v>835</v>
      </c>
      <c r="E69" s="15" t="s">
        <v>1057</v>
      </c>
      <c r="F69" s="15" t="s">
        <v>1058</v>
      </c>
      <c r="G69" s="15" t="s">
        <v>1059</v>
      </c>
      <c r="H69" s="4"/>
    </row>
    <row r="70" spans="1:8" ht="15.5">
      <c r="A70" s="8">
        <v>69</v>
      </c>
      <c r="B70" s="12" t="s">
        <v>1060</v>
      </c>
      <c r="C70" s="12" t="s">
        <v>827</v>
      </c>
      <c r="D70" s="12" t="s">
        <v>817</v>
      </c>
      <c r="E70" s="15" t="s">
        <v>1061</v>
      </c>
      <c r="F70" s="15" t="s">
        <v>1062</v>
      </c>
      <c r="G70" s="15"/>
      <c r="H70" s="4"/>
    </row>
    <row r="71" spans="1:8" ht="15.5">
      <c r="A71" s="8">
        <v>70</v>
      </c>
      <c r="B71" s="12" t="s">
        <v>1063</v>
      </c>
      <c r="C71" s="12" t="s">
        <v>851</v>
      </c>
      <c r="D71" s="12" t="s">
        <v>835</v>
      </c>
      <c r="E71" s="15" t="s">
        <v>1064</v>
      </c>
      <c r="F71" s="15" t="s">
        <v>1065</v>
      </c>
      <c r="G71" s="15" t="s">
        <v>1066</v>
      </c>
      <c r="H71" s="4"/>
    </row>
    <row r="72" spans="1:8" ht="15.5">
      <c r="A72" s="8">
        <v>71</v>
      </c>
      <c r="B72" s="12" t="s">
        <v>1067</v>
      </c>
      <c r="C72" s="12" t="s">
        <v>831</v>
      </c>
      <c r="D72" s="12" t="s">
        <v>817</v>
      </c>
      <c r="E72" s="15" t="s">
        <v>1068</v>
      </c>
      <c r="F72" s="15" t="s">
        <v>1069</v>
      </c>
      <c r="G72" s="15" t="s">
        <v>1070</v>
      </c>
      <c r="H72" s="4" t="s">
        <v>821</v>
      </c>
    </row>
    <row r="73" spans="1:8" ht="15.5">
      <c r="A73" s="8">
        <v>72</v>
      </c>
      <c r="B73" s="12" t="s">
        <v>411</v>
      </c>
      <c r="C73" s="12" t="s">
        <v>844</v>
      </c>
      <c r="D73" s="12" t="s">
        <v>817</v>
      </c>
      <c r="E73" s="15" t="s">
        <v>1071</v>
      </c>
      <c r="F73" s="15" t="s">
        <v>1072</v>
      </c>
      <c r="G73" s="15" t="s">
        <v>1073</v>
      </c>
      <c r="H73" s="4" t="s">
        <v>899</v>
      </c>
    </row>
    <row r="74" spans="1:8" ht="15.5">
      <c r="A74" s="8">
        <v>73</v>
      </c>
      <c r="B74" s="12" t="s">
        <v>133</v>
      </c>
      <c r="C74" s="12" t="s">
        <v>827</v>
      </c>
      <c r="D74" s="12" t="s">
        <v>817</v>
      </c>
      <c r="E74" s="15" t="s">
        <v>1074</v>
      </c>
      <c r="F74" s="15" t="s">
        <v>1075</v>
      </c>
      <c r="G74" s="15" t="s">
        <v>1076</v>
      </c>
      <c r="H74" s="4" t="s">
        <v>821</v>
      </c>
    </row>
    <row r="75" spans="1:8" ht="15.5">
      <c r="A75" s="8">
        <v>74</v>
      </c>
      <c r="B75" s="12" t="s">
        <v>1077</v>
      </c>
      <c r="C75" s="12" t="s">
        <v>840</v>
      </c>
      <c r="D75" s="12" t="s">
        <v>835</v>
      </c>
      <c r="E75" s="15" t="s">
        <v>1078</v>
      </c>
      <c r="F75" s="15" t="s">
        <v>1079</v>
      </c>
      <c r="G75" s="15" t="s">
        <v>1080</v>
      </c>
      <c r="H75" s="4"/>
    </row>
    <row r="76" spans="1:8" ht="15.5">
      <c r="A76" s="8">
        <v>75</v>
      </c>
      <c r="B76" s="12" t="s">
        <v>1081</v>
      </c>
      <c r="C76" s="12" t="s">
        <v>1082</v>
      </c>
      <c r="D76" s="12" t="s">
        <v>835</v>
      </c>
      <c r="E76" s="15" t="s">
        <v>1083</v>
      </c>
      <c r="F76" s="15" t="s">
        <v>1084</v>
      </c>
      <c r="G76" s="15" t="s">
        <v>1085</v>
      </c>
      <c r="H76" s="4"/>
    </row>
    <row r="77" spans="1:8" ht="15.5">
      <c r="A77" s="8">
        <v>76</v>
      </c>
      <c r="B77" s="12" t="s">
        <v>1086</v>
      </c>
      <c r="C77" s="12" t="s">
        <v>840</v>
      </c>
      <c r="D77" s="12" t="s">
        <v>835</v>
      </c>
      <c r="E77" s="15" t="s">
        <v>1087</v>
      </c>
      <c r="F77" s="15" t="s">
        <v>1088</v>
      </c>
      <c r="G77" s="15" t="s">
        <v>1089</v>
      </c>
      <c r="H77" s="4"/>
    </row>
    <row r="78" spans="1:8" ht="15.5">
      <c r="A78" s="8">
        <v>77</v>
      </c>
      <c r="B78" s="12" t="s">
        <v>148</v>
      </c>
      <c r="C78" s="12" t="s">
        <v>822</v>
      </c>
      <c r="D78" s="12" t="s">
        <v>835</v>
      </c>
      <c r="E78" s="15" t="s">
        <v>1090</v>
      </c>
      <c r="F78" s="15" t="s">
        <v>1091</v>
      </c>
      <c r="G78" s="15" t="s">
        <v>1092</v>
      </c>
      <c r="H78" s="4"/>
    </row>
    <row r="79" spans="1:8" ht="15.5">
      <c r="A79" s="8">
        <v>78</v>
      </c>
      <c r="B79" s="12" t="s">
        <v>1093</v>
      </c>
      <c r="C79" s="12" t="s">
        <v>840</v>
      </c>
      <c r="D79" s="12" t="s">
        <v>817</v>
      </c>
      <c r="E79" s="15" t="s">
        <v>1094</v>
      </c>
      <c r="F79" s="15" t="s">
        <v>1095</v>
      </c>
      <c r="G79" s="15" t="s">
        <v>1096</v>
      </c>
      <c r="H79" s="4" t="s">
        <v>826</v>
      </c>
    </row>
    <row r="80" spans="1:8" ht="15.5">
      <c r="A80" s="8">
        <v>79</v>
      </c>
      <c r="B80" s="12" t="s">
        <v>1097</v>
      </c>
      <c r="C80" s="12" t="s">
        <v>816</v>
      </c>
      <c r="D80" s="12" t="s">
        <v>835</v>
      </c>
      <c r="E80" s="15" t="s">
        <v>1098</v>
      </c>
      <c r="F80" s="15" t="s">
        <v>1099</v>
      </c>
      <c r="G80" s="15" t="s">
        <v>1100</v>
      </c>
      <c r="H80" s="4"/>
    </row>
    <row r="81" spans="1:8" ht="15.5">
      <c r="A81" s="8">
        <v>80</v>
      </c>
      <c r="B81" s="12" t="s">
        <v>399</v>
      </c>
      <c r="C81" s="12" t="s">
        <v>906</v>
      </c>
      <c r="D81" s="12" t="s">
        <v>817</v>
      </c>
      <c r="E81" s="15" t="s">
        <v>1101</v>
      </c>
      <c r="F81" s="15" t="s">
        <v>1102</v>
      </c>
      <c r="G81" s="15" t="s">
        <v>1103</v>
      </c>
      <c r="H81" s="4" t="s">
        <v>899</v>
      </c>
    </row>
    <row r="82" spans="1:8" ht="15.5">
      <c r="A82" s="8">
        <v>81</v>
      </c>
      <c r="B82" s="12" t="s">
        <v>396</v>
      </c>
      <c r="C82" s="12" t="s">
        <v>1104</v>
      </c>
      <c r="D82" s="12" t="s">
        <v>817</v>
      </c>
      <c r="E82" s="15" t="s">
        <v>1105</v>
      </c>
      <c r="F82" s="15" t="s">
        <v>1106</v>
      </c>
      <c r="G82" s="15" t="s">
        <v>1107</v>
      </c>
      <c r="H82" s="4" t="s">
        <v>830</v>
      </c>
    </row>
    <row r="83" spans="1:8" ht="15.5">
      <c r="A83" s="8">
        <v>82</v>
      </c>
      <c r="B83" s="12" t="s">
        <v>1108</v>
      </c>
      <c r="C83" s="12" t="s">
        <v>910</v>
      </c>
      <c r="D83" s="12" t="s">
        <v>817</v>
      </c>
      <c r="E83" s="15" t="s">
        <v>1109</v>
      </c>
      <c r="F83" s="15" t="s">
        <v>1110</v>
      </c>
      <c r="G83" s="15" t="s">
        <v>1111</v>
      </c>
      <c r="H83" s="4" t="s">
        <v>899</v>
      </c>
    </row>
    <row r="84" spans="1:8" ht="15.5">
      <c r="A84" s="8">
        <v>83</v>
      </c>
      <c r="B84" s="12" t="s">
        <v>1112</v>
      </c>
      <c r="C84" s="12" t="s">
        <v>943</v>
      </c>
      <c r="D84" s="12" t="s">
        <v>835</v>
      </c>
      <c r="E84" s="15" t="s">
        <v>1113</v>
      </c>
      <c r="F84" s="15" t="s">
        <v>1114</v>
      </c>
      <c r="G84" s="15" t="s">
        <v>1115</v>
      </c>
      <c r="H84" s="4"/>
    </row>
    <row r="85" spans="1:8" ht="15.5">
      <c r="A85" s="8">
        <v>84</v>
      </c>
      <c r="B85" s="12" t="s">
        <v>1116</v>
      </c>
      <c r="C85" s="12" t="s">
        <v>840</v>
      </c>
      <c r="D85" s="12" t="s">
        <v>835</v>
      </c>
      <c r="E85" s="15" t="s">
        <v>1117</v>
      </c>
      <c r="F85" s="15" t="s">
        <v>1118</v>
      </c>
      <c r="G85" s="15" t="s">
        <v>1119</v>
      </c>
      <c r="H85" s="4"/>
    </row>
    <row r="86" spans="1:8" ht="15.5">
      <c r="A86" s="8">
        <v>85</v>
      </c>
      <c r="B86" s="12" t="s">
        <v>120</v>
      </c>
      <c r="C86" s="12" t="s">
        <v>831</v>
      </c>
      <c r="D86" s="12" t="s">
        <v>835</v>
      </c>
      <c r="E86" s="15" t="s">
        <v>1120</v>
      </c>
      <c r="F86" s="15" t="s">
        <v>1121</v>
      </c>
      <c r="G86" s="15" t="s">
        <v>1122</v>
      </c>
      <c r="H86" s="4"/>
    </row>
    <row r="87" spans="1:8" ht="15.5">
      <c r="A87" s="8">
        <v>86</v>
      </c>
      <c r="B87" s="12" t="s">
        <v>1123</v>
      </c>
      <c r="C87" s="12" t="s">
        <v>1124</v>
      </c>
      <c r="D87" s="12" t="s">
        <v>835</v>
      </c>
      <c r="E87" s="15" t="s">
        <v>1125</v>
      </c>
      <c r="F87" s="15" t="s">
        <v>1126</v>
      </c>
      <c r="G87" s="15" t="s">
        <v>1127</v>
      </c>
      <c r="H87" s="4"/>
    </row>
    <row r="88" spans="1:8" ht="15.5">
      <c r="A88" s="8">
        <v>87</v>
      </c>
      <c r="B88" s="12" t="s">
        <v>271</v>
      </c>
      <c r="C88" s="12" t="s">
        <v>844</v>
      </c>
      <c r="D88" s="12" t="s">
        <v>817</v>
      </c>
      <c r="E88" s="15" t="s">
        <v>1128</v>
      </c>
      <c r="F88" s="15" t="s">
        <v>1129</v>
      </c>
      <c r="G88" s="15" t="s">
        <v>1130</v>
      </c>
      <c r="H88" s="4" t="s">
        <v>830</v>
      </c>
    </row>
    <row r="89" spans="1:8" ht="15.5">
      <c r="A89" s="8">
        <v>88</v>
      </c>
      <c r="B89" s="12" t="s">
        <v>236</v>
      </c>
      <c r="C89" s="12" t="s">
        <v>889</v>
      </c>
      <c r="D89" s="12" t="s">
        <v>817</v>
      </c>
      <c r="E89" s="15" t="s">
        <v>1131</v>
      </c>
      <c r="F89" s="15" t="s">
        <v>1132</v>
      </c>
      <c r="G89" s="15" t="s">
        <v>1133</v>
      </c>
      <c r="H89" s="4" t="s">
        <v>830</v>
      </c>
    </row>
    <row r="90" spans="1:8" ht="15.5">
      <c r="A90" s="8">
        <v>89</v>
      </c>
      <c r="B90" s="12" t="s">
        <v>248</v>
      </c>
      <c r="C90" s="12" t="s">
        <v>822</v>
      </c>
      <c r="D90" s="12" t="s">
        <v>835</v>
      </c>
      <c r="E90" s="15" t="s">
        <v>1134</v>
      </c>
      <c r="F90" s="15" t="s">
        <v>1135</v>
      </c>
      <c r="G90" s="15" t="s">
        <v>1136</v>
      </c>
      <c r="H90" s="4"/>
    </row>
    <row r="91" spans="1:8" ht="15.5">
      <c r="A91" s="8">
        <v>90</v>
      </c>
      <c r="B91" s="12" t="s">
        <v>38</v>
      </c>
      <c r="C91" s="12" t="s">
        <v>922</v>
      </c>
      <c r="D91" s="12" t="s">
        <v>835</v>
      </c>
      <c r="E91" s="15" t="s">
        <v>1137</v>
      </c>
      <c r="F91" s="15" t="s">
        <v>1138</v>
      </c>
      <c r="G91" s="15" t="s">
        <v>1139</v>
      </c>
      <c r="H91" s="4"/>
    </row>
    <row r="92" spans="1:8" ht="15.5">
      <c r="A92" s="8">
        <v>91</v>
      </c>
      <c r="B92" s="12" t="s">
        <v>88</v>
      </c>
      <c r="C92" s="12" t="s">
        <v>840</v>
      </c>
      <c r="D92" s="12" t="s">
        <v>817</v>
      </c>
      <c r="E92" s="15" t="s">
        <v>1140</v>
      </c>
      <c r="F92" s="15" t="s">
        <v>1141</v>
      </c>
      <c r="G92" s="15" t="s">
        <v>1142</v>
      </c>
      <c r="H92" s="4" t="s">
        <v>920</v>
      </c>
    </row>
    <row r="93" spans="1:8" ht="15.5">
      <c r="A93" s="8">
        <v>92</v>
      </c>
      <c r="B93" s="12" t="s">
        <v>1143</v>
      </c>
      <c r="C93" s="12" t="s">
        <v>971</v>
      </c>
      <c r="D93" s="12" t="s">
        <v>835</v>
      </c>
      <c r="E93" s="15" t="s">
        <v>1144</v>
      </c>
      <c r="F93" s="15" t="s">
        <v>1145</v>
      </c>
      <c r="G93" s="15" t="s">
        <v>1146</v>
      </c>
      <c r="H93" s="4"/>
    </row>
    <row r="94" spans="1:8" ht="15.5">
      <c r="A94" s="8">
        <v>93</v>
      </c>
      <c r="B94" s="12" t="s">
        <v>307</v>
      </c>
      <c r="C94" s="12" t="s">
        <v>844</v>
      </c>
      <c r="D94" s="12" t="s">
        <v>817</v>
      </c>
      <c r="E94" s="15" t="s">
        <v>1147</v>
      </c>
      <c r="F94" s="15" t="s">
        <v>1148</v>
      </c>
      <c r="G94" s="15" t="s">
        <v>1149</v>
      </c>
      <c r="H94" s="4" t="s">
        <v>899</v>
      </c>
    </row>
    <row r="95" spans="1:8" ht="15.5">
      <c r="A95" s="8">
        <v>94</v>
      </c>
      <c r="B95" s="12" t="s">
        <v>1150</v>
      </c>
      <c r="C95" s="12" t="s">
        <v>950</v>
      </c>
      <c r="D95" s="12" t="s">
        <v>835</v>
      </c>
      <c r="E95" s="15" t="s">
        <v>1151</v>
      </c>
      <c r="F95" s="15" t="s">
        <v>1152</v>
      </c>
      <c r="G95" s="15" t="s">
        <v>1153</v>
      </c>
      <c r="H95" s="4"/>
    </row>
    <row r="96" spans="1:8" ht="15.5">
      <c r="A96" s="8">
        <v>95</v>
      </c>
      <c r="B96" s="12" t="s">
        <v>1154</v>
      </c>
      <c r="C96" s="12" t="s">
        <v>851</v>
      </c>
      <c r="D96" s="12" t="s">
        <v>817</v>
      </c>
      <c r="E96" s="15" t="s">
        <v>1155</v>
      </c>
      <c r="F96" s="15" t="s">
        <v>1156</v>
      </c>
      <c r="G96" s="15" t="s">
        <v>1157</v>
      </c>
      <c r="H96" s="4" t="s">
        <v>830</v>
      </c>
    </row>
    <row r="97" spans="1:8" ht="15.5">
      <c r="A97" s="8">
        <v>96</v>
      </c>
      <c r="B97" s="12" t="s">
        <v>370</v>
      </c>
      <c r="C97" s="12" t="s">
        <v>827</v>
      </c>
      <c r="D97" s="12" t="s">
        <v>817</v>
      </c>
      <c r="E97" s="15" t="s">
        <v>1158</v>
      </c>
      <c r="F97" s="15" t="s">
        <v>1159</v>
      </c>
      <c r="G97" s="15" t="s">
        <v>1160</v>
      </c>
      <c r="H97" s="4" t="s">
        <v>899</v>
      </c>
    </row>
    <row r="98" spans="1:8" ht="15.5">
      <c r="A98" s="8">
        <v>97</v>
      </c>
      <c r="B98" s="12" t="s">
        <v>127</v>
      </c>
      <c r="C98" s="12" t="s">
        <v>822</v>
      </c>
      <c r="D98" s="12" t="s">
        <v>835</v>
      </c>
      <c r="E98" s="15" t="s">
        <v>1161</v>
      </c>
      <c r="F98" s="15" t="s">
        <v>1162</v>
      </c>
      <c r="G98" s="15" t="s">
        <v>1163</v>
      </c>
      <c r="H98" s="4"/>
    </row>
    <row r="99" spans="1:8" ht="15.5">
      <c r="A99" s="8">
        <v>98</v>
      </c>
      <c r="B99" s="12" t="s">
        <v>153</v>
      </c>
      <c r="C99" s="12" t="s">
        <v>1164</v>
      </c>
      <c r="D99" s="12" t="s">
        <v>835</v>
      </c>
      <c r="E99" s="15" t="s">
        <v>1165</v>
      </c>
      <c r="F99" s="15" t="s">
        <v>1166</v>
      </c>
      <c r="G99" s="15" t="s">
        <v>1167</v>
      </c>
      <c r="H99" s="4"/>
    </row>
    <row r="100" spans="1:8" ht="15.5">
      <c r="A100" s="8">
        <v>99</v>
      </c>
      <c r="B100" s="12" t="s">
        <v>201</v>
      </c>
      <c r="C100" s="12" t="s">
        <v>851</v>
      </c>
      <c r="D100" s="12" t="s">
        <v>817</v>
      </c>
      <c r="E100" s="15" t="s">
        <v>1168</v>
      </c>
      <c r="F100" s="15" t="s">
        <v>1169</v>
      </c>
      <c r="G100" s="15" t="s">
        <v>1170</v>
      </c>
      <c r="H100" s="4" t="s">
        <v>821</v>
      </c>
    </row>
    <row r="101" spans="1:8" ht="15.5">
      <c r="A101" s="8">
        <v>100</v>
      </c>
      <c r="B101" s="12" t="s">
        <v>247</v>
      </c>
      <c r="C101" s="12" t="s">
        <v>822</v>
      </c>
      <c r="D101" s="12" t="s">
        <v>835</v>
      </c>
      <c r="E101" s="15" t="s">
        <v>1171</v>
      </c>
      <c r="F101" s="15" t="s">
        <v>1172</v>
      </c>
      <c r="G101" s="15" t="s">
        <v>1173</v>
      </c>
    </row>
    <row r="102" spans="1:8" ht="15.5">
      <c r="A102" s="8">
        <v>101</v>
      </c>
      <c r="B102" s="12" t="s">
        <v>244</v>
      </c>
      <c r="C102" s="12" t="s">
        <v>943</v>
      </c>
      <c r="D102" s="12" t="s">
        <v>817</v>
      </c>
      <c r="E102" s="15" t="s">
        <v>1174</v>
      </c>
      <c r="F102" s="15" t="s">
        <v>1175</v>
      </c>
      <c r="G102" s="15" t="s">
        <v>1176</v>
      </c>
      <c r="H102" s="4" t="s">
        <v>938</v>
      </c>
    </row>
    <row r="103" spans="1:8" ht="15.5">
      <c r="A103" s="8">
        <v>102</v>
      </c>
      <c r="B103" s="12" t="s">
        <v>301</v>
      </c>
      <c r="C103" s="12" t="s">
        <v>840</v>
      </c>
      <c r="D103" s="12" t="s">
        <v>817</v>
      </c>
      <c r="E103" s="15" t="s">
        <v>1177</v>
      </c>
      <c r="F103" s="15" t="s">
        <v>1178</v>
      </c>
      <c r="G103" s="15" t="s">
        <v>1092</v>
      </c>
      <c r="H103" s="4" t="s">
        <v>899</v>
      </c>
    </row>
    <row r="104" spans="1:8" ht="15.5">
      <c r="A104" s="8">
        <v>103</v>
      </c>
      <c r="B104" s="12" t="s">
        <v>417</v>
      </c>
      <c r="C104" s="12" t="s">
        <v>827</v>
      </c>
      <c r="D104" s="12" t="s">
        <v>817</v>
      </c>
      <c r="E104" s="15" t="s">
        <v>1179</v>
      </c>
      <c r="F104" s="15" t="s">
        <v>1180</v>
      </c>
      <c r="G104" s="15" t="s">
        <v>1181</v>
      </c>
      <c r="H104" s="4" t="s">
        <v>899</v>
      </c>
    </row>
    <row r="105" spans="1:8" ht="15.5">
      <c r="A105" s="8">
        <v>104</v>
      </c>
      <c r="B105" s="12" t="s">
        <v>1182</v>
      </c>
      <c r="C105" s="12" t="s">
        <v>1183</v>
      </c>
      <c r="D105" s="12" t="s">
        <v>835</v>
      </c>
      <c r="E105" s="15" t="s">
        <v>1184</v>
      </c>
      <c r="F105" s="15" t="s">
        <v>1185</v>
      </c>
      <c r="G105" s="15" t="s">
        <v>1186</v>
      </c>
      <c r="H105" s="4"/>
    </row>
    <row r="106" spans="1:8" ht="15.5">
      <c r="A106" s="8">
        <v>105</v>
      </c>
      <c r="B106" s="12" t="s">
        <v>199</v>
      </c>
      <c r="C106" s="12" t="s">
        <v>827</v>
      </c>
      <c r="D106" s="12" t="s">
        <v>817</v>
      </c>
      <c r="E106" s="15" t="s">
        <v>1187</v>
      </c>
      <c r="F106" s="15" t="s">
        <v>1188</v>
      </c>
      <c r="G106" s="15" t="s">
        <v>1189</v>
      </c>
      <c r="H106" s="4" t="s">
        <v>938</v>
      </c>
    </row>
    <row r="107" spans="1:8" ht="15.5">
      <c r="A107" s="8">
        <v>106</v>
      </c>
      <c r="B107" s="12" t="s">
        <v>283</v>
      </c>
      <c r="C107" s="12" t="s">
        <v>822</v>
      </c>
      <c r="D107" s="12" t="s">
        <v>817</v>
      </c>
      <c r="E107" s="15" t="s">
        <v>1190</v>
      </c>
      <c r="F107" s="15" t="s">
        <v>1191</v>
      </c>
      <c r="G107" s="15" t="s">
        <v>1170</v>
      </c>
      <c r="H107" s="4" t="s">
        <v>920</v>
      </c>
    </row>
    <row r="108" spans="1:8" ht="15.5">
      <c r="A108" s="8">
        <v>107</v>
      </c>
      <c r="B108" s="12" t="s">
        <v>105</v>
      </c>
      <c r="C108" s="12" t="s">
        <v>910</v>
      </c>
      <c r="D108" s="12" t="s">
        <v>835</v>
      </c>
      <c r="E108" s="15" t="s">
        <v>1192</v>
      </c>
      <c r="F108" s="15" t="s">
        <v>1193</v>
      </c>
      <c r="G108" s="15" t="s">
        <v>1194</v>
      </c>
      <c r="H108" s="4"/>
    </row>
    <row r="109" spans="1:8" ht="15.5">
      <c r="A109" s="8">
        <v>108</v>
      </c>
      <c r="B109" s="12" t="s">
        <v>111</v>
      </c>
      <c r="C109" s="12" t="s">
        <v>840</v>
      </c>
      <c r="D109" s="12" t="s">
        <v>817</v>
      </c>
      <c r="E109" s="15" t="s">
        <v>1195</v>
      </c>
      <c r="F109" s="15" t="s">
        <v>1196</v>
      </c>
      <c r="G109" s="15" t="s">
        <v>1197</v>
      </c>
      <c r="H109" s="4" t="s">
        <v>920</v>
      </c>
    </row>
    <row r="110" spans="1:8" ht="15.5">
      <c r="A110" s="8">
        <v>109</v>
      </c>
      <c r="B110" s="12" t="s">
        <v>1198</v>
      </c>
      <c r="C110" s="12" t="s">
        <v>1199</v>
      </c>
      <c r="D110" s="12" t="s">
        <v>835</v>
      </c>
      <c r="E110" s="15" t="s">
        <v>1200</v>
      </c>
      <c r="F110" s="15" t="s">
        <v>1201</v>
      </c>
      <c r="G110" s="15" t="s">
        <v>1202</v>
      </c>
      <c r="H110" s="4"/>
    </row>
    <row r="111" spans="1:8" ht="15.5">
      <c r="A111" s="8">
        <v>110</v>
      </c>
      <c r="B111" s="12" t="s">
        <v>129</v>
      </c>
      <c r="C111" s="12" t="s">
        <v>910</v>
      </c>
      <c r="D111" s="12" t="s">
        <v>835</v>
      </c>
      <c r="E111" s="15" t="s">
        <v>1203</v>
      </c>
      <c r="F111" s="15" t="s">
        <v>1204</v>
      </c>
      <c r="G111" s="15" t="s">
        <v>1205</v>
      </c>
      <c r="H111" s="4"/>
    </row>
    <row r="112" spans="1:8" ht="15.5">
      <c r="A112" s="8">
        <v>111</v>
      </c>
      <c r="B112" s="12" t="s">
        <v>419</v>
      </c>
      <c r="C112" s="12" t="s">
        <v>1183</v>
      </c>
      <c r="D112" s="12" t="s">
        <v>817</v>
      </c>
      <c r="E112" s="15" t="s">
        <v>1206</v>
      </c>
      <c r="F112" s="15" t="s">
        <v>1207</v>
      </c>
      <c r="G112" s="15" t="s">
        <v>1208</v>
      </c>
      <c r="H112" s="4" t="s">
        <v>899</v>
      </c>
    </row>
    <row r="113" spans="1:8" ht="15.5">
      <c r="A113" s="8">
        <v>112</v>
      </c>
      <c r="B113" s="12" t="s">
        <v>1209</v>
      </c>
      <c r="C113" s="12" t="s">
        <v>1199</v>
      </c>
      <c r="D113" s="12" t="s">
        <v>835</v>
      </c>
      <c r="E113" s="15" t="s">
        <v>1210</v>
      </c>
      <c r="F113" s="15" t="s">
        <v>1211</v>
      </c>
      <c r="G113" s="15" t="s">
        <v>1212</v>
      </c>
      <c r="H113" s="4"/>
    </row>
    <row r="114" spans="1:8" ht="15.5">
      <c r="A114" s="8">
        <v>113</v>
      </c>
      <c r="B114" s="12" t="s">
        <v>1213</v>
      </c>
      <c r="C114" s="12" t="s">
        <v>1214</v>
      </c>
      <c r="D114" s="12" t="s">
        <v>835</v>
      </c>
      <c r="E114" s="15" t="s">
        <v>1215</v>
      </c>
      <c r="F114" s="15" t="s">
        <v>1216</v>
      </c>
      <c r="G114" s="15" t="s">
        <v>1217</v>
      </c>
      <c r="H114" s="4"/>
    </row>
    <row r="115" spans="1:8" ht="15.5">
      <c r="A115" s="8">
        <v>114</v>
      </c>
      <c r="B115" s="12" t="s">
        <v>203</v>
      </c>
      <c r="C115" s="12" t="s">
        <v>1000</v>
      </c>
      <c r="D115" s="12" t="s">
        <v>817</v>
      </c>
      <c r="E115" s="15" t="s">
        <v>1218</v>
      </c>
      <c r="F115" s="15" t="s">
        <v>1219</v>
      </c>
      <c r="G115" s="15" t="s">
        <v>1220</v>
      </c>
      <c r="H115" s="4" t="s">
        <v>1221</v>
      </c>
    </row>
    <row r="116" spans="1:8" ht="15.5">
      <c r="A116" s="8">
        <v>115</v>
      </c>
      <c r="B116" s="12" t="s">
        <v>121</v>
      </c>
      <c r="C116" s="12" t="s">
        <v>851</v>
      </c>
      <c r="D116" s="12" t="s">
        <v>835</v>
      </c>
      <c r="E116" s="15" t="s">
        <v>1222</v>
      </c>
      <c r="F116" s="15" t="s">
        <v>1223</v>
      </c>
      <c r="G116" s="15" t="s">
        <v>1224</v>
      </c>
      <c r="H116" s="4"/>
    </row>
    <row r="117" spans="1:8" ht="15.5">
      <c r="A117" s="8">
        <v>116</v>
      </c>
      <c r="B117" s="12" t="s">
        <v>1225</v>
      </c>
      <c r="C117" s="12" t="s">
        <v>926</v>
      </c>
      <c r="D117" s="12" t="s">
        <v>835</v>
      </c>
      <c r="E117" s="15" t="s">
        <v>1226</v>
      </c>
      <c r="F117" s="15" t="s">
        <v>1227</v>
      </c>
      <c r="G117" s="15" t="s">
        <v>1228</v>
      </c>
      <c r="H117" s="4"/>
    </row>
    <row r="118" spans="1:8" ht="15.5">
      <c r="A118" s="8">
        <v>117</v>
      </c>
      <c r="B118" s="12" t="s">
        <v>173</v>
      </c>
      <c r="C118" s="12" t="s">
        <v>1229</v>
      </c>
      <c r="D118" s="12" t="s">
        <v>835</v>
      </c>
      <c r="E118" s="15" t="s">
        <v>1230</v>
      </c>
      <c r="F118" s="15" t="s">
        <v>1231</v>
      </c>
      <c r="G118" s="15" t="s">
        <v>1224</v>
      </c>
      <c r="H118" s="4"/>
    </row>
    <row r="119" spans="1:8" ht="15.5">
      <c r="A119" s="8">
        <v>118</v>
      </c>
      <c r="B119" s="12" t="s">
        <v>163</v>
      </c>
      <c r="C119" s="12" t="s">
        <v>840</v>
      </c>
      <c r="D119" s="12" t="s">
        <v>817</v>
      </c>
      <c r="E119" s="15" t="s">
        <v>1232</v>
      </c>
      <c r="F119" s="15" t="s">
        <v>1233</v>
      </c>
      <c r="G119" s="15" t="s">
        <v>1234</v>
      </c>
      <c r="H119" s="4" t="s">
        <v>1235</v>
      </c>
    </row>
    <row r="120" spans="1:8" ht="15.5">
      <c r="A120" s="8">
        <v>119</v>
      </c>
      <c r="B120" s="12" t="s">
        <v>81</v>
      </c>
      <c r="C120" s="12" t="s">
        <v>1236</v>
      </c>
      <c r="D120" s="12" t="s">
        <v>835</v>
      </c>
      <c r="E120" s="15" t="s">
        <v>1237</v>
      </c>
      <c r="F120" s="15" t="s">
        <v>1238</v>
      </c>
      <c r="G120" s="15" t="s">
        <v>1239</v>
      </c>
      <c r="H120" s="4"/>
    </row>
    <row r="121" spans="1:8" ht="15.5">
      <c r="A121" s="8">
        <v>120</v>
      </c>
      <c r="B121" s="12" t="s">
        <v>1240</v>
      </c>
      <c r="C121" s="12" t="s">
        <v>840</v>
      </c>
      <c r="D121" s="12" t="s">
        <v>835</v>
      </c>
      <c r="E121" s="15" t="s">
        <v>1241</v>
      </c>
      <c r="F121" s="15" t="s">
        <v>1242</v>
      </c>
      <c r="G121" s="15" t="s">
        <v>1243</v>
      </c>
      <c r="H121" s="4"/>
    </row>
    <row r="122" spans="1:8" ht="15.5">
      <c r="A122" s="8">
        <v>121</v>
      </c>
      <c r="B122" s="12" t="s">
        <v>517</v>
      </c>
      <c r="C122" s="12" t="s">
        <v>872</v>
      </c>
      <c r="D122" s="12" t="s">
        <v>817</v>
      </c>
      <c r="E122" s="15" t="s">
        <v>1244</v>
      </c>
      <c r="F122" s="15" t="s">
        <v>1245</v>
      </c>
      <c r="G122" s="15" t="s">
        <v>1246</v>
      </c>
      <c r="H122" s="4" t="s">
        <v>920</v>
      </c>
    </row>
    <row r="123" spans="1:8" ht="15.5">
      <c r="A123" s="8">
        <v>122</v>
      </c>
      <c r="B123" s="12" t="s">
        <v>422</v>
      </c>
      <c r="C123" s="12" t="s">
        <v>840</v>
      </c>
      <c r="D123" s="12" t="s">
        <v>817</v>
      </c>
      <c r="E123" s="15" t="s">
        <v>1247</v>
      </c>
      <c r="F123" s="15" t="s">
        <v>1248</v>
      </c>
      <c r="G123" s="15" t="s">
        <v>1239</v>
      </c>
      <c r="H123" s="4" t="s">
        <v>938</v>
      </c>
    </row>
    <row r="124" spans="1:8" ht="15.5">
      <c r="A124" s="8">
        <v>123</v>
      </c>
      <c r="B124" s="12" t="s">
        <v>1249</v>
      </c>
      <c r="C124" s="12" t="s">
        <v>816</v>
      </c>
      <c r="D124" s="12" t="s">
        <v>835</v>
      </c>
      <c r="E124" s="15" t="s">
        <v>1250</v>
      </c>
      <c r="F124" s="15" t="s">
        <v>1251</v>
      </c>
      <c r="G124" s="15" t="s">
        <v>1252</v>
      </c>
      <c r="H124" s="4"/>
    </row>
    <row r="125" spans="1:8" ht="15.5">
      <c r="A125" s="8">
        <v>124</v>
      </c>
      <c r="B125" s="12" t="s">
        <v>175</v>
      </c>
      <c r="C125" s="12" t="s">
        <v>840</v>
      </c>
      <c r="D125" s="12" t="s">
        <v>817</v>
      </c>
      <c r="E125" s="15" t="s">
        <v>1253</v>
      </c>
      <c r="F125" s="15" t="s">
        <v>1254</v>
      </c>
      <c r="G125" s="15" t="s">
        <v>1255</v>
      </c>
      <c r="H125" s="4" t="s">
        <v>1235</v>
      </c>
    </row>
    <row r="126" spans="1:8" ht="15.5">
      <c r="A126" s="8">
        <v>125</v>
      </c>
      <c r="B126" s="12" t="s">
        <v>290</v>
      </c>
      <c r="C126" s="12" t="s">
        <v>822</v>
      </c>
      <c r="D126" s="12" t="s">
        <v>817</v>
      </c>
      <c r="E126" s="15" t="s">
        <v>1256</v>
      </c>
      <c r="F126" s="15" t="s">
        <v>1257</v>
      </c>
      <c r="G126" s="15" t="s">
        <v>1258</v>
      </c>
      <c r="H126" s="4" t="s">
        <v>920</v>
      </c>
    </row>
    <row r="127" spans="1:8" ht="15.5">
      <c r="A127" s="8">
        <v>126</v>
      </c>
      <c r="B127" s="12" t="s">
        <v>1259</v>
      </c>
      <c r="C127" s="12" t="s">
        <v>851</v>
      </c>
      <c r="D127" s="12" t="s">
        <v>835</v>
      </c>
      <c r="E127" s="15" t="s">
        <v>1260</v>
      </c>
      <c r="F127" s="15" t="s">
        <v>1261</v>
      </c>
      <c r="G127" s="15" t="s">
        <v>1262</v>
      </c>
      <c r="H127" s="4"/>
    </row>
    <row r="128" spans="1:8" ht="15.5">
      <c r="A128" s="8">
        <v>127</v>
      </c>
      <c r="B128" s="12" t="s">
        <v>135</v>
      </c>
      <c r="C128" s="12" t="s">
        <v>1263</v>
      </c>
      <c r="D128" s="12" t="s">
        <v>835</v>
      </c>
      <c r="E128" s="15" t="s">
        <v>1264</v>
      </c>
      <c r="F128" s="15" t="s">
        <v>1265</v>
      </c>
      <c r="G128" s="15" t="s">
        <v>1266</v>
      </c>
      <c r="H128" s="4"/>
    </row>
    <row r="129" spans="1:8" ht="15.5">
      <c r="A129" s="8">
        <v>128</v>
      </c>
      <c r="B129" s="12" t="s">
        <v>1267</v>
      </c>
      <c r="C129" s="12" t="s">
        <v>827</v>
      </c>
      <c r="D129" s="12" t="s">
        <v>835</v>
      </c>
      <c r="E129" s="15" t="s">
        <v>1268</v>
      </c>
      <c r="F129" s="15" t="s">
        <v>1269</v>
      </c>
      <c r="G129" s="15" t="s">
        <v>1270</v>
      </c>
      <c r="H129" s="4"/>
    </row>
    <row r="130" spans="1:8" ht="15.5">
      <c r="A130" s="8">
        <v>129</v>
      </c>
      <c r="B130" s="12" t="s">
        <v>347</v>
      </c>
      <c r="C130" s="12" t="s">
        <v>844</v>
      </c>
      <c r="D130" s="12" t="s">
        <v>817</v>
      </c>
      <c r="E130" s="15" t="s">
        <v>1271</v>
      </c>
      <c r="F130" s="15" t="s">
        <v>1272</v>
      </c>
      <c r="G130" s="15" t="s">
        <v>1273</v>
      </c>
      <c r="H130" s="4" t="s">
        <v>938</v>
      </c>
    </row>
    <row r="131" spans="1:8" ht="15.5">
      <c r="A131" s="8">
        <v>130</v>
      </c>
      <c r="B131" s="12" t="s">
        <v>1274</v>
      </c>
      <c r="C131" s="12" t="s">
        <v>840</v>
      </c>
      <c r="D131" s="12" t="s">
        <v>835</v>
      </c>
      <c r="E131" s="15" t="s">
        <v>1275</v>
      </c>
      <c r="F131" s="15" t="s">
        <v>1276</v>
      </c>
      <c r="G131" s="15" t="s">
        <v>1277</v>
      </c>
      <c r="H131" s="4"/>
    </row>
    <row r="132" spans="1:8" ht="15.5">
      <c r="A132" s="8">
        <v>131</v>
      </c>
      <c r="B132" s="12" t="s">
        <v>1278</v>
      </c>
      <c r="C132" s="12" t="s">
        <v>858</v>
      </c>
      <c r="D132" s="12" t="s">
        <v>835</v>
      </c>
      <c r="E132" s="15" t="s">
        <v>1279</v>
      </c>
      <c r="F132" s="15" t="s">
        <v>1280</v>
      </c>
      <c r="G132" s="15" t="s">
        <v>1281</v>
      </c>
      <c r="H132" s="4"/>
    </row>
    <row r="133" spans="1:8" ht="15.5">
      <c r="A133" s="8">
        <v>132</v>
      </c>
      <c r="B133" s="12" t="s">
        <v>316</v>
      </c>
      <c r="C133" s="12" t="s">
        <v>822</v>
      </c>
      <c r="D133" s="12" t="s">
        <v>817</v>
      </c>
      <c r="E133" s="15" t="s">
        <v>1282</v>
      </c>
      <c r="F133" s="15" t="s">
        <v>1283</v>
      </c>
      <c r="G133" s="15" t="s">
        <v>1284</v>
      </c>
      <c r="H133" s="4" t="s">
        <v>920</v>
      </c>
    </row>
    <row r="134" spans="1:8" ht="15.5">
      <c r="A134" s="8">
        <v>133</v>
      </c>
      <c r="B134" s="12" t="s">
        <v>526</v>
      </c>
      <c r="C134" s="12" t="s">
        <v>1236</v>
      </c>
      <c r="D134" s="12" t="s">
        <v>817</v>
      </c>
      <c r="E134" s="15" t="s">
        <v>1285</v>
      </c>
      <c r="F134" s="15" t="s">
        <v>1286</v>
      </c>
      <c r="G134" s="15" t="s">
        <v>1287</v>
      </c>
      <c r="H134" s="4" t="s">
        <v>1221</v>
      </c>
    </row>
    <row r="135" spans="1:8" ht="15.5">
      <c r="A135" s="8">
        <v>134</v>
      </c>
      <c r="B135" s="12" t="s">
        <v>1288</v>
      </c>
      <c r="C135" s="12" t="s">
        <v>840</v>
      </c>
      <c r="D135" s="12" t="s">
        <v>835</v>
      </c>
      <c r="E135" s="15" t="s">
        <v>1289</v>
      </c>
      <c r="F135" s="15" t="s">
        <v>1290</v>
      </c>
      <c r="G135" s="15" t="s">
        <v>1291</v>
      </c>
      <c r="H135" s="4"/>
    </row>
    <row r="136" spans="1:8" ht="15.5">
      <c r="A136" s="8">
        <v>135</v>
      </c>
      <c r="B136" s="12" t="s">
        <v>269</v>
      </c>
      <c r="C136" s="12" t="s">
        <v>827</v>
      </c>
      <c r="D136" s="12" t="s">
        <v>817</v>
      </c>
      <c r="E136" s="15" t="s">
        <v>1292</v>
      </c>
      <c r="F136" s="15" t="s">
        <v>1293</v>
      </c>
      <c r="G136" s="15" t="s">
        <v>1294</v>
      </c>
      <c r="H136" s="4" t="s">
        <v>821</v>
      </c>
    </row>
    <row r="137" spans="1:8" ht="15.5">
      <c r="A137" s="8">
        <v>136</v>
      </c>
      <c r="B137" s="12" t="s">
        <v>253</v>
      </c>
      <c r="C137" s="12" t="s">
        <v>943</v>
      </c>
      <c r="D137" s="12" t="s">
        <v>835</v>
      </c>
      <c r="E137" s="15" t="s">
        <v>1295</v>
      </c>
      <c r="F137" s="15" t="s">
        <v>1296</v>
      </c>
      <c r="G137" s="15" t="s">
        <v>1085</v>
      </c>
      <c r="H137" s="4"/>
    </row>
    <row r="138" spans="1:8" ht="15.5">
      <c r="A138" s="8">
        <v>137</v>
      </c>
      <c r="B138" s="12" t="s">
        <v>197</v>
      </c>
      <c r="C138" s="12" t="s">
        <v>822</v>
      </c>
      <c r="D138" s="12" t="s">
        <v>835</v>
      </c>
      <c r="E138" s="15" t="s">
        <v>1297</v>
      </c>
      <c r="F138" s="15" t="s">
        <v>1298</v>
      </c>
      <c r="G138" s="15" t="s">
        <v>1299</v>
      </c>
      <c r="H138" s="4"/>
    </row>
    <row r="139" spans="1:8" ht="15.5">
      <c r="A139" s="8">
        <v>138</v>
      </c>
      <c r="B139" s="12" t="s">
        <v>146</v>
      </c>
      <c r="C139" s="12" t="s">
        <v>910</v>
      </c>
      <c r="D139" s="12" t="s">
        <v>835</v>
      </c>
      <c r="E139" s="15" t="s">
        <v>1300</v>
      </c>
      <c r="F139" s="15" t="s">
        <v>1301</v>
      </c>
      <c r="G139" s="15" t="s">
        <v>1302</v>
      </c>
      <c r="H139" s="4"/>
    </row>
    <row r="140" spans="1:8" ht="15.5">
      <c r="A140" s="8">
        <v>139</v>
      </c>
      <c r="B140" s="12" t="s">
        <v>144</v>
      </c>
      <c r="C140" s="12" t="s">
        <v>1303</v>
      </c>
      <c r="D140" s="12" t="s">
        <v>835</v>
      </c>
      <c r="E140" s="15" t="s">
        <v>1304</v>
      </c>
      <c r="F140" s="15" t="s">
        <v>1305</v>
      </c>
      <c r="G140" s="15" t="s">
        <v>1228</v>
      </c>
      <c r="H140" s="4"/>
    </row>
    <row r="141" spans="1:8" ht="15.5">
      <c r="A141" s="8">
        <v>140</v>
      </c>
      <c r="B141" s="12" t="s">
        <v>366</v>
      </c>
      <c r="C141" s="12" t="s">
        <v>1124</v>
      </c>
      <c r="D141" s="12" t="s">
        <v>817</v>
      </c>
      <c r="E141" s="15" t="s">
        <v>1306</v>
      </c>
      <c r="F141" s="15" t="s">
        <v>1307</v>
      </c>
      <c r="G141" s="15" t="s">
        <v>1308</v>
      </c>
      <c r="H141" s="4" t="s">
        <v>899</v>
      </c>
    </row>
    <row r="142" spans="1:8" ht="15.5">
      <c r="A142" s="8">
        <v>141</v>
      </c>
      <c r="B142" s="12" t="s">
        <v>160</v>
      </c>
      <c r="C142" s="12" t="s">
        <v>934</v>
      </c>
      <c r="D142" s="12" t="s">
        <v>817</v>
      </c>
      <c r="E142" s="15" t="s">
        <v>1309</v>
      </c>
      <c r="F142" s="15" t="s">
        <v>1310</v>
      </c>
      <c r="G142" s="15" t="s">
        <v>1311</v>
      </c>
      <c r="H142" s="4" t="s">
        <v>920</v>
      </c>
    </row>
    <row r="143" spans="1:8" ht="15.5">
      <c r="A143" s="8">
        <v>142</v>
      </c>
      <c r="B143" s="12" t="s">
        <v>1312</v>
      </c>
      <c r="C143" s="12" t="s">
        <v>872</v>
      </c>
      <c r="D143" s="12" t="s">
        <v>835</v>
      </c>
      <c r="E143" s="15" t="s">
        <v>1313</v>
      </c>
      <c r="F143" s="15" t="s">
        <v>1314</v>
      </c>
      <c r="G143" s="15" t="s">
        <v>1243</v>
      </c>
      <c r="H143" s="4"/>
    </row>
    <row r="144" spans="1:8" ht="15.5">
      <c r="A144" s="8">
        <v>143</v>
      </c>
      <c r="B144" s="12" t="s">
        <v>72</v>
      </c>
      <c r="C144" s="12" t="s">
        <v>844</v>
      </c>
      <c r="D144" s="12" t="s">
        <v>835</v>
      </c>
      <c r="E144" s="15" t="s">
        <v>1315</v>
      </c>
      <c r="F144" s="15" t="s">
        <v>1295</v>
      </c>
      <c r="G144" s="15" t="s">
        <v>1316</v>
      </c>
      <c r="H144" s="4"/>
    </row>
    <row r="145" spans="1:8" ht="15.5">
      <c r="A145" s="8">
        <v>144</v>
      </c>
      <c r="B145" s="12" t="s">
        <v>106</v>
      </c>
      <c r="C145" s="12" t="s">
        <v>979</v>
      </c>
      <c r="D145" s="12" t="s">
        <v>835</v>
      </c>
      <c r="E145" s="15" t="s">
        <v>1317</v>
      </c>
      <c r="F145" s="15" t="s">
        <v>1318</v>
      </c>
      <c r="G145" s="15" t="s">
        <v>1239</v>
      </c>
      <c r="H145" s="4"/>
    </row>
    <row r="146" spans="1:8" ht="15.5">
      <c r="A146" s="8">
        <v>145</v>
      </c>
      <c r="B146" s="12" t="s">
        <v>322</v>
      </c>
      <c r="C146" s="12" t="s">
        <v>906</v>
      </c>
      <c r="D146" s="12" t="s">
        <v>817</v>
      </c>
      <c r="E146" s="15" t="s">
        <v>1319</v>
      </c>
      <c r="F146" s="15" t="s">
        <v>1320</v>
      </c>
      <c r="G146" s="15" t="s">
        <v>1321</v>
      </c>
      <c r="H146" s="4" t="s">
        <v>899</v>
      </c>
    </row>
    <row r="147" spans="1:8" ht="15.5">
      <c r="A147" s="8">
        <v>146</v>
      </c>
      <c r="B147" s="12" t="s">
        <v>150</v>
      </c>
      <c r="C147" s="12" t="s">
        <v>844</v>
      </c>
      <c r="D147" s="12" t="s">
        <v>817</v>
      </c>
      <c r="E147" s="15" t="s">
        <v>1322</v>
      </c>
      <c r="F147" s="15" t="s">
        <v>1323</v>
      </c>
      <c r="G147" s="15" t="s">
        <v>1324</v>
      </c>
      <c r="H147" s="4" t="s">
        <v>1235</v>
      </c>
    </row>
    <row r="148" spans="1:8" ht="15.5">
      <c r="A148" s="8">
        <v>147</v>
      </c>
      <c r="B148" s="12" t="s">
        <v>176</v>
      </c>
      <c r="C148" s="12" t="s">
        <v>1303</v>
      </c>
      <c r="D148" s="12" t="s">
        <v>817</v>
      </c>
      <c r="E148" s="15" t="s">
        <v>1325</v>
      </c>
      <c r="F148" s="15" t="s">
        <v>1326</v>
      </c>
      <c r="G148" s="15" t="s">
        <v>1327</v>
      </c>
      <c r="H148" s="4" t="s">
        <v>830</v>
      </c>
    </row>
    <row r="149" spans="1:8" ht="15.5">
      <c r="A149" s="8">
        <v>148</v>
      </c>
      <c r="B149" s="12" t="s">
        <v>113</v>
      </c>
      <c r="C149" s="12" t="s">
        <v>1236</v>
      </c>
      <c r="D149" s="12" t="s">
        <v>835</v>
      </c>
      <c r="E149" s="15" t="s">
        <v>1328</v>
      </c>
      <c r="F149" s="15" t="s">
        <v>1329</v>
      </c>
      <c r="G149" s="15" t="s">
        <v>1228</v>
      </c>
      <c r="H149" s="4"/>
    </row>
    <row r="150" spans="1:8" ht="15.5">
      <c r="A150" s="8">
        <v>149</v>
      </c>
      <c r="B150" s="12" t="s">
        <v>374</v>
      </c>
      <c r="C150" s="12" t="s">
        <v>1164</v>
      </c>
      <c r="D150" s="12" t="s">
        <v>817</v>
      </c>
      <c r="E150" s="15" t="s">
        <v>1330</v>
      </c>
      <c r="F150" s="15" t="s">
        <v>1331</v>
      </c>
      <c r="G150" s="15" t="s">
        <v>1332</v>
      </c>
      <c r="H150" s="4" t="s">
        <v>938</v>
      </c>
    </row>
    <row r="151" spans="1:8" ht="15.5">
      <c r="A151" s="8">
        <v>150</v>
      </c>
      <c r="B151" s="12" t="s">
        <v>379</v>
      </c>
      <c r="C151" s="12" t="s">
        <v>816</v>
      </c>
      <c r="D151" s="12" t="s">
        <v>817</v>
      </c>
      <c r="E151" s="15" t="s">
        <v>1333</v>
      </c>
      <c r="F151" s="15" t="s">
        <v>1334</v>
      </c>
      <c r="G151" s="15" t="s">
        <v>1335</v>
      </c>
      <c r="H151" s="4" t="s">
        <v>1336</v>
      </c>
    </row>
    <row r="152" spans="1:8" ht="15.5">
      <c r="A152" s="8">
        <v>151</v>
      </c>
      <c r="B152" s="12" t="s">
        <v>134</v>
      </c>
      <c r="C152" s="12" t="s">
        <v>1428</v>
      </c>
      <c r="D152" s="12" t="s">
        <v>835</v>
      </c>
      <c r="E152" s="15" t="s">
        <v>1485</v>
      </c>
      <c r="F152" s="15" t="s">
        <v>1365</v>
      </c>
      <c r="G152" s="15" t="s">
        <v>1486</v>
      </c>
    </row>
    <row r="153" spans="1:8" ht="15.5">
      <c r="A153" s="8">
        <v>152</v>
      </c>
      <c r="B153" s="12" t="s">
        <v>186</v>
      </c>
      <c r="C153" s="12" t="s">
        <v>851</v>
      </c>
      <c r="D153" s="12" t="s">
        <v>817</v>
      </c>
      <c r="E153" s="15" t="s">
        <v>1337</v>
      </c>
      <c r="F153" s="15" t="s">
        <v>1338</v>
      </c>
      <c r="G153" s="15" t="s">
        <v>1224</v>
      </c>
      <c r="H153" s="4" t="s">
        <v>821</v>
      </c>
    </row>
    <row r="154" spans="1:8" ht="15.5">
      <c r="A154" s="8">
        <v>153</v>
      </c>
      <c r="B154" s="12" t="s">
        <v>402</v>
      </c>
      <c r="C154" s="12" t="s">
        <v>979</v>
      </c>
      <c r="D154" s="12" t="s">
        <v>817</v>
      </c>
      <c r="E154" s="15" t="s">
        <v>1339</v>
      </c>
      <c r="F154" s="15" t="s">
        <v>1340</v>
      </c>
      <c r="G154" s="15" t="s">
        <v>1341</v>
      </c>
      <c r="H154" s="4" t="s">
        <v>920</v>
      </c>
    </row>
    <row r="155" spans="1:8" ht="15.5">
      <c r="A155" s="8">
        <v>154</v>
      </c>
      <c r="B155" s="12" t="s">
        <v>95</v>
      </c>
      <c r="C155" s="12" t="s">
        <v>1104</v>
      </c>
      <c r="D155" s="12" t="s">
        <v>835</v>
      </c>
      <c r="E155" s="15" t="s">
        <v>1342</v>
      </c>
      <c r="F155" s="15" t="s">
        <v>1343</v>
      </c>
      <c r="G155" s="15" t="s">
        <v>1139</v>
      </c>
      <c r="H155" s="4"/>
    </row>
    <row r="156" spans="1:8" ht="15.5">
      <c r="A156" s="8">
        <v>155</v>
      </c>
      <c r="B156" s="12" t="s">
        <v>94</v>
      </c>
      <c r="C156" s="12" t="s">
        <v>1104</v>
      </c>
      <c r="D156" s="12" t="s">
        <v>835</v>
      </c>
      <c r="E156" s="15" t="s">
        <v>1344</v>
      </c>
      <c r="F156" s="15" t="s">
        <v>1345</v>
      </c>
      <c r="G156" s="15" t="s">
        <v>1346</v>
      </c>
      <c r="H156" s="4"/>
    </row>
    <row r="157" spans="1:8" ht="15.5">
      <c r="A157" s="8">
        <v>156</v>
      </c>
      <c r="B157" s="12" t="s">
        <v>1347</v>
      </c>
      <c r="C157" s="12" t="s">
        <v>840</v>
      </c>
      <c r="D157" s="12" t="s">
        <v>835</v>
      </c>
      <c r="E157" s="15" t="s">
        <v>1242</v>
      </c>
      <c r="F157" s="15" t="s">
        <v>1348</v>
      </c>
      <c r="G157" s="15" t="s">
        <v>1349</v>
      </c>
      <c r="H157" s="4"/>
    </row>
    <row r="158" spans="1:8" ht="15.5">
      <c r="A158" s="8">
        <v>157</v>
      </c>
      <c r="B158" s="12" t="s">
        <v>209</v>
      </c>
      <c r="C158" s="12" t="s">
        <v>1183</v>
      </c>
      <c r="D158" s="12" t="s">
        <v>817</v>
      </c>
      <c r="E158" s="15" t="s">
        <v>1350</v>
      </c>
      <c r="F158" s="15" t="s">
        <v>1351</v>
      </c>
      <c r="G158" s="15" t="s">
        <v>1119</v>
      </c>
      <c r="H158" s="4" t="s">
        <v>920</v>
      </c>
    </row>
    <row r="159" spans="1:8" ht="15.5">
      <c r="A159" s="8">
        <v>158</v>
      </c>
      <c r="B159" s="12" t="s">
        <v>188</v>
      </c>
      <c r="C159" s="12" t="s">
        <v>1352</v>
      </c>
      <c r="D159" s="12" t="s">
        <v>835</v>
      </c>
      <c r="E159" s="15" t="s">
        <v>1353</v>
      </c>
      <c r="F159" s="15" t="s">
        <v>1354</v>
      </c>
      <c r="G159" s="15" t="s">
        <v>1355</v>
      </c>
      <c r="H159" s="4"/>
    </row>
    <row r="160" spans="1:8" ht="15.5">
      <c r="A160" s="8">
        <v>159</v>
      </c>
      <c r="B160" s="12" t="s">
        <v>364</v>
      </c>
      <c r="C160" s="12" t="s">
        <v>889</v>
      </c>
      <c r="D160" s="12" t="s">
        <v>817</v>
      </c>
      <c r="E160" s="15" t="s">
        <v>1356</v>
      </c>
      <c r="F160" s="15" t="s">
        <v>1357</v>
      </c>
      <c r="G160" s="15" t="s">
        <v>1194</v>
      </c>
      <c r="H160" s="4" t="s">
        <v>920</v>
      </c>
    </row>
    <row r="161" spans="1:8" ht="15.5">
      <c r="A161" s="8">
        <v>160</v>
      </c>
      <c r="B161" s="12" t="s">
        <v>124</v>
      </c>
      <c r="C161" s="12" t="s">
        <v>1358</v>
      </c>
      <c r="D161" s="12" t="s">
        <v>835</v>
      </c>
      <c r="E161" s="15" t="s">
        <v>1359</v>
      </c>
      <c r="F161" s="15" t="s">
        <v>1360</v>
      </c>
      <c r="G161" s="15" t="s">
        <v>1361</v>
      </c>
      <c r="H161" s="4"/>
    </row>
    <row r="162" spans="1:8" ht="15.5">
      <c r="A162" s="8">
        <v>161</v>
      </c>
      <c r="B162" s="12" t="s">
        <v>431</v>
      </c>
      <c r="C162" s="12" t="s">
        <v>831</v>
      </c>
      <c r="D162" s="12" t="s">
        <v>817</v>
      </c>
      <c r="E162" s="15" t="s">
        <v>1362</v>
      </c>
      <c r="F162" s="15" t="s">
        <v>1363</v>
      </c>
      <c r="G162" s="15" t="s">
        <v>1167</v>
      </c>
      <c r="H162" s="4" t="s">
        <v>920</v>
      </c>
    </row>
    <row r="163" spans="1:8" ht="15.5">
      <c r="A163" s="8">
        <v>162</v>
      </c>
      <c r="B163" s="12" t="s">
        <v>240</v>
      </c>
      <c r="C163" s="12" t="s">
        <v>926</v>
      </c>
      <c r="D163" s="12" t="s">
        <v>817</v>
      </c>
      <c r="E163" s="15" t="s">
        <v>1364</v>
      </c>
      <c r="F163" s="15" t="s">
        <v>973</v>
      </c>
      <c r="G163" s="15" t="s">
        <v>1243</v>
      </c>
      <c r="H163" s="4" t="s">
        <v>920</v>
      </c>
    </row>
    <row r="164" spans="1:8" ht="15.5">
      <c r="A164" s="8">
        <v>163</v>
      </c>
      <c r="B164" s="12" t="s">
        <v>141</v>
      </c>
      <c r="C164" s="12" t="s">
        <v>1164</v>
      </c>
      <c r="D164" s="12" t="s">
        <v>835</v>
      </c>
      <c r="E164" s="15" t="s">
        <v>1365</v>
      </c>
      <c r="F164" s="15" t="s">
        <v>1366</v>
      </c>
      <c r="G164" s="15" t="s">
        <v>1367</v>
      </c>
      <c r="H164" s="4"/>
    </row>
    <row r="165" spans="1:8" ht="15.5">
      <c r="A165" s="8">
        <v>164</v>
      </c>
      <c r="B165" s="12" t="s">
        <v>1368</v>
      </c>
      <c r="C165" s="12" t="s">
        <v>840</v>
      </c>
      <c r="D165" s="12" t="s">
        <v>835</v>
      </c>
      <c r="E165" s="15" t="s">
        <v>1369</v>
      </c>
      <c r="F165" s="15" t="s">
        <v>1370</v>
      </c>
      <c r="G165" s="15" t="s">
        <v>1371</v>
      </c>
      <c r="H165" s="4"/>
    </row>
    <row r="166" spans="1:8" ht="15.5">
      <c r="A166" s="8">
        <v>165</v>
      </c>
      <c r="B166" s="12" t="s">
        <v>286</v>
      </c>
      <c r="C166" s="12" t="s">
        <v>822</v>
      </c>
      <c r="D166" s="12" t="s">
        <v>817</v>
      </c>
      <c r="E166" s="15" t="s">
        <v>1372</v>
      </c>
      <c r="F166" s="15" t="s">
        <v>1373</v>
      </c>
      <c r="G166" s="15" t="s">
        <v>1374</v>
      </c>
      <c r="H166" s="4" t="s">
        <v>1235</v>
      </c>
    </row>
    <row r="167" spans="1:8" ht="15.5">
      <c r="A167" s="8">
        <v>166</v>
      </c>
      <c r="B167" s="12" t="s">
        <v>260</v>
      </c>
      <c r="C167" s="12" t="s">
        <v>827</v>
      </c>
      <c r="D167" s="12" t="s">
        <v>817</v>
      </c>
      <c r="E167" s="15" t="s">
        <v>1375</v>
      </c>
      <c r="F167" s="15" t="s">
        <v>1376</v>
      </c>
      <c r="G167" s="15" t="s">
        <v>1377</v>
      </c>
      <c r="H167" s="4" t="s">
        <v>1221</v>
      </c>
    </row>
    <row r="168" spans="1:8" ht="15.5">
      <c r="A168" s="8">
        <v>167</v>
      </c>
      <c r="B168" s="12" t="s">
        <v>1378</v>
      </c>
      <c r="C168" s="12" t="s">
        <v>1379</v>
      </c>
      <c r="D168" s="12" t="s">
        <v>835</v>
      </c>
      <c r="E168" s="15" t="s">
        <v>1380</v>
      </c>
      <c r="F168" s="15" t="s">
        <v>1381</v>
      </c>
      <c r="G168" s="15" t="s">
        <v>1382</v>
      </c>
      <c r="H168" s="4"/>
    </row>
    <row r="169" spans="1:8" ht="15.5">
      <c r="A169" s="8">
        <v>168</v>
      </c>
      <c r="B169" s="12" t="s">
        <v>333</v>
      </c>
      <c r="C169" s="12" t="s">
        <v>822</v>
      </c>
      <c r="D169" s="12" t="s">
        <v>835</v>
      </c>
      <c r="E169" s="15" t="s">
        <v>1383</v>
      </c>
      <c r="F169" s="15" t="s">
        <v>1384</v>
      </c>
      <c r="G169" s="15" t="s">
        <v>1228</v>
      </c>
      <c r="H169" s="4"/>
    </row>
    <row r="170" spans="1:8" ht="15.5">
      <c r="A170" s="8">
        <v>169</v>
      </c>
      <c r="B170" s="12" t="s">
        <v>272</v>
      </c>
      <c r="C170" s="12" t="s">
        <v>1124</v>
      </c>
      <c r="D170" s="12" t="s">
        <v>817</v>
      </c>
      <c r="E170" s="15" t="s">
        <v>1385</v>
      </c>
      <c r="F170" s="15" t="s">
        <v>1386</v>
      </c>
      <c r="G170" s="15" t="s">
        <v>1387</v>
      </c>
      <c r="H170" s="4" t="s">
        <v>938</v>
      </c>
    </row>
    <row r="171" spans="1:8" ht="15.5">
      <c r="A171" s="8">
        <v>170</v>
      </c>
      <c r="B171" s="12" t="s">
        <v>443</v>
      </c>
      <c r="C171" s="12" t="s">
        <v>971</v>
      </c>
      <c r="D171" s="12" t="s">
        <v>817</v>
      </c>
      <c r="E171" s="15" t="s">
        <v>1388</v>
      </c>
      <c r="F171" s="15" t="s">
        <v>1389</v>
      </c>
      <c r="G171" s="15" t="s">
        <v>1390</v>
      </c>
      <c r="H171" s="4" t="s">
        <v>920</v>
      </c>
    </row>
    <row r="172" spans="1:8" ht="15.5">
      <c r="A172" s="8">
        <v>171</v>
      </c>
      <c r="B172" s="12" t="s">
        <v>167</v>
      </c>
      <c r="C172" s="12" t="s">
        <v>1214</v>
      </c>
      <c r="D172" s="12" t="s">
        <v>835</v>
      </c>
      <c r="E172" s="15" t="s">
        <v>1391</v>
      </c>
      <c r="F172" s="15" t="s">
        <v>1392</v>
      </c>
      <c r="G172" s="15" t="s">
        <v>1393</v>
      </c>
      <c r="H172" s="4"/>
    </row>
    <row r="173" spans="1:8" ht="15.5">
      <c r="A173" s="8">
        <v>172</v>
      </c>
      <c r="B173" s="12" t="s">
        <v>1394</v>
      </c>
      <c r="C173" s="12" t="s">
        <v>1395</v>
      </c>
      <c r="D173" s="12" t="s">
        <v>835</v>
      </c>
      <c r="E173" s="15" t="s">
        <v>1396</v>
      </c>
      <c r="F173" s="15" t="s">
        <v>1397</v>
      </c>
      <c r="G173" s="15" t="s">
        <v>1398</v>
      </c>
      <c r="H173" s="4"/>
    </row>
    <row r="174" spans="1:8" ht="15.5">
      <c r="A174" s="8">
        <v>173</v>
      </c>
      <c r="B174" s="12" t="s">
        <v>1399</v>
      </c>
      <c r="C174" s="12" t="s">
        <v>840</v>
      </c>
      <c r="D174" s="12" t="s">
        <v>817</v>
      </c>
      <c r="E174" s="15" t="s">
        <v>1400</v>
      </c>
      <c r="F174" s="15" t="s">
        <v>1401</v>
      </c>
      <c r="G174" s="15" t="s">
        <v>1402</v>
      </c>
      <c r="H174" s="4" t="s">
        <v>1235</v>
      </c>
    </row>
    <row r="175" spans="1:8" ht="15.5">
      <c r="A175" s="8">
        <v>174</v>
      </c>
      <c r="B175" s="12" t="s">
        <v>332</v>
      </c>
      <c r="C175" s="12" t="s">
        <v>862</v>
      </c>
      <c r="D175" s="12" t="s">
        <v>835</v>
      </c>
      <c r="E175" s="15" t="s">
        <v>1403</v>
      </c>
      <c r="F175" s="15" t="s">
        <v>1404</v>
      </c>
      <c r="G175" s="15" t="s">
        <v>1361</v>
      </c>
      <c r="H175" s="4"/>
    </row>
    <row r="176" spans="1:8" ht="15.5">
      <c r="A176" s="8">
        <v>175</v>
      </c>
      <c r="B176" s="12" t="s">
        <v>547</v>
      </c>
      <c r="C176" s="12" t="s">
        <v>822</v>
      </c>
      <c r="D176" s="12" t="s">
        <v>817</v>
      </c>
      <c r="E176" s="15" t="s">
        <v>1405</v>
      </c>
      <c r="F176" s="15" t="s">
        <v>1211</v>
      </c>
      <c r="G176" s="15" t="s">
        <v>1406</v>
      </c>
      <c r="H176" s="4" t="s">
        <v>1235</v>
      </c>
    </row>
    <row r="177" spans="1:8" ht="15.5">
      <c r="A177" s="8">
        <v>176</v>
      </c>
      <c r="B177" s="12" t="s">
        <v>523</v>
      </c>
      <c r="C177" s="12" t="s">
        <v>840</v>
      </c>
      <c r="D177" s="12" t="s">
        <v>817</v>
      </c>
      <c r="E177" s="15" t="s">
        <v>1407</v>
      </c>
      <c r="F177" s="15" t="s">
        <v>1408</v>
      </c>
      <c r="G177" s="15" t="s">
        <v>1409</v>
      </c>
      <c r="H177" s="4" t="s">
        <v>920</v>
      </c>
    </row>
    <row r="178" spans="1:8" ht="15.5">
      <c r="A178" s="8">
        <v>177</v>
      </c>
      <c r="B178" s="12" t="s">
        <v>354</v>
      </c>
      <c r="C178" s="12" t="s">
        <v>1236</v>
      </c>
      <c r="D178" s="12" t="s">
        <v>817</v>
      </c>
      <c r="E178" s="15" t="s">
        <v>1410</v>
      </c>
      <c r="F178" s="15" t="s">
        <v>1411</v>
      </c>
      <c r="G178" s="15" t="s">
        <v>1412</v>
      </c>
      <c r="H178" s="4" t="s">
        <v>938</v>
      </c>
    </row>
    <row r="179" spans="1:8" ht="15.5">
      <c r="A179" s="8">
        <v>178</v>
      </c>
      <c r="B179" s="12" t="s">
        <v>554</v>
      </c>
      <c r="C179" s="12" t="s">
        <v>922</v>
      </c>
      <c r="D179" s="12" t="s">
        <v>817</v>
      </c>
      <c r="E179" s="15" t="s">
        <v>1413</v>
      </c>
      <c r="F179" s="15" t="s">
        <v>1414</v>
      </c>
      <c r="G179" s="15" t="s">
        <v>1415</v>
      </c>
      <c r="H179" s="4" t="s">
        <v>920</v>
      </c>
    </row>
    <row r="180" spans="1:8" ht="15.5">
      <c r="A180" s="8">
        <v>179</v>
      </c>
      <c r="B180" s="12" t="s">
        <v>311</v>
      </c>
      <c r="C180" s="12" t="s">
        <v>1416</v>
      </c>
      <c r="D180" s="12" t="s">
        <v>817</v>
      </c>
      <c r="E180" s="15" t="s">
        <v>1417</v>
      </c>
      <c r="F180" s="15" t="s">
        <v>1418</v>
      </c>
      <c r="G180" s="15" t="s">
        <v>1419</v>
      </c>
      <c r="H180" s="4" t="s">
        <v>920</v>
      </c>
    </row>
    <row r="181" spans="1:8" ht="15.5">
      <c r="A181" s="8">
        <v>180</v>
      </c>
      <c r="B181" s="12" t="s">
        <v>285</v>
      </c>
      <c r="C181" s="12" t="s">
        <v>844</v>
      </c>
      <c r="D181" s="12" t="s">
        <v>817</v>
      </c>
      <c r="E181" s="15" t="s">
        <v>1420</v>
      </c>
      <c r="F181" s="15" t="s">
        <v>1421</v>
      </c>
      <c r="G181" s="15" t="s">
        <v>1202</v>
      </c>
      <c r="H181" s="4" t="s">
        <v>826</v>
      </c>
    </row>
    <row r="182" spans="1:8" ht="15.5">
      <c r="A182" s="8">
        <v>181</v>
      </c>
      <c r="B182" s="12" t="s">
        <v>157</v>
      </c>
      <c r="C182" s="12" t="s">
        <v>1004</v>
      </c>
      <c r="D182" s="12" t="s">
        <v>835</v>
      </c>
      <c r="E182" s="15" t="s">
        <v>1422</v>
      </c>
      <c r="F182" s="15" t="s">
        <v>1423</v>
      </c>
      <c r="G182" s="15" t="s">
        <v>1424</v>
      </c>
      <c r="H182" s="4"/>
    </row>
    <row r="183" spans="1:8" ht="15.5">
      <c r="A183" s="8">
        <v>182</v>
      </c>
      <c r="B183" s="12" t="s">
        <v>1425</v>
      </c>
      <c r="C183" s="12" t="s">
        <v>1229</v>
      </c>
      <c r="D183" s="12" t="s">
        <v>835</v>
      </c>
      <c r="E183" s="15" t="s">
        <v>1426</v>
      </c>
      <c r="F183" s="15" t="s">
        <v>1427</v>
      </c>
      <c r="G183" s="15" t="s">
        <v>1277</v>
      </c>
      <c r="H183" s="4"/>
    </row>
    <row r="184" spans="1:8" ht="15.5">
      <c r="A184" s="8">
        <v>183</v>
      </c>
      <c r="B184" s="12" t="s">
        <v>204</v>
      </c>
      <c r="C184" s="12" t="s">
        <v>1428</v>
      </c>
      <c r="D184" s="12" t="s">
        <v>835</v>
      </c>
      <c r="E184" s="15" t="s">
        <v>1429</v>
      </c>
      <c r="F184" s="15" t="s">
        <v>1430</v>
      </c>
      <c r="G184" s="15" t="s">
        <v>1355</v>
      </c>
      <c r="H184" s="4"/>
    </row>
    <row r="185" spans="1:8" ht="15.5">
      <c r="A185" s="8">
        <v>184</v>
      </c>
      <c r="B185" s="12" t="s">
        <v>362</v>
      </c>
      <c r="C185" s="12" t="s">
        <v>822</v>
      </c>
      <c r="D185" s="12" t="s">
        <v>817</v>
      </c>
      <c r="E185" s="15" t="s">
        <v>1431</v>
      </c>
      <c r="F185" s="15" t="s">
        <v>1432</v>
      </c>
      <c r="G185" s="15" t="s">
        <v>1433</v>
      </c>
      <c r="H185" s="4" t="s">
        <v>899</v>
      </c>
    </row>
    <row r="186" spans="1:8" ht="15.5">
      <c r="A186" s="8">
        <v>185</v>
      </c>
      <c r="B186" s="12" t="s">
        <v>335</v>
      </c>
      <c r="C186" s="12" t="s">
        <v>822</v>
      </c>
      <c r="D186" s="12" t="s">
        <v>835</v>
      </c>
      <c r="E186" s="15" t="s">
        <v>1434</v>
      </c>
      <c r="F186" s="15" t="s">
        <v>1435</v>
      </c>
      <c r="G186" s="15" t="s">
        <v>1371</v>
      </c>
      <c r="H186" s="4"/>
    </row>
    <row r="187" spans="1:8" ht="15.5">
      <c r="A187" s="8">
        <v>186</v>
      </c>
      <c r="B187" s="12" t="s">
        <v>418</v>
      </c>
      <c r="C187" s="12" t="s">
        <v>827</v>
      </c>
      <c r="D187" s="12" t="s">
        <v>817</v>
      </c>
      <c r="E187" s="15" t="s">
        <v>1436</v>
      </c>
      <c r="F187" s="15" t="s">
        <v>1437</v>
      </c>
      <c r="G187" s="15" t="s">
        <v>1438</v>
      </c>
      <c r="H187" s="4" t="s">
        <v>1221</v>
      </c>
    </row>
    <row r="188" spans="1:8" ht="15.5">
      <c r="A188" s="8">
        <v>187</v>
      </c>
      <c r="B188" s="12" t="s">
        <v>115</v>
      </c>
      <c r="C188" s="12" t="s">
        <v>822</v>
      </c>
      <c r="D188" s="12" t="s">
        <v>835</v>
      </c>
      <c r="E188" s="15" t="s">
        <v>1439</v>
      </c>
      <c r="F188" s="15" t="s">
        <v>1440</v>
      </c>
      <c r="G188" s="15" t="s">
        <v>1441</v>
      </c>
      <c r="H188" s="4"/>
    </row>
    <row r="189" spans="1:8" ht="15.5">
      <c r="A189" s="8">
        <v>188</v>
      </c>
      <c r="B189" s="12" t="s">
        <v>215</v>
      </c>
      <c r="C189" s="12" t="s">
        <v>910</v>
      </c>
      <c r="D189" s="12" t="s">
        <v>835</v>
      </c>
      <c r="E189" s="15" t="s">
        <v>1442</v>
      </c>
      <c r="F189" s="15" t="s">
        <v>1443</v>
      </c>
      <c r="G189" s="15" t="s">
        <v>1444</v>
      </c>
      <c r="H189" s="4"/>
    </row>
    <row r="190" spans="1:8" ht="15.5">
      <c r="A190" s="8">
        <v>189</v>
      </c>
      <c r="B190" s="12" t="s">
        <v>229</v>
      </c>
      <c r="C190" s="12" t="s">
        <v>1445</v>
      </c>
      <c r="D190" s="12" t="s">
        <v>835</v>
      </c>
      <c r="E190" s="15" t="s">
        <v>1446</v>
      </c>
      <c r="F190" s="15" t="s">
        <v>1447</v>
      </c>
      <c r="G190" s="15" t="s">
        <v>1448</v>
      </c>
      <c r="H190" s="4"/>
    </row>
    <row r="191" spans="1:8" ht="15.5">
      <c r="A191" s="8">
        <v>190</v>
      </c>
      <c r="B191" s="12" t="s">
        <v>561</v>
      </c>
      <c r="C191" s="12" t="s">
        <v>1164</v>
      </c>
      <c r="D191" s="12" t="s">
        <v>817</v>
      </c>
      <c r="E191" s="15" t="s">
        <v>1449</v>
      </c>
      <c r="F191" s="15" t="s">
        <v>1450</v>
      </c>
      <c r="G191" s="15" t="s">
        <v>1451</v>
      </c>
      <c r="H191" s="4" t="s">
        <v>920</v>
      </c>
    </row>
    <row r="192" spans="1:8" ht="15.5">
      <c r="A192" s="8">
        <v>191</v>
      </c>
      <c r="B192" s="12" t="s">
        <v>1452</v>
      </c>
      <c r="C192" s="12" t="s">
        <v>1416</v>
      </c>
      <c r="D192" s="12" t="s">
        <v>835</v>
      </c>
      <c r="E192" s="15" t="s">
        <v>1453</v>
      </c>
      <c r="F192" s="15" t="s">
        <v>1454</v>
      </c>
      <c r="G192" s="15" t="s">
        <v>1455</v>
      </c>
      <c r="H192" s="4"/>
    </row>
    <row r="193" spans="1:8" ht="15.5">
      <c r="A193" s="8">
        <v>192</v>
      </c>
      <c r="B193" s="12" t="s">
        <v>149</v>
      </c>
      <c r="C193" s="12" t="s">
        <v>844</v>
      </c>
      <c r="D193" s="12" t="s">
        <v>835</v>
      </c>
      <c r="E193" s="15" t="s">
        <v>1456</v>
      </c>
      <c r="F193" s="15" t="s">
        <v>1457</v>
      </c>
      <c r="G193" s="15" t="s">
        <v>1458</v>
      </c>
      <c r="H193" s="4"/>
    </row>
    <row r="194" spans="1:8" ht="15.5">
      <c r="A194" s="8">
        <v>193</v>
      </c>
      <c r="B194" s="12" t="s">
        <v>276</v>
      </c>
      <c r="C194" s="12" t="s">
        <v>816</v>
      </c>
      <c r="D194" s="12" t="s">
        <v>835</v>
      </c>
      <c r="E194" s="15" t="s">
        <v>1459</v>
      </c>
      <c r="F194" s="15" t="s">
        <v>1460</v>
      </c>
      <c r="G194" s="15" t="s">
        <v>1461</v>
      </c>
      <c r="H194" s="4"/>
    </row>
    <row r="195" spans="1:8" ht="15.5">
      <c r="A195" s="8">
        <v>194</v>
      </c>
      <c r="B195" s="12" t="s">
        <v>534</v>
      </c>
      <c r="C195" s="12" t="s">
        <v>943</v>
      </c>
      <c r="D195" s="12" t="s">
        <v>835</v>
      </c>
      <c r="E195" s="15" t="s">
        <v>1462</v>
      </c>
      <c r="F195" s="15" t="s">
        <v>1463</v>
      </c>
      <c r="G195" s="15" t="s">
        <v>1464</v>
      </c>
      <c r="H195" s="4"/>
    </row>
    <row r="196" spans="1:8" ht="15.5">
      <c r="A196" s="8">
        <v>195</v>
      </c>
      <c r="B196" s="12" t="s">
        <v>462</v>
      </c>
      <c r="C196" s="12" t="s">
        <v>840</v>
      </c>
      <c r="D196" s="12" t="s">
        <v>817</v>
      </c>
      <c r="E196" s="15" t="s">
        <v>1465</v>
      </c>
      <c r="F196" s="15" t="s">
        <v>1466</v>
      </c>
      <c r="G196" s="15" t="s">
        <v>1467</v>
      </c>
      <c r="H196" s="4" t="s">
        <v>1221</v>
      </c>
    </row>
    <row r="197" spans="1:8" ht="15.5">
      <c r="A197" s="8">
        <v>196</v>
      </c>
      <c r="B197" s="12" t="s">
        <v>1468</v>
      </c>
      <c r="C197" s="12" t="s">
        <v>844</v>
      </c>
      <c r="D197" s="12" t="s">
        <v>835</v>
      </c>
      <c r="E197" s="15" t="s">
        <v>1469</v>
      </c>
      <c r="F197" s="15" t="s">
        <v>1470</v>
      </c>
      <c r="G197" s="15"/>
      <c r="H197" s="4"/>
    </row>
    <row r="198" spans="1:8" ht="15.5">
      <c r="A198" s="8">
        <v>197</v>
      </c>
      <c r="B198" s="12" t="s">
        <v>320</v>
      </c>
      <c r="C198" s="12" t="s">
        <v>1124</v>
      </c>
      <c r="D198" s="12" t="s">
        <v>817</v>
      </c>
      <c r="E198" s="15" t="s">
        <v>1471</v>
      </c>
      <c r="F198" s="15" t="s">
        <v>1472</v>
      </c>
      <c r="G198" s="15" t="s">
        <v>1473</v>
      </c>
      <c r="H198" s="4" t="s">
        <v>938</v>
      </c>
    </row>
    <row r="199" spans="1:8" ht="15.5">
      <c r="A199" s="8">
        <v>198</v>
      </c>
      <c r="B199" s="12" t="s">
        <v>1474</v>
      </c>
      <c r="C199" s="12" t="s">
        <v>1124</v>
      </c>
      <c r="D199" s="12" t="s">
        <v>835</v>
      </c>
      <c r="E199" s="15" t="s">
        <v>1475</v>
      </c>
      <c r="F199" s="15" t="s">
        <v>1476</v>
      </c>
      <c r="G199" s="15" t="s">
        <v>1477</v>
      </c>
      <c r="H199" s="4"/>
    </row>
    <row r="200" spans="1:8" ht="15.5">
      <c r="A200" s="8">
        <v>199</v>
      </c>
      <c r="B200" s="12" t="s">
        <v>1478</v>
      </c>
      <c r="C200" s="12" t="s">
        <v>840</v>
      </c>
      <c r="D200" s="12" t="s">
        <v>835</v>
      </c>
      <c r="E200" s="15" t="s">
        <v>1479</v>
      </c>
      <c r="F200" s="15" t="s">
        <v>1480</v>
      </c>
      <c r="G200" s="15" t="s">
        <v>1481</v>
      </c>
      <c r="H200" s="4"/>
    </row>
    <row r="201" spans="1:8" ht="15.5">
      <c r="A201" s="8">
        <v>200</v>
      </c>
      <c r="B201" s="12" t="s">
        <v>304</v>
      </c>
      <c r="C201" s="12" t="s">
        <v>822</v>
      </c>
      <c r="D201" s="12" t="s">
        <v>817</v>
      </c>
      <c r="E201" s="15" t="s">
        <v>1482</v>
      </c>
      <c r="F201" s="15" t="s">
        <v>1483</v>
      </c>
      <c r="G201" s="15" t="s">
        <v>1484</v>
      </c>
      <c r="H201" s="4" t="s">
        <v>938</v>
      </c>
    </row>
    <row r="202" spans="1:8" ht="15.5">
      <c r="A202" s="8">
        <v>201</v>
      </c>
      <c r="B202" s="12" t="s">
        <v>1487</v>
      </c>
      <c r="C202" s="12" t="s">
        <v>1164</v>
      </c>
      <c r="D202" s="12" t="s">
        <v>835</v>
      </c>
      <c r="E202" s="15" t="s">
        <v>1488</v>
      </c>
      <c r="F202" s="15" t="s">
        <v>1489</v>
      </c>
      <c r="G202" s="15" t="s">
        <v>1490</v>
      </c>
      <c r="H202" s="4"/>
    </row>
    <row r="203" spans="1:8" ht="15.5">
      <c r="A203" s="8">
        <v>202</v>
      </c>
      <c r="B203" s="12" t="s">
        <v>1491</v>
      </c>
      <c r="C203" s="12" t="s">
        <v>840</v>
      </c>
      <c r="D203" s="12" t="s">
        <v>817</v>
      </c>
      <c r="E203" s="15" t="s">
        <v>1492</v>
      </c>
      <c r="F203" s="15" t="s">
        <v>1493</v>
      </c>
      <c r="G203" s="15" t="s">
        <v>1494</v>
      </c>
      <c r="H203" s="4" t="s">
        <v>1336</v>
      </c>
    </row>
    <row r="204" spans="1:8" ht="15.5">
      <c r="A204" s="8">
        <v>203</v>
      </c>
      <c r="B204" s="12" t="s">
        <v>508</v>
      </c>
      <c r="C204" s="12" t="s">
        <v>922</v>
      </c>
      <c r="D204" s="12" t="s">
        <v>817</v>
      </c>
      <c r="E204" s="15" t="s">
        <v>1495</v>
      </c>
      <c r="F204" s="15" t="s">
        <v>1496</v>
      </c>
      <c r="G204" s="15" t="s">
        <v>1497</v>
      </c>
      <c r="H204" s="4" t="s">
        <v>1498</v>
      </c>
    </row>
    <row r="205" spans="1:8" ht="15.5">
      <c r="A205" s="8">
        <v>204</v>
      </c>
      <c r="B205" s="12" t="s">
        <v>264</v>
      </c>
      <c r="C205" s="12" t="s">
        <v>822</v>
      </c>
      <c r="D205" s="12" t="s">
        <v>835</v>
      </c>
      <c r="E205" s="15" t="s">
        <v>1499</v>
      </c>
      <c r="F205" s="15" t="s">
        <v>1500</v>
      </c>
      <c r="G205" s="15" t="s">
        <v>1441</v>
      </c>
      <c r="H205" s="4"/>
    </row>
    <row r="206" spans="1:8" ht="15.5">
      <c r="A206" s="8">
        <v>205</v>
      </c>
      <c r="B206" s="12" t="s">
        <v>192</v>
      </c>
      <c r="C206" s="12" t="s">
        <v>851</v>
      </c>
      <c r="D206" s="12" t="s">
        <v>835</v>
      </c>
      <c r="E206" s="15" t="s">
        <v>1501</v>
      </c>
      <c r="F206" s="15" t="s">
        <v>1502</v>
      </c>
      <c r="G206" s="15" t="s">
        <v>1167</v>
      </c>
      <c r="H206" s="4"/>
    </row>
    <row r="207" spans="1:8" ht="15.5">
      <c r="A207" s="8">
        <v>206</v>
      </c>
      <c r="B207" s="12" t="s">
        <v>519</v>
      </c>
      <c r="C207" s="12" t="s">
        <v>922</v>
      </c>
      <c r="D207" s="12" t="s">
        <v>817</v>
      </c>
      <c r="E207" s="15" t="s">
        <v>1503</v>
      </c>
      <c r="F207" s="15" t="s">
        <v>1504</v>
      </c>
      <c r="G207" s="15" t="s">
        <v>1284</v>
      </c>
      <c r="H207" s="4" t="s">
        <v>1336</v>
      </c>
    </row>
    <row r="208" spans="1:8" ht="15.5">
      <c r="A208" s="8">
        <v>207</v>
      </c>
      <c r="B208" s="12" t="s">
        <v>208</v>
      </c>
      <c r="C208" s="12" t="s">
        <v>822</v>
      </c>
      <c r="D208" s="12" t="s">
        <v>835</v>
      </c>
      <c r="E208" s="15" t="s">
        <v>1505</v>
      </c>
      <c r="F208" s="15" t="s">
        <v>1506</v>
      </c>
      <c r="G208" s="15" t="s">
        <v>1146</v>
      </c>
      <c r="H208" s="4"/>
    </row>
    <row r="209" spans="1:8" ht="15.5">
      <c r="A209" s="8">
        <v>208</v>
      </c>
      <c r="B209" s="12" t="s">
        <v>410</v>
      </c>
      <c r="C209" s="12" t="s">
        <v>883</v>
      </c>
      <c r="D209" s="12" t="s">
        <v>817</v>
      </c>
      <c r="E209" s="15" t="s">
        <v>1507</v>
      </c>
      <c r="F209" s="15" t="s">
        <v>1508</v>
      </c>
      <c r="G209" s="15" t="s">
        <v>1509</v>
      </c>
      <c r="H209" s="4" t="s">
        <v>938</v>
      </c>
    </row>
    <row r="210" spans="1:8" ht="15.5">
      <c r="A210" s="8">
        <v>209</v>
      </c>
      <c r="B210" s="12" t="s">
        <v>140</v>
      </c>
      <c r="C210" s="12" t="s">
        <v>851</v>
      </c>
      <c r="D210" s="12" t="s">
        <v>835</v>
      </c>
      <c r="E210" s="15" t="s">
        <v>1510</v>
      </c>
      <c r="F210" s="15" t="s">
        <v>1511</v>
      </c>
      <c r="G210" s="15" t="s">
        <v>1512</v>
      </c>
      <c r="H210" s="4"/>
    </row>
    <row r="211" spans="1:8" ht="15.5">
      <c r="A211" s="8">
        <v>210</v>
      </c>
      <c r="B211" s="12" t="s">
        <v>190</v>
      </c>
      <c r="C211" s="12" t="s">
        <v>862</v>
      </c>
      <c r="D211" s="12" t="s">
        <v>835</v>
      </c>
      <c r="E211" s="15" t="s">
        <v>1513</v>
      </c>
      <c r="F211" s="15" t="s">
        <v>1514</v>
      </c>
      <c r="G211" s="15" t="s">
        <v>1316</v>
      </c>
      <c r="H211" s="4"/>
    </row>
    <row r="212" spans="1:8" ht="15.5">
      <c r="A212" s="8">
        <v>211</v>
      </c>
      <c r="B212" s="12" t="s">
        <v>223</v>
      </c>
      <c r="C212" s="12" t="s">
        <v>858</v>
      </c>
      <c r="D212" s="12" t="s">
        <v>817</v>
      </c>
      <c r="E212" s="15" t="s">
        <v>1515</v>
      </c>
      <c r="F212" s="15" t="s">
        <v>1516</v>
      </c>
      <c r="G212" s="15" t="s">
        <v>1107</v>
      </c>
      <c r="H212" s="4" t="s">
        <v>1221</v>
      </c>
    </row>
    <row r="213" spans="1:8" ht="15.5">
      <c r="A213" s="8">
        <v>212</v>
      </c>
      <c r="B213" s="12" t="s">
        <v>1517</v>
      </c>
      <c r="C213" s="12" t="s">
        <v>979</v>
      </c>
      <c r="D213" s="12" t="s">
        <v>835</v>
      </c>
      <c r="E213" s="15" t="s">
        <v>1518</v>
      </c>
      <c r="F213" s="15" t="s">
        <v>1519</v>
      </c>
      <c r="G213" s="15" t="s">
        <v>1467</v>
      </c>
      <c r="H213" s="4"/>
    </row>
    <row r="214" spans="1:8" ht="15.5">
      <c r="A214" s="8">
        <v>213</v>
      </c>
      <c r="B214" s="12" t="s">
        <v>309</v>
      </c>
      <c r="C214" s="12" t="s">
        <v>922</v>
      </c>
      <c r="D214" s="12" t="s">
        <v>817</v>
      </c>
      <c r="E214" s="15" t="s">
        <v>1520</v>
      </c>
      <c r="F214" s="15" t="s">
        <v>1521</v>
      </c>
      <c r="G214" s="15" t="s">
        <v>1522</v>
      </c>
      <c r="H214" s="4" t="s">
        <v>920</v>
      </c>
    </row>
    <row r="215" spans="1:8" ht="15.5">
      <c r="A215" s="8">
        <v>214</v>
      </c>
      <c r="B215" s="12" t="s">
        <v>491</v>
      </c>
      <c r="C215" s="12" t="s">
        <v>971</v>
      </c>
      <c r="D215" s="12" t="s">
        <v>817</v>
      </c>
      <c r="E215" s="15" t="s">
        <v>1523</v>
      </c>
      <c r="F215" s="15" t="s">
        <v>1524</v>
      </c>
      <c r="G215" s="15" t="s">
        <v>1142</v>
      </c>
      <c r="H215" s="4" t="s">
        <v>899</v>
      </c>
    </row>
    <row r="216" spans="1:8" ht="15.5">
      <c r="A216" s="8">
        <v>215</v>
      </c>
      <c r="B216" s="12" t="s">
        <v>262</v>
      </c>
      <c r="C216" s="12" t="s">
        <v>979</v>
      </c>
      <c r="D216" s="12" t="s">
        <v>835</v>
      </c>
      <c r="E216" s="15" t="s">
        <v>1525</v>
      </c>
      <c r="F216" s="15" t="s">
        <v>1526</v>
      </c>
      <c r="G216" s="15" t="s">
        <v>1527</v>
      </c>
      <c r="H216" s="4"/>
    </row>
    <row r="217" spans="1:8" ht="15.5">
      <c r="A217" s="8">
        <v>216</v>
      </c>
      <c r="B217" s="12" t="s">
        <v>476</v>
      </c>
      <c r="C217" s="12" t="s">
        <v>1229</v>
      </c>
      <c r="D217" s="12" t="s">
        <v>817</v>
      </c>
      <c r="E217" s="15" t="s">
        <v>1528</v>
      </c>
      <c r="F217" s="15" t="s">
        <v>1529</v>
      </c>
      <c r="G217" s="15" t="s">
        <v>1530</v>
      </c>
      <c r="H217" s="4" t="s">
        <v>899</v>
      </c>
    </row>
    <row r="218" spans="1:8" ht="15.5">
      <c r="A218" s="8">
        <v>217</v>
      </c>
      <c r="B218" s="12" t="s">
        <v>238</v>
      </c>
      <c r="C218" s="12" t="s">
        <v>1531</v>
      </c>
      <c r="D218" s="12" t="s">
        <v>835</v>
      </c>
      <c r="E218" s="15" t="s">
        <v>1532</v>
      </c>
      <c r="F218" s="15" t="s">
        <v>1533</v>
      </c>
      <c r="G218" s="15" t="s">
        <v>1534</v>
      </c>
      <c r="H218" s="4"/>
    </row>
    <row r="219" spans="1:8" ht="15.5">
      <c r="A219" s="8">
        <v>218</v>
      </c>
      <c r="B219" s="12" t="s">
        <v>637</v>
      </c>
      <c r="C219" s="12" t="s">
        <v>822</v>
      </c>
      <c r="D219" s="12" t="s">
        <v>817</v>
      </c>
      <c r="E219" s="15" t="s">
        <v>1535</v>
      </c>
      <c r="F219" s="15" t="s">
        <v>1536</v>
      </c>
      <c r="G219" s="15" t="s">
        <v>1537</v>
      </c>
      <c r="H219" s="4" t="s">
        <v>830</v>
      </c>
    </row>
    <row r="220" spans="1:8" ht="15.5">
      <c r="A220" s="8">
        <v>219</v>
      </c>
      <c r="B220" s="12" t="s">
        <v>207</v>
      </c>
      <c r="C220" s="12" t="s">
        <v>858</v>
      </c>
      <c r="D220" s="12" t="s">
        <v>817</v>
      </c>
      <c r="E220" s="15" t="s">
        <v>1538</v>
      </c>
      <c r="F220" s="15" t="s">
        <v>1539</v>
      </c>
      <c r="G220" s="15" t="s">
        <v>1540</v>
      </c>
      <c r="H220" s="4" t="s">
        <v>1336</v>
      </c>
    </row>
    <row r="221" spans="1:8" ht="15.5">
      <c r="A221" s="8">
        <v>220</v>
      </c>
      <c r="B221" s="12" t="s">
        <v>328</v>
      </c>
      <c r="C221" s="12" t="s">
        <v>851</v>
      </c>
      <c r="D221" s="12" t="s">
        <v>817</v>
      </c>
      <c r="E221" s="15" t="s">
        <v>1541</v>
      </c>
      <c r="F221" s="15" t="s">
        <v>1542</v>
      </c>
      <c r="G221" s="15" t="s">
        <v>1543</v>
      </c>
      <c r="H221" s="4" t="s">
        <v>826</v>
      </c>
    </row>
    <row r="222" spans="1:8" ht="15.5">
      <c r="A222" s="8">
        <v>221</v>
      </c>
      <c r="B222" s="12" t="s">
        <v>313</v>
      </c>
      <c r="C222" s="12" t="s">
        <v>816</v>
      </c>
      <c r="D222" s="12" t="s">
        <v>817</v>
      </c>
      <c r="E222" s="15" t="s">
        <v>1544</v>
      </c>
      <c r="F222" s="15" t="s">
        <v>1545</v>
      </c>
      <c r="G222" s="15" t="s">
        <v>1546</v>
      </c>
      <c r="H222" s="4" t="s">
        <v>1235</v>
      </c>
    </row>
    <row r="223" spans="1:8" ht="15.5">
      <c r="A223" s="8">
        <v>222</v>
      </c>
      <c r="B223" s="12" t="s">
        <v>280</v>
      </c>
      <c r="C223" s="12" t="s">
        <v>1082</v>
      </c>
      <c r="D223" s="12" t="s">
        <v>817</v>
      </c>
      <c r="E223" s="15" t="s">
        <v>1547</v>
      </c>
      <c r="F223" s="15" t="s">
        <v>1548</v>
      </c>
      <c r="G223" s="15" t="s">
        <v>1549</v>
      </c>
      <c r="H223" s="4" t="s">
        <v>821</v>
      </c>
    </row>
    <row r="224" spans="1:8" ht="15.5">
      <c r="A224" s="8">
        <v>223</v>
      </c>
      <c r="B224" s="12" t="s">
        <v>439</v>
      </c>
      <c r="C224" s="12" t="s">
        <v>1104</v>
      </c>
      <c r="D224" s="12" t="s">
        <v>817</v>
      </c>
      <c r="E224" s="15" t="s">
        <v>1550</v>
      </c>
      <c r="F224" s="15" t="s">
        <v>1551</v>
      </c>
      <c r="G224" s="15" t="s">
        <v>1270</v>
      </c>
      <c r="H224" s="4" t="s">
        <v>1235</v>
      </c>
    </row>
    <row r="225" spans="1:8" ht="15.5">
      <c r="A225" s="8">
        <v>224</v>
      </c>
      <c r="B225" s="12" t="s">
        <v>1552</v>
      </c>
      <c r="C225" s="12" t="s">
        <v>858</v>
      </c>
      <c r="D225" s="12" t="s">
        <v>817</v>
      </c>
      <c r="E225" s="15" t="s">
        <v>1553</v>
      </c>
      <c r="F225" s="15" t="s">
        <v>1554</v>
      </c>
      <c r="G225" s="15" t="s">
        <v>1555</v>
      </c>
      <c r="H225" s="4" t="s">
        <v>821</v>
      </c>
    </row>
    <row r="226" spans="1:8" ht="15.5">
      <c r="A226" s="8">
        <v>225</v>
      </c>
      <c r="B226" s="12" t="s">
        <v>1556</v>
      </c>
      <c r="C226" s="12" t="s">
        <v>889</v>
      </c>
      <c r="D226" s="12" t="s">
        <v>835</v>
      </c>
      <c r="E226" s="15" t="s">
        <v>1557</v>
      </c>
      <c r="F226" s="15" t="s">
        <v>1558</v>
      </c>
      <c r="G226" s="15" t="s">
        <v>1361</v>
      </c>
      <c r="H226" s="4"/>
    </row>
    <row r="227" spans="1:8" ht="15.5">
      <c r="A227" s="8">
        <v>226</v>
      </c>
      <c r="B227" s="12" t="s">
        <v>1559</v>
      </c>
      <c r="C227" s="12" t="s">
        <v>910</v>
      </c>
      <c r="D227" s="12" t="s">
        <v>817</v>
      </c>
      <c r="E227" s="15" t="s">
        <v>1560</v>
      </c>
      <c r="F227" s="15" t="s">
        <v>1561</v>
      </c>
      <c r="G227" s="15" t="s">
        <v>1562</v>
      </c>
      <c r="H227" s="4" t="s">
        <v>938</v>
      </c>
    </row>
    <row r="228" spans="1:8" ht="15.5">
      <c r="A228" s="8">
        <v>227</v>
      </c>
      <c r="B228" s="12" t="s">
        <v>360</v>
      </c>
      <c r="C228" s="12" t="s">
        <v>822</v>
      </c>
      <c r="D228" s="12" t="s">
        <v>835</v>
      </c>
      <c r="E228" s="15" t="s">
        <v>1563</v>
      </c>
      <c r="F228" s="15" t="s">
        <v>1564</v>
      </c>
      <c r="G228" s="15" t="s">
        <v>1565</v>
      </c>
      <c r="H228" s="4"/>
    </row>
    <row r="229" spans="1:8" ht="15.5">
      <c r="A229" s="8">
        <v>228</v>
      </c>
      <c r="B229" s="12" t="s">
        <v>103</v>
      </c>
      <c r="C229" s="12" t="s">
        <v>943</v>
      </c>
      <c r="D229" s="12" t="s">
        <v>835</v>
      </c>
      <c r="E229" s="15" t="s">
        <v>1566</v>
      </c>
      <c r="F229" s="15" t="s">
        <v>1567</v>
      </c>
      <c r="G229" s="15" t="s">
        <v>1246</v>
      </c>
      <c r="H229" s="4"/>
    </row>
    <row r="230" spans="1:8" ht="15.5">
      <c r="A230" s="8">
        <v>229</v>
      </c>
      <c r="B230" s="12" t="s">
        <v>461</v>
      </c>
      <c r="C230" s="12" t="s">
        <v>971</v>
      </c>
      <c r="D230" s="12" t="s">
        <v>817</v>
      </c>
      <c r="E230" s="15" t="s">
        <v>1568</v>
      </c>
      <c r="F230" s="15" t="s">
        <v>1569</v>
      </c>
      <c r="G230" s="15" t="s">
        <v>1570</v>
      </c>
      <c r="H230" s="4" t="s">
        <v>1221</v>
      </c>
    </row>
    <row r="231" spans="1:8" ht="15.5">
      <c r="A231" s="8">
        <v>230</v>
      </c>
      <c r="B231" s="12" t="s">
        <v>405</v>
      </c>
      <c r="C231" s="12" t="s">
        <v>858</v>
      </c>
      <c r="D231" s="12" t="s">
        <v>817</v>
      </c>
      <c r="E231" s="15" t="s">
        <v>1571</v>
      </c>
      <c r="F231" s="15" t="s">
        <v>1572</v>
      </c>
      <c r="G231" s="15" t="s">
        <v>1573</v>
      </c>
      <c r="H231" s="4" t="s">
        <v>1336</v>
      </c>
    </row>
    <row r="232" spans="1:8" ht="15.5">
      <c r="A232" s="8">
        <v>231</v>
      </c>
      <c r="B232" s="12" t="s">
        <v>339</v>
      </c>
      <c r="C232" s="12" t="s">
        <v>1183</v>
      </c>
      <c r="D232" s="12" t="s">
        <v>835</v>
      </c>
      <c r="E232" s="15" t="s">
        <v>1185</v>
      </c>
      <c r="F232" s="15" t="s">
        <v>1574</v>
      </c>
      <c r="G232" s="15" t="s">
        <v>1575</v>
      </c>
      <c r="H232" s="4"/>
    </row>
    <row r="233" spans="1:8" ht="15.5">
      <c r="A233" s="8">
        <v>232</v>
      </c>
      <c r="B233" s="12" t="s">
        <v>529</v>
      </c>
      <c r="C233" s="12" t="s">
        <v>1082</v>
      </c>
      <c r="D233" s="12" t="s">
        <v>817</v>
      </c>
      <c r="E233" s="15" t="s">
        <v>1576</v>
      </c>
      <c r="F233" s="15" t="s">
        <v>1577</v>
      </c>
      <c r="G233" s="15" t="s">
        <v>1578</v>
      </c>
      <c r="H233" s="4" t="s">
        <v>899</v>
      </c>
    </row>
    <row r="234" spans="1:8" ht="15.5">
      <c r="A234" s="8">
        <v>233</v>
      </c>
      <c r="B234" s="12" t="s">
        <v>496</v>
      </c>
      <c r="C234" s="12" t="s">
        <v>979</v>
      </c>
      <c r="D234" s="12" t="s">
        <v>817</v>
      </c>
      <c r="E234" s="15" t="s">
        <v>1579</v>
      </c>
      <c r="F234" s="15" t="s">
        <v>1580</v>
      </c>
      <c r="G234" s="15" t="s">
        <v>1581</v>
      </c>
      <c r="H234" s="4" t="s">
        <v>1498</v>
      </c>
    </row>
    <row r="235" spans="1:8" ht="15.5">
      <c r="A235" s="8">
        <v>234</v>
      </c>
      <c r="B235" s="12" t="s">
        <v>277</v>
      </c>
      <c r="C235" s="12" t="s">
        <v>1582</v>
      </c>
      <c r="D235" s="12" t="s">
        <v>835</v>
      </c>
      <c r="E235" s="15" t="s">
        <v>1583</v>
      </c>
      <c r="F235" s="15" t="s">
        <v>1584</v>
      </c>
      <c r="G235" s="15" t="s">
        <v>1585</v>
      </c>
      <c r="H235" s="4"/>
    </row>
    <row r="236" spans="1:8" ht="15.5">
      <c r="A236" s="8">
        <v>235</v>
      </c>
      <c r="B236" s="12" t="s">
        <v>1586</v>
      </c>
      <c r="C236" s="12" t="s">
        <v>822</v>
      </c>
      <c r="D236" s="12" t="s">
        <v>835</v>
      </c>
      <c r="E236" s="15" t="s">
        <v>1587</v>
      </c>
      <c r="F236" s="15" t="s">
        <v>1588</v>
      </c>
      <c r="G236" s="15" t="s">
        <v>1589</v>
      </c>
      <c r="H236" s="4"/>
    </row>
    <row r="237" spans="1:8" ht="15.5">
      <c r="A237" s="8">
        <v>236</v>
      </c>
      <c r="B237" s="12" t="s">
        <v>170</v>
      </c>
      <c r="C237" s="12" t="s">
        <v>1590</v>
      </c>
      <c r="D237" s="12" t="s">
        <v>835</v>
      </c>
      <c r="E237" s="15" t="s">
        <v>1591</v>
      </c>
      <c r="F237" s="15" t="s">
        <v>1592</v>
      </c>
      <c r="G237" s="15" t="s">
        <v>1173</v>
      </c>
      <c r="H237" s="4"/>
    </row>
    <row r="238" spans="1:8" ht="15.5">
      <c r="A238" s="8">
        <v>237</v>
      </c>
      <c r="B238" s="12" t="s">
        <v>159</v>
      </c>
      <c r="C238" s="12" t="s">
        <v>950</v>
      </c>
      <c r="D238" s="12" t="s">
        <v>835</v>
      </c>
      <c r="E238" s="15" t="s">
        <v>1593</v>
      </c>
      <c r="F238" s="15" t="s">
        <v>1594</v>
      </c>
      <c r="G238" s="15" t="s">
        <v>1595</v>
      </c>
      <c r="H238" s="4"/>
    </row>
    <row r="239" spans="1:8" ht="15.5">
      <c r="A239" s="8">
        <v>238</v>
      </c>
      <c r="B239" s="12" t="s">
        <v>161</v>
      </c>
      <c r="C239" s="12" t="s">
        <v>1124</v>
      </c>
      <c r="D239" s="12" t="s">
        <v>817</v>
      </c>
      <c r="E239" s="15" t="s">
        <v>1596</v>
      </c>
      <c r="F239" s="15" t="s">
        <v>1597</v>
      </c>
      <c r="G239" s="15" t="s">
        <v>1598</v>
      </c>
      <c r="H239" s="4" t="s">
        <v>899</v>
      </c>
    </row>
    <row r="240" spans="1:8" ht="15.5">
      <c r="A240" s="8">
        <v>239</v>
      </c>
      <c r="B240" s="12" t="s">
        <v>1599</v>
      </c>
      <c r="C240" s="12" t="s">
        <v>840</v>
      </c>
      <c r="D240" s="12" t="s">
        <v>817</v>
      </c>
      <c r="E240" s="15" t="s">
        <v>1600</v>
      </c>
      <c r="F240" s="15" t="s">
        <v>1601</v>
      </c>
      <c r="G240" s="15" t="s">
        <v>1602</v>
      </c>
      <c r="H240" s="4" t="s">
        <v>920</v>
      </c>
    </row>
    <row r="241" spans="1:8" ht="15.5">
      <c r="A241" s="8">
        <v>240</v>
      </c>
      <c r="B241" s="12" t="s">
        <v>459</v>
      </c>
      <c r="C241" s="12" t="s">
        <v>844</v>
      </c>
      <c r="D241" s="12" t="s">
        <v>817</v>
      </c>
      <c r="E241" s="15" t="s">
        <v>1603</v>
      </c>
      <c r="F241" s="15" t="s">
        <v>1604</v>
      </c>
      <c r="G241" s="15" t="s">
        <v>1605</v>
      </c>
      <c r="H241" s="4" t="s">
        <v>920</v>
      </c>
    </row>
    <row r="242" spans="1:8" ht="15.5">
      <c r="A242" s="8">
        <v>241</v>
      </c>
      <c r="B242" s="12" t="s">
        <v>164</v>
      </c>
      <c r="C242" s="12" t="s">
        <v>943</v>
      </c>
      <c r="D242" s="12" t="s">
        <v>835</v>
      </c>
      <c r="E242" s="15" t="s">
        <v>1606</v>
      </c>
      <c r="F242" s="15" t="s">
        <v>1607</v>
      </c>
      <c r="G242" s="15" t="s">
        <v>1608</v>
      </c>
      <c r="H242" s="4"/>
    </row>
    <row r="243" spans="1:8" ht="15.5">
      <c r="A243" s="8">
        <v>242</v>
      </c>
      <c r="B243" s="12" t="s">
        <v>246</v>
      </c>
      <c r="C243" s="12" t="s">
        <v>858</v>
      </c>
      <c r="D243" s="12" t="s">
        <v>817</v>
      </c>
      <c r="E243" s="15" t="s">
        <v>1609</v>
      </c>
      <c r="F243" s="15" t="s">
        <v>1610</v>
      </c>
      <c r="G243" s="15" t="s">
        <v>1611</v>
      </c>
      <c r="H243" s="4" t="s">
        <v>1235</v>
      </c>
    </row>
    <row r="244" spans="1:8" ht="15.5">
      <c r="A244" s="8">
        <v>243</v>
      </c>
      <c r="B244" s="12" t="s">
        <v>425</v>
      </c>
      <c r="C244" s="12" t="s">
        <v>840</v>
      </c>
      <c r="D244" s="12" t="s">
        <v>817</v>
      </c>
      <c r="E244" s="15" t="s">
        <v>1612</v>
      </c>
      <c r="F244" s="15" t="s">
        <v>1613</v>
      </c>
      <c r="G244" s="15" t="s">
        <v>1614</v>
      </c>
      <c r="H244" s="4" t="s">
        <v>1235</v>
      </c>
    </row>
    <row r="245" spans="1:8" ht="15.5">
      <c r="A245" s="8">
        <v>244</v>
      </c>
      <c r="B245" s="12" t="s">
        <v>317</v>
      </c>
      <c r="C245" s="12" t="s">
        <v>827</v>
      </c>
      <c r="D245" s="12" t="s">
        <v>817</v>
      </c>
      <c r="E245" s="15" t="s">
        <v>1615</v>
      </c>
      <c r="F245" s="15" t="s">
        <v>1616</v>
      </c>
      <c r="G245" s="15" t="s">
        <v>1617</v>
      </c>
      <c r="H245" s="4" t="s">
        <v>938</v>
      </c>
    </row>
    <row r="246" spans="1:8" ht="15.5">
      <c r="A246" s="8">
        <v>245</v>
      </c>
      <c r="B246" s="12" t="s">
        <v>151</v>
      </c>
      <c r="C246" s="12" t="s">
        <v>1124</v>
      </c>
      <c r="D246" s="12" t="s">
        <v>835</v>
      </c>
      <c r="E246" s="15" t="s">
        <v>1618</v>
      </c>
      <c r="F246" s="15" t="s">
        <v>1619</v>
      </c>
      <c r="G246" s="15" t="s">
        <v>1617</v>
      </c>
      <c r="H246" s="4"/>
    </row>
    <row r="247" spans="1:8" ht="15.5">
      <c r="A247" s="8">
        <v>246</v>
      </c>
      <c r="B247" s="12" t="s">
        <v>294</v>
      </c>
      <c r="C247" s="12" t="s">
        <v>827</v>
      </c>
      <c r="D247" s="12" t="s">
        <v>835</v>
      </c>
      <c r="E247" s="15" t="s">
        <v>1620</v>
      </c>
      <c r="F247" s="15" t="s">
        <v>1621</v>
      </c>
      <c r="G247" s="15" t="s">
        <v>1451</v>
      </c>
      <c r="H247" s="4"/>
    </row>
    <row r="248" spans="1:8" ht="15.5">
      <c r="A248" s="8">
        <v>247</v>
      </c>
      <c r="B248" s="12" t="s">
        <v>408</v>
      </c>
      <c r="C248" s="12" t="s">
        <v>910</v>
      </c>
      <c r="D248" s="12" t="s">
        <v>835</v>
      </c>
      <c r="E248" s="15" t="s">
        <v>1622</v>
      </c>
      <c r="F248" s="15" t="s">
        <v>1623</v>
      </c>
      <c r="G248" s="15" t="s">
        <v>1624</v>
      </c>
      <c r="H248" s="4"/>
    </row>
    <row r="249" spans="1:8" ht="15.5">
      <c r="A249" s="8">
        <v>248</v>
      </c>
      <c r="B249" s="12" t="s">
        <v>345</v>
      </c>
      <c r="C249" s="12" t="s">
        <v>979</v>
      </c>
      <c r="D249" s="12" t="s">
        <v>817</v>
      </c>
      <c r="E249" s="15" t="s">
        <v>1625</v>
      </c>
      <c r="F249" s="15" t="s">
        <v>1626</v>
      </c>
      <c r="G249" s="15" t="s">
        <v>1627</v>
      </c>
      <c r="H249" s="4" t="s">
        <v>1235</v>
      </c>
    </row>
    <row r="250" spans="1:8" ht="15.5">
      <c r="A250" s="8">
        <v>249</v>
      </c>
      <c r="B250" s="12" t="s">
        <v>438</v>
      </c>
      <c r="C250" s="12" t="s">
        <v>822</v>
      </c>
      <c r="D250" s="12" t="s">
        <v>817</v>
      </c>
      <c r="E250" s="15" t="s">
        <v>1628</v>
      </c>
      <c r="F250" s="15" t="s">
        <v>1629</v>
      </c>
      <c r="G250" s="15" t="s">
        <v>1630</v>
      </c>
      <c r="H250" s="4" t="s">
        <v>899</v>
      </c>
    </row>
    <row r="251" spans="1:8" ht="15.5">
      <c r="A251" s="8">
        <v>250</v>
      </c>
      <c r="B251" s="12" t="s">
        <v>196</v>
      </c>
      <c r="C251" s="12" t="s">
        <v>1531</v>
      </c>
      <c r="D251" s="12" t="s">
        <v>835</v>
      </c>
      <c r="E251" s="15" t="s">
        <v>1631</v>
      </c>
      <c r="F251" s="15" t="s">
        <v>1632</v>
      </c>
      <c r="G251" s="15" t="s">
        <v>1633</v>
      </c>
    </row>
    <row r="252" spans="1:8" ht="15.5">
      <c r="A252" s="8">
        <v>251</v>
      </c>
      <c r="B252" s="12" t="s">
        <v>483</v>
      </c>
      <c r="C252" s="12" t="s">
        <v>926</v>
      </c>
      <c r="D252" s="12" t="s">
        <v>835</v>
      </c>
      <c r="E252" s="15" t="s">
        <v>1634</v>
      </c>
      <c r="F252" s="15" t="s">
        <v>1635</v>
      </c>
      <c r="G252" s="15" t="s">
        <v>1636</v>
      </c>
      <c r="H252" s="4"/>
    </row>
    <row r="253" spans="1:8" ht="15.5">
      <c r="A253" s="8">
        <v>252</v>
      </c>
      <c r="B253" s="12" t="s">
        <v>230</v>
      </c>
      <c r="C253" s="12" t="s">
        <v>1358</v>
      </c>
      <c r="D253" s="12" t="s">
        <v>835</v>
      </c>
      <c r="E253" s="15" t="s">
        <v>1637</v>
      </c>
      <c r="F253" s="15" t="s">
        <v>1638</v>
      </c>
      <c r="G253" s="15" t="s">
        <v>1639</v>
      </c>
      <c r="H253" s="4"/>
    </row>
    <row r="254" spans="1:8" ht="15.5">
      <c r="A254" s="8">
        <v>253</v>
      </c>
      <c r="B254" s="12" t="s">
        <v>1640</v>
      </c>
      <c r="C254" s="12" t="s">
        <v>851</v>
      </c>
      <c r="D254" s="12" t="s">
        <v>835</v>
      </c>
      <c r="E254" s="15" t="s">
        <v>1641</v>
      </c>
      <c r="F254" s="15" t="s">
        <v>1642</v>
      </c>
      <c r="G254" s="15" t="s">
        <v>1643</v>
      </c>
      <c r="H254" s="4"/>
    </row>
    <row r="255" spans="1:8" ht="15.5">
      <c r="A255" s="8">
        <v>254</v>
      </c>
      <c r="B255" s="12" t="s">
        <v>314</v>
      </c>
      <c r="C255" s="12" t="s">
        <v>858</v>
      </c>
      <c r="D255" s="12" t="s">
        <v>835</v>
      </c>
      <c r="E255" s="15" t="s">
        <v>1644</v>
      </c>
      <c r="F255" s="15" t="s">
        <v>1645</v>
      </c>
      <c r="G255" s="15" t="s">
        <v>1646</v>
      </c>
      <c r="H255" s="4"/>
    </row>
    <row r="256" spans="1:8" ht="15.5">
      <c r="A256" s="8">
        <v>255</v>
      </c>
      <c r="B256" s="12" t="s">
        <v>303</v>
      </c>
      <c r="C256" s="12" t="s">
        <v>822</v>
      </c>
      <c r="D256" s="12" t="s">
        <v>835</v>
      </c>
      <c r="E256" s="15" t="s">
        <v>1647</v>
      </c>
      <c r="F256" s="15" t="s">
        <v>1648</v>
      </c>
      <c r="G256" s="15" t="s">
        <v>1649</v>
      </c>
      <c r="H256" s="4"/>
    </row>
    <row r="257" spans="1:8" ht="15.5">
      <c r="A257" s="8">
        <v>256</v>
      </c>
      <c r="B257" s="12" t="s">
        <v>259</v>
      </c>
      <c r="C257" s="12" t="s">
        <v>889</v>
      </c>
      <c r="D257" s="12" t="s">
        <v>835</v>
      </c>
      <c r="E257" s="15" t="s">
        <v>1650</v>
      </c>
      <c r="F257" s="15" t="s">
        <v>1651</v>
      </c>
      <c r="G257" s="15" t="s">
        <v>1652</v>
      </c>
      <c r="H257" s="4"/>
    </row>
    <row r="258" spans="1:8" ht="15.5">
      <c r="A258" s="8">
        <v>257</v>
      </c>
      <c r="B258" s="12" t="s">
        <v>1653</v>
      </c>
      <c r="C258" s="12" t="s">
        <v>827</v>
      </c>
      <c r="D258" s="12" t="s">
        <v>817</v>
      </c>
      <c r="E258" s="15" t="s">
        <v>1654</v>
      </c>
      <c r="F258" s="15" t="s">
        <v>1502</v>
      </c>
      <c r="G258" s="15" t="s">
        <v>1324</v>
      </c>
      <c r="H258" s="4" t="s">
        <v>920</v>
      </c>
    </row>
    <row r="259" spans="1:8" ht="15.5">
      <c r="A259" s="8">
        <v>258</v>
      </c>
      <c r="B259" s="12" t="s">
        <v>489</v>
      </c>
      <c r="C259" s="12" t="s">
        <v>862</v>
      </c>
      <c r="D259" s="12" t="s">
        <v>835</v>
      </c>
      <c r="E259" s="15" t="s">
        <v>1655</v>
      </c>
      <c r="F259" s="15" t="s">
        <v>1106</v>
      </c>
      <c r="G259" s="15" t="s">
        <v>1656</v>
      </c>
      <c r="H259" s="4"/>
    </row>
    <row r="260" spans="1:8" ht="15.5">
      <c r="A260" s="8">
        <v>259</v>
      </c>
      <c r="B260" s="12" t="s">
        <v>1657</v>
      </c>
      <c r="C260" s="12" t="s">
        <v>1000</v>
      </c>
      <c r="D260" s="12" t="s">
        <v>835</v>
      </c>
      <c r="E260" s="15" t="s">
        <v>1658</v>
      </c>
      <c r="F260" s="15" t="s">
        <v>1659</v>
      </c>
      <c r="G260" s="15" t="s">
        <v>1660</v>
      </c>
      <c r="H260" s="4"/>
    </row>
    <row r="261" spans="1:8" ht="15.5">
      <c r="A261" s="8">
        <v>260</v>
      </c>
      <c r="B261" s="12" t="s">
        <v>466</v>
      </c>
      <c r="C261" s="12" t="s">
        <v>922</v>
      </c>
      <c r="D261" s="12" t="s">
        <v>817</v>
      </c>
      <c r="E261" s="15" t="s">
        <v>1661</v>
      </c>
      <c r="F261" s="15" t="s">
        <v>1662</v>
      </c>
      <c r="G261" s="15" t="s">
        <v>1663</v>
      </c>
      <c r="H261" s="4" t="s">
        <v>1221</v>
      </c>
    </row>
    <row r="262" spans="1:8" ht="15.5">
      <c r="A262" s="8">
        <v>261</v>
      </c>
      <c r="B262" s="12" t="s">
        <v>537</v>
      </c>
      <c r="C262" s="12" t="s">
        <v>883</v>
      </c>
      <c r="D262" s="12" t="s">
        <v>817</v>
      </c>
      <c r="E262" s="15" t="s">
        <v>1664</v>
      </c>
      <c r="F262" s="15" t="s">
        <v>1665</v>
      </c>
      <c r="G262" s="15" t="s">
        <v>1220</v>
      </c>
      <c r="H262" s="4" t="s">
        <v>1221</v>
      </c>
    </row>
    <row r="263" spans="1:8" ht="15.5">
      <c r="A263" s="8">
        <v>262</v>
      </c>
      <c r="B263" s="12" t="s">
        <v>1666</v>
      </c>
      <c r="C263" s="12" t="s">
        <v>872</v>
      </c>
      <c r="D263" s="12" t="s">
        <v>817</v>
      </c>
      <c r="E263" s="15" t="s">
        <v>1667</v>
      </c>
      <c r="F263" s="15" t="s">
        <v>1668</v>
      </c>
      <c r="G263" s="15" t="s">
        <v>1546</v>
      </c>
      <c r="H263" s="4" t="s">
        <v>899</v>
      </c>
    </row>
    <row r="264" spans="1:8" ht="15.5">
      <c r="A264" s="8">
        <v>263</v>
      </c>
      <c r="B264" s="12" t="s">
        <v>369</v>
      </c>
      <c r="C264" s="12" t="s">
        <v>1236</v>
      </c>
      <c r="D264" s="12" t="s">
        <v>817</v>
      </c>
      <c r="E264" s="15" t="s">
        <v>1669</v>
      </c>
      <c r="F264" s="15" t="s">
        <v>1670</v>
      </c>
      <c r="G264" s="15" t="s">
        <v>1671</v>
      </c>
      <c r="H264" s="4" t="s">
        <v>899</v>
      </c>
    </row>
    <row r="265" spans="1:8" ht="15.5">
      <c r="A265" s="8">
        <v>264</v>
      </c>
      <c r="B265" s="12" t="s">
        <v>464</v>
      </c>
      <c r="C265" s="12" t="s">
        <v>822</v>
      </c>
      <c r="D265" s="12" t="s">
        <v>817</v>
      </c>
      <c r="E265" s="15" t="s">
        <v>1672</v>
      </c>
      <c r="F265" s="15" t="s">
        <v>1673</v>
      </c>
      <c r="G265" s="15" t="s">
        <v>1674</v>
      </c>
      <c r="H265" s="4" t="s">
        <v>899</v>
      </c>
    </row>
    <row r="266" spans="1:8" ht="15.5">
      <c r="A266" s="8">
        <v>265</v>
      </c>
      <c r="B266" s="12" t="s">
        <v>231</v>
      </c>
      <c r="C266" s="12" t="s">
        <v>926</v>
      </c>
      <c r="D266" s="12" t="s">
        <v>835</v>
      </c>
      <c r="E266" s="15" t="s">
        <v>1675</v>
      </c>
      <c r="F266" s="15" t="s">
        <v>1676</v>
      </c>
      <c r="G266" s="15" t="s">
        <v>1677</v>
      </c>
      <c r="H266" s="4"/>
    </row>
    <row r="267" spans="1:8" ht="15.5">
      <c r="A267" s="8">
        <v>266</v>
      </c>
      <c r="B267" s="12" t="s">
        <v>371</v>
      </c>
      <c r="C267" s="12" t="s">
        <v>1678</v>
      </c>
      <c r="D267" s="12" t="s">
        <v>835</v>
      </c>
      <c r="E267" s="15" t="s">
        <v>1679</v>
      </c>
      <c r="F267" s="15" t="s">
        <v>1680</v>
      </c>
      <c r="G267" s="15" t="s">
        <v>1605</v>
      </c>
      <c r="H267" s="4"/>
    </row>
    <row r="268" spans="1:8" ht="15.5">
      <c r="A268" s="8">
        <v>267</v>
      </c>
      <c r="B268" s="12" t="s">
        <v>181</v>
      </c>
      <c r="C268" s="12" t="s">
        <v>922</v>
      </c>
      <c r="D268" s="12" t="s">
        <v>835</v>
      </c>
      <c r="E268" s="15" t="s">
        <v>1681</v>
      </c>
      <c r="F268" s="15" t="s">
        <v>894</v>
      </c>
      <c r="G268" s="15" t="s">
        <v>1682</v>
      </c>
      <c r="H268" s="4"/>
    </row>
    <row r="269" spans="1:8" ht="15.5">
      <c r="A269" s="8">
        <v>268</v>
      </c>
      <c r="B269" s="12" t="s">
        <v>1683</v>
      </c>
      <c r="C269" s="12" t="s">
        <v>816</v>
      </c>
      <c r="D269" s="12" t="s">
        <v>835</v>
      </c>
      <c r="E269" s="15" t="s">
        <v>1684</v>
      </c>
      <c r="F269" s="15" t="s">
        <v>1685</v>
      </c>
      <c r="G269" s="15" t="s">
        <v>1686</v>
      </c>
      <c r="H269" s="4"/>
    </row>
    <row r="270" spans="1:8" ht="15.5">
      <c r="A270" s="8">
        <v>269</v>
      </c>
      <c r="B270" s="12" t="s">
        <v>390</v>
      </c>
      <c r="C270" s="12" t="s">
        <v>1082</v>
      </c>
      <c r="D270" s="12" t="s">
        <v>817</v>
      </c>
      <c r="E270" s="15" t="s">
        <v>1687</v>
      </c>
      <c r="F270" s="15" t="s">
        <v>1688</v>
      </c>
      <c r="G270" s="15" t="s">
        <v>1059</v>
      </c>
      <c r="H270" s="4" t="s">
        <v>899</v>
      </c>
    </row>
    <row r="271" spans="1:8" ht="15.5">
      <c r="A271" s="8">
        <v>270</v>
      </c>
      <c r="B271" s="12" t="s">
        <v>548</v>
      </c>
      <c r="C271" s="12" t="s">
        <v>1124</v>
      </c>
      <c r="D271" s="12" t="s">
        <v>817</v>
      </c>
      <c r="E271" s="15" t="s">
        <v>1689</v>
      </c>
      <c r="F271" s="15" t="s">
        <v>1690</v>
      </c>
      <c r="G271" s="15" t="s">
        <v>1092</v>
      </c>
      <c r="H271" s="4" t="s">
        <v>938</v>
      </c>
    </row>
    <row r="272" spans="1:8" ht="15.5">
      <c r="A272" s="8">
        <v>271</v>
      </c>
      <c r="B272" s="12" t="s">
        <v>455</v>
      </c>
      <c r="C272" s="12" t="s">
        <v>840</v>
      </c>
      <c r="D272" s="12" t="s">
        <v>817</v>
      </c>
      <c r="E272" s="15" t="s">
        <v>1691</v>
      </c>
      <c r="F272" s="15" t="s">
        <v>1692</v>
      </c>
      <c r="G272" s="15" t="s">
        <v>1663</v>
      </c>
      <c r="H272" s="4" t="s">
        <v>1235</v>
      </c>
    </row>
    <row r="273" spans="1:8" ht="15.5">
      <c r="A273" s="8">
        <v>272</v>
      </c>
      <c r="B273" s="12" t="s">
        <v>1693</v>
      </c>
      <c r="C273" s="12" t="s">
        <v>851</v>
      </c>
      <c r="D273" s="12" t="s">
        <v>835</v>
      </c>
      <c r="E273" s="15" t="s">
        <v>1694</v>
      </c>
      <c r="F273" s="15" t="s">
        <v>1695</v>
      </c>
      <c r="G273" s="15" t="s">
        <v>1696</v>
      </c>
      <c r="H273" s="4"/>
    </row>
    <row r="274" spans="1:8" ht="15.5">
      <c r="A274" s="8">
        <v>273</v>
      </c>
      <c r="B274" s="12" t="s">
        <v>270</v>
      </c>
      <c r="C274" s="12" t="s">
        <v>934</v>
      </c>
      <c r="D274" s="12" t="s">
        <v>817</v>
      </c>
      <c r="E274" s="15" t="s">
        <v>1697</v>
      </c>
      <c r="F274" s="15" t="s">
        <v>1698</v>
      </c>
      <c r="G274" s="15" t="s">
        <v>1111</v>
      </c>
      <c r="H274" s="4" t="s">
        <v>830</v>
      </c>
    </row>
    <row r="275" spans="1:8" ht="15.5">
      <c r="A275" s="8">
        <v>274</v>
      </c>
      <c r="B275" s="12" t="s">
        <v>179</v>
      </c>
      <c r="C275" s="12" t="s">
        <v>1229</v>
      </c>
      <c r="D275" s="12" t="s">
        <v>835</v>
      </c>
      <c r="E275" s="15" t="s">
        <v>1699</v>
      </c>
      <c r="F275" s="15" t="s">
        <v>1700</v>
      </c>
      <c r="G275" s="15" t="s">
        <v>1701</v>
      </c>
      <c r="H275" s="4"/>
    </row>
    <row r="276" spans="1:8" ht="15.5">
      <c r="A276" s="8">
        <v>275</v>
      </c>
      <c r="B276" s="12" t="s">
        <v>287</v>
      </c>
      <c r="C276" s="12" t="s">
        <v>1582</v>
      </c>
      <c r="D276" s="12" t="s">
        <v>835</v>
      </c>
      <c r="E276" s="15" t="s">
        <v>1702</v>
      </c>
      <c r="F276" s="15" t="s">
        <v>1703</v>
      </c>
      <c r="G276" s="15" t="s">
        <v>1704</v>
      </c>
      <c r="H276" s="4"/>
    </row>
    <row r="277" spans="1:8" ht="15.5">
      <c r="A277" s="8">
        <v>276</v>
      </c>
      <c r="B277" s="12" t="s">
        <v>449</v>
      </c>
      <c r="C277" s="12" t="s">
        <v>822</v>
      </c>
      <c r="D277" s="12" t="s">
        <v>817</v>
      </c>
      <c r="E277" s="15" t="s">
        <v>1705</v>
      </c>
      <c r="F277" s="15" t="s">
        <v>1706</v>
      </c>
      <c r="G277" s="15" t="s">
        <v>1677</v>
      </c>
      <c r="H277" s="4" t="s">
        <v>1498</v>
      </c>
    </row>
    <row r="278" spans="1:8" ht="15.5">
      <c r="A278" s="8">
        <v>277</v>
      </c>
      <c r="B278" s="12" t="s">
        <v>221</v>
      </c>
      <c r="C278" s="12" t="s">
        <v>1707</v>
      </c>
      <c r="D278" s="12" t="s">
        <v>835</v>
      </c>
      <c r="E278" s="15" t="s">
        <v>1708</v>
      </c>
      <c r="F278" s="15" t="s">
        <v>1709</v>
      </c>
      <c r="G278" s="15" t="s">
        <v>1617</v>
      </c>
      <c r="H278" s="4"/>
    </row>
    <row r="279" spans="1:8" ht="15.5">
      <c r="A279" s="8">
        <v>278</v>
      </c>
      <c r="B279" s="12" t="s">
        <v>255</v>
      </c>
      <c r="C279" s="12" t="s">
        <v>827</v>
      </c>
      <c r="D279" s="12" t="s">
        <v>835</v>
      </c>
      <c r="E279" s="15" t="s">
        <v>1710</v>
      </c>
      <c r="F279" s="15" t="s">
        <v>1711</v>
      </c>
      <c r="G279" s="15" t="s">
        <v>1712</v>
      </c>
      <c r="H279" s="4"/>
    </row>
    <row r="280" spans="1:8" ht="15.5">
      <c r="A280" s="8">
        <v>279</v>
      </c>
      <c r="B280" s="12" t="s">
        <v>535</v>
      </c>
      <c r="C280" s="12" t="s">
        <v>822</v>
      </c>
      <c r="D280" s="12" t="s">
        <v>817</v>
      </c>
      <c r="E280" s="15" t="s">
        <v>1713</v>
      </c>
      <c r="F280" s="15" t="s">
        <v>1714</v>
      </c>
      <c r="G280" s="15" t="s">
        <v>1715</v>
      </c>
      <c r="H280" s="4" t="s">
        <v>1235</v>
      </c>
    </row>
    <row r="281" spans="1:8" ht="15.5">
      <c r="A281" s="8">
        <v>280</v>
      </c>
      <c r="B281" s="12" t="s">
        <v>1716</v>
      </c>
      <c r="C281" s="12" t="s">
        <v>851</v>
      </c>
      <c r="D281" s="12" t="s">
        <v>835</v>
      </c>
      <c r="E281" s="15" t="s">
        <v>1717</v>
      </c>
      <c r="F281" s="15" t="s">
        <v>1718</v>
      </c>
      <c r="G281" s="15" t="s">
        <v>1719</v>
      </c>
      <c r="H281" s="4"/>
    </row>
    <row r="282" spans="1:8" ht="15.5">
      <c r="A282" s="8">
        <v>281</v>
      </c>
      <c r="B282" s="12" t="s">
        <v>226</v>
      </c>
      <c r="C282" s="12" t="s">
        <v>1720</v>
      </c>
      <c r="D282" s="12" t="s">
        <v>835</v>
      </c>
      <c r="E282" s="15" t="s">
        <v>1721</v>
      </c>
      <c r="F282" s="15" t="s">
        <v>1722</v>
      </c>
      <c r="G282" s="15" t="s">
        <v>1139</v>
      </c>
      <c r="H282" s="4"/>
    </row>
    <row r="283" spans="1:8" ht="15.5">
      <c r="A283" s="8">
        <v>282</v>
      </c>
      <c r="B283" s="12" t="s">
        <v>652</v>
      </c>
      <c r="C283" s="12" t="s">
        <v>816</v>
      </c>
      <c r="D283" s="12" t="s">
        <v>817</v>
      </c>
      <c r="E283" s="15" t="s">
        <v>1723</v>
      </c>
      <c r="F283" s="15" t="s">
        <v>1724</v>
      </c>
      <c r="G283" s="15" t="s">
        <v>1725</v>
      </c>
      <c r="H283" s="4" t="s">
        <v>1498</v>
      </c>
    </row>
    <row r="284" spans="1:8" ht="15.5">
      <c r="A284" s="8">
        <v>283</v>
      </c>
      <c r="B284" s="12" t="s">
        <v>533</v>
      </c>
      <c r="C284" s="12" t="s">
        <v>1183</v>
      </c>
      <c r="D284" s="12" t="s">
        <v>817</v>
      </c>
      <c r="E284" s="15" t="s">
        <v>1726</v>
      </c>
      <c r="F284" s="15" t="s">
        <v>1727</v>
      </c>
      <c r="G284" s="15" t="s">
        <v>1646</v>
      </c>
      <c r="H284" s="4" t="s">
        <v>1498</v>
      </c>
    </row>
    <row r="285" spans="1:8" ht="15.5">
      <c r="A285" s="8">
        <v>284</v>
      </c>
      <c r="B285" s="12" t="s">
        <v>551</v>
      </c>
      <c r="C285" s="12" t="s">
        <v>851</v>
      </c>
      <c r="D285" s="12" t="s">
        <v>817</v>
      </c>
      <c r="E285" s="15" t="s">
        <v>1728</v>
      </c>
      <c r="F285" s="15" t="s">
        <v>1729</v>
      </c>
      <c r="G285" s="15" t="s">
        <v>1565</v>
      </c>
      <c r="H285" s="4" t="s">
        <v>821</v>
      </c>
    </row>
    <row r="286" spans="1:8" ht="15.5">
      <c r="A286" s="8">
        <v>285</v>
      </c>
      <c r="B286" s="12" t="s">
        <v>451</v>
      </c>
      <c r="C286" s="12" t="s">
        <v>939</v>
      </c>
      <c r="D286" s="12" t="s">
        <v>817</v>
      </c>
      <c r="E286" s="15" t="s">
        <v>1730</v>
      </c>
      <c r="F286" s="15" t="s">
        <v>1731</v>
      </c>
      <c r="G286" s="15" t="s">
        <v>1732</v>
      </c>
      <c r="H286" s="4" t="s">
        <v>1235</v>
      </c>
    </row>
    <row r="287" spans="1:8" ht="15.5">
      <c r="A287" s="8">
        <v>286</v>
      </c>
      <c r="B287" s="12" t="s">
        <v>212</v>
      </c>
      <c r="C287" s="12" t="s">
        <v>1379</v>
      </c>
      <c r="D287" s="12" t="s">
        <v>835</v>
      </c>
      <c r="E287" s="15" t="s">
        <v>1733</v>
      </c>
      <c r="F287" s="15" t="s">
        <v>1734</v>
      </c>
      <c r="G287" s="15" t="s">
        <v>1735</v>
      </c>
      <c r="H287" s="4"/>
    </row>
    <row r="288" spans="1:8" ht="15.5">
      <c r="A288" s="8">
        <v>287</v>
      </c>
      <c r="B288" s="12" t="s">
        <v>452</v>
      </c>
      <c r="C288" s="12" t="s">
        <v>979</v>
      </c>
      <c r="D288" s="12" t="s">
        <v>817</v>
      </c>
      <c r="E288" s="15" t="s">
        <v>1736</v>
      </c>
      <c r="F288" s="15" t="s">
        <v>1737</v>
      </c>
      <c r="G288" s="15" t="s">
        <v>1738</v>
      </c>
      <c r="H288" s="4" t="s">
        <v>899</v>
      </c>
    </row>
    <row r="289" spans="1:8" ht="15.5">
      <c r="A289" s="8">
        <v>288</v>
      </c>
      <c r="B289" s="12" t="s">
        <v>538</v>
      </c>
      <c r="C289" s="12" t="s">
        <v>844</v>
      </c>
      <c r="D289" s="12" t="s">
        <v>817</v>
      </c>
      <c r="E289" s="15" t="s">
        <v>1739</v>
      </c>
      <c r="F289" s="15" t="s">
        <v>1740</v>
      </c>
      <c r="G289" s="15" t="s">
        <v>1316</v>
      </c>
      <c r="H289" s="4" t="s">
        <v>1498</v>
      </c>
    </row>
    <row r="290" spans="1:8" ht="15.5">
      <c r="A290" s="8">
        <v>289</v>
      </c>
      <c r="B290" s="12" t="s">
        <v>321</v>
      </c>
      <c r="C290" s="12" t="s">
        <v>840</v>
      </c>
      <c r="D290" s="12" t="s">
        <v>817</v>
      </c>
      <c r="E290" s="15" t="s">
        <v>1741</v>
      </c>
      <c r="F290" s="15" t="s">
        <v>1742</v>
      </c>
      <c r="G290" s="15" t="s">
        <v>1743</v>
      </c>
      <c r="H290" s="4" t="s">
        <v>1221</v>
      </c>
    </row>
    <row r="291" spans="1:8" ht="15.5">
      <c r="A291" s="8">
        <v>290</v>
      </c>
      <c r="B291" s="12" t="s">
        <v>171</v>
      </c>
      <c r="C291" s="12" t="s">
        <v>1236</v>
      </c>
      <c r="D291" s="12" t="s">
        <v>835</v>
      </c>
      <c r="E291" s="15" t="s">
        <v>1744</v>
      </c>
      <c r="F291" s="15" t="s">
        <v>1745</v>
      </c>
      <c r="G291" s="15" t="s">
        <v>1746</v>
      </c>
      <c r="H291" s="4"/>
    </row>
    <row r="292" spans="1:8" ht="15.5">
      <c r="A292" s="8">
        <v>291</v>
      </c>
      <c r="B292" s="12" t="s">
        <v>598</v>
      </c>
      <c r="C292" s="12" t="s">
        <v>827</v>
      </c>
      <c r="D292" s="12" t="s">
        <v>817</v>
      </c>
      <c r="E292" s="15" t="s">
        <v>1747</v>
      </c>
      <c r="F292" s="15" t="s">
        <v>1748</v>
      </c>
      <c r="G292" s="15" t="s">
        <v>1749</v>
      </c>
      <c r="H292" s="4" t="s">
        <v>1235</v>
      </c>
    </row>
    <row r="293" spans="1:8" ht="15.5">
      <c r="A293" s="8">
        <v>292</v>
      </c>
      <c r="B293" s="12" t="s">
        <v>381</v>
      </c>
      <c r="C293" s="12" t="s">
        <v>844</v>
      </c>
      <c r="D293" s="12" t="s">
        <v>817</v>
      </c>
      <c r="E293" s="15" t="s">
        <v>1750</v>
      </c>
      <c r="F293" s="15" t="s">
        <v>1751</v>
      </c>
      <c r="G293" s="15" t="s">
        <v>1133</v>
      </c>
      <c r="H293" s="4" t="s">
        <v>920</v>
      </c>
    </row>
    <row r="294" spans="1:8" ht="15.5">
      <c r="A294" s="8">
        <v>293</v>
      </c>
      <c r="B294" s="12" t="s">
        <v>426</v>
      </c>
      <c r="C294" s="12" t="s">
        <v>1082</v>
      </c>
      <c r="D294" s="12" t="s">
        <v>817</v>
      </c>
      <c r="E294" s="15" t="s">
        <v>1752</v>
      </c>
      <c r="F294" s="15" t="s">
        <v>1318</v>
      </c>
      <c r="G294" s="15" t="s">
        <v>1458</v>
      </c>
      <c r="H294" s="4" t="s">
        <v>899</v>
      </c>
    </row>
    <row r="295" spans="1:8" ht="15.5">
      <c r="A295" s="8">
        <v>294</v>
      </c>
      <c r="B295" s="12" t="s">
        <v>292</v>
      </c>
      <c r="C295" s="12" t="s">
        <v>1164</v>
      </c>
      <c r="D295" s="12" t="s">
        <v>835</v>
      </c>
      <c r="E295" s="15" t="s">
        <v>1753</v>
      </c>
      <c r="F295" s="15" t="s">
        <v>1613</v>
      </c>
      <c r="G295" s="15" t="s">
        <v>1754</v>
      </c>
      <c r="H295" s="4"/>
    </row>
    <row r="296" spans="1:8" ht="15.5">
      <c r="A296" s="8">
        <v>295</v>
      </c>
      <c r="B296" s="12" t="s">
        <v>1755</v>
      </c>
      <c r="C296" s="12" t="s">
        <v>822</v>
      </c>
      <c r="D296" s="12" t="s">
        <v>835</v>
      </c>
      <c r="E296" s="15" t="s">
        <v>1756</v>
      </c>
      <c r="F296" s="15" t="s">
        <v>1757</v>
      </c>
      <c r="G296" s="15" t="s">
        <v>1361</v>
      </c>
      <c r="H296" s="4"/>
    </row>
    <row r="297" spans="1:8" ht="15.5">
      <c r="A297" s="8">
        <v>296</v>
      </c>
      <c r="B297" s="12" t="s">
        <v>1758</v>
      </c>
      <c r="C297" s="12" t="s">
        <v>822</v>
      </c>
      <c r="D297" s="12" t="s">
        <v>817</v>
      </c>
      <c r="E297" s="15" t="s">
        <v>1759</v>
      </c>
      <c r="F297" s="15" t="s">
        <v>1760</v>
      </c>
      <c r="G297" s="15" t="s">
        <v>1477</v>
      </c>
      <c r="H297" s="4" t="s">
        <v>1221</v>
      </c>
    </row>
    <row r="298" spans="1:8" ht="15.5">
      <c r="A298" s="8">
        <v>297</v>
      </c>
      <c r="B298" s="12" t="s">
        <v>227</v>
      </c>
      <c r="C298" s="12" t="s">
        <v>1199</v>
      </c>
      <c r="D298" s="12" t="s">
        <v>835</v>
      </c>
      <c r="E298" s="15" t="s">
        <v>1761</v>
      </c>
      <c r="F298" s="15" t="s">
        <v>1762</v>
      </c>
      <c r="G298" s="15" t="s">
        <v>1763</v>
      </c>
      <c r="H298" s="4"/>
    </row>
    <row r="299" spans="1:8" ht="15.5">
      <c r="A299" s="8">
        <v>298</v>
      </c>
      <c r="B299" s="12" t="s">
        <v>243</v>
      </c>
      <c r="C299" s="12" t="s">
        <v>851</v>
      </c>
      <c r="D299" s="12" t="s">
        <v>835</v>
      </c>
      <c r="E299" s="15" t="s">
        <v>1764</v>
      </c>
      <c r="F299" s="15" t="s">
        <v>1765</v>
      </c>
      <c r="G299" s="15" t="s">
        <v>1766</v>
      </c>
      <c r="H299" s="4"/>
    </row>
    <row r="300" spans="1:8" ht="15.5">
      <c r="A300" s="8">
        <v>299</v>
      </c>
      <c r="B300" s="12" t="s">
        <v>515</v>
      </c>
      <c r="C300" s="12" t="s">
        <v>816</v>
      </c>
      <c r="D300" s="12" t="s">
        <v>835</v>
      </c>
      <c r="E300" s="15" t="s">
        <v>897</v>
      </c>
      <c r="F300" s="15" t="s">
        <v>1767</v>
      </c>
      <c r="G300" s="15" t="s">
        <v>1455</v>
      </c>
      <c r="H300" s="4"/>
    </row>
    <row r="301" spans="1:8" ht="15.5">
      <c r="A301" s="8">
        <v>300</v>
      </c>
      <c r="B301" s="12" t="s">
        <v>437</v>
      </c>
      <c r="C301" s="12" t="s">
        <v>1124</v>
      </c>
      <c r="D301" s="12" t="s">
        <v>817</v>
      </c>
      <c r="E301" s="15" t="s">
        <v>1768</v>
      </c>
      <c r="F301" s="15" t="s">
        <v>1769</v>
      </c>
      <c r="G301" s="15" t="s">
        <v>1770</v>
      </c>
      <c r="H301" s="4" t="s">
        <v>1235</v>
      </c>
    </row>
    <row r="302" spans="1:8" ht="15.5">
      <c r="A302" s="8">
        <v>301</v>
      </c>
      <c r="B302" s="12" t="s">
        <v>156</v>
      </c>
      <c r="C302" s="12" t="s">
        <v>840</v>
      </c>
      <c r="D302" s="12" t="s">
        <v>817</v>
      </c>
      <c r="E302" s="15" t="s">
        <v>1771</v>
      </c>
      <c r="F302" s="15" t="s">
        <v>1772</v>
      </c>
      <c r="G302" s="15" t="s">
        <v>1773</v>
      </c>
      <c r="H302" s="4" t="s">
        <v>938</v>
      </c>
    </row>
    <row r="303" spans="1:8" ht="15.5">
      <c r="A303" s="8">
        <v>302</v>
      </c>
      <c r="B303" s="12" t="s">
        <v>305</v>
      </c>
      <c r="C303" s="12" t="s">
        <v>840</v>
      </c>
      <c r="D303" s="12" t="s">
        <v>817</v>
      </c>
      <c r="E303" s="15" t="s">
        <v>1774</v>
      </c>
      <c r="F303" s="15" t="s">
        <v>1775</v>
      </c>
      <c r="G303" s="15" t="s">
        <v>1738</v>
      </c>
      <c r="H303" s="4" t="s">
        <v>1221</v>
      </c>
    </row>
    <row r="304" spans="1:8" ht="15.5">
      <c r="A304" s="8">
        <v>303</v>
      </c>
      <c r="B304" s="12" t="s">
        <v>353</v>
      </c>
      <c r="C304" s="12" t="s">
        <v>840</v>
      </c>
      <c r="D304" s="12" t="s">
        <v>835</v>
      </c>
      <c r="E304" s="15" t="s">
        <v>1776</v>
      </c>
      <c r="F304" s="15" t="s">
        <v>1777</v>
      </c>
      <c r="G304" s="15" t="s">
        <v>1555</v>
      </c>
      <c r="H304" s="4"/>
    </row>
    <row r="305" spans="1:8" ht="15.5">
      <c r="A305" s="8">
        <v>304</v>
      </c>
      <c r="B305" s="12" t="s">
        <v>1778</v>
      </c>
      <c r="C305" s="12" t="s">
        <v>1082</v>
      </c>
      <c r="D305" s="12" t="s">
        <v>817</v>
      </c>
      <c r="E305" s="15" t="s">
        <v>1779</v>
      </c>
      <c r="F305" s="15" t="s">
        <v>1780</v>
      </c>
      <c r="G305" s="15" t="s">
        <v>1781</v>
      </c>
      <c r="H305" s="4" t="s">
        <v>920</v>
      </c>
    </row>
    <row r="306" spans="1:8" ht="15.5">
      <c r="A306" s="8">
        <v>305</v>
      </c>
      <c r="B306" s="12" t="s">
        <v>319</v>
      </c>
      <c r="C306" s="12" t="s">
        <v>1104</v>
      </c>
      <c r="D306" s="12" t="s">
        <v>835</v>
      </c>
      <c r="E306" s="15" t="s">
        <v>1782</v>
      </c>
      <c r="F306" s="15" t="s">
        <v>1783</v>
      </c>
      <c r="G306" s="15" t="s">
        <v>1784</v>
      </c>
      <c r="H306" s="4"/>
    </row>
    <row r="307" spans="1:8" ht="15.5">
      <c r="A307" s="8">
        <v>306</v>
      </c>
      <c r="B307" s="12" t="s">
        <v>1785</v>
      </c>
      <c r="C307" s="12" t="s">
        <v>840</v>
      </c>
      <c r="D307" s="12" t="s">
        <v>835</v>
      </c>
      <c r="E307" s="15" t="s">
        <v>1786</v>
      </c>
      <c r="F307" s="15" t="s">
        <v>1787</v>
      </c>
      <c r="G307" s="15" t="s">
        <v>1788</v>
      </c>
      <c r="H307" s="4"/>
    </row>
    <row r="308" spans="1:8" ht="15.5">
      <c r="A308" s="8">
        <v>307</v>
      </c>
      <c r="B308" s="12" t="s">
        <v>1789</v>
      </c>
      <c r="C308" s="12" t="s">
        <v>1214</v>
      </c>
      <c r="D308" s="12" t="s">
        <v>817</v>
      </c>
      <c r="E308" s="15" t="s">
        <v>1790</v>
      </c>
      <c r="F308" s="15" t="s">
        <v>1791</v>
      </c>
      <c r="G308" s="15" t="s">
        <v>1122</v>
      </c>
      <c r="H308" s="4" t="s">
        <v>899</v>
      </c>
    </row>
    <row r="309" spans="1:8" ht="15.5">
      <c r="A309" s="8">
        <v>308</v>
      </c>
      <c r="B309" s="12" t="s">
        <v>587</v>
      </c>
      <c r="C309" s="12" t="s">
        <v>844</v>
      </c>
      <c r="D309" s="12" t="s">
        <v>817</v>
      </c>
      <c r="E309" s="15" t="s">
        <v>1792</v>
      </c>
      <c r="F309" s="15" t="s">
        <v>1793</v>
      </c>
      <c r="G309" s="15" t="s">
        <v>1157</v>
      </c>
      <c r="H309" s="4" t="s">
        <v>1336</v>
      </c>
    </row>
    <row r="310" spans="1:8" ht="15.5">
      <c r="A310" s="8">
        <v>309</v>
      </c>
      <c r="B310" s="12" t="s">
        <v>1794</v>
      </c>
      <c r="C310" s="12" t="s">
        <v>822</v>
      </c>
      <c r="D310" s="12" t="s">
        <v>835</v>
      </c>
      <c r="E310" s="15" t="s">
        <v>1795</v>
      </c>
      <c r="F310" s="15" t="s">
        <v>1796</v>
      </c>
      <c r="G310" s="15" t="s">
        <v>1294</v>
      </c>
      <c r="H310" s="4"/>
    </row>
    <row r="311" spans="1:8" ht="15.5">
      <c r="A311" s="8">
        <v>310</v>
      </c>
      <c r="B311" s="12" t="s">
        <v>435</v>
      </c>
      <c r="C311" s="12" t="s">
        <v>862</v>
      </c>
      <c r="D311" s="12" t="s">
        <v>817</v>
      </c>
      <c r="E311" s="15" t="s">
        <v>1797</v>
      </c>
      <c r="F311" s="15" t="s">
        <v>1798</v>
      </c>
      <c r="G311" s="15" t="s">
        <v>1627</v>
      </c>
      <c r="H311" s="4" t="s">
        <v>1221</v>
      </c>
    </row>
    <row r="312" spans="1:8" ht="15.5">
      <c r="A312" s="8">
        <v>311</v>
      </c>
      <c r="B312" s="12" t="s">
        <v>363</v>
      </c>
      <c r="C312" s="12" t="s">
        <v>926</v>
      </c>
      <c r="D312" s="12" t="s">
        <v>835</v>
      </c>
      <c r="E312" s="15" t="s">
        <v>1799</v>
      </c>
      <c r="F312" s="15" t="s">
        <v>1800</v>
      </c>
      <c r="G312" s="15" t="s">
        <v>1549</v>
      </c>
      <c r="H312" s="4"/>
    </row>
    <row r="313" spans="1:8" ht="15.5">
      <c r="A313" s="8">
        <v>312</v>
      </c>
      <c r="B313" s="12" t="s">
        <v>1801</v>
      </c>
      <c r="C313" s="12" t="s">
        <v>840</v>
      </c>
      <c r="D313" s="12" t="s">
        <v>817</v>
      </c>
      <c r="E313" s="15" t="s">
        <v>1802</v>
      </c>
      <c r="F313" s="15" t="s">
        <v>1803</v>
      </c>
      <c r="G313" s="15" t="s">
        <v>1804</v>
      </c>
      <c r="H313" s="4" t="s">
        <v>1235</v>
      </c>
    </row>
    <row r="314" spans="1:8" ht="15.5">
      <c r="A314" s="8">
        <v>313</v>
      </c>
      <c r="B314" s="12" t="s">
        <v>267</v>
      </c>
      <c r="C314" s="12" t="s">
        <v>889</v>
      </c>
      <c r="D314" s="12" t="s">
        <v>835</v>
      </c>
      <c r="E314" s="15" t="s">
        <v>1805</v>
      </c>
      <c r="F314" s="15" t="s">
        <v>1806</v>
      </c>
      <c r="G314" s="15" t="s">
        <v>1807</v>
      </c>
      <c r="H314" s="4"/>
    </row>
    <row r="315" spans="1:8" ht="15.5">
      <c r="A315" s="8">
        <v>314</v>
      </c>
      <c r="B315" s="12" t="s">
        <v>681</v>
      </c>
      <c r="C315" s="12" t="s">
        <v>840</v>
      </c>
      <c r="D315" s="12" t="s">
        <v>835</v>
      </c>
      <c r="E315" s="15" t="s">
        <v>1808</v>
      </c>
      <c r="F315" s="15" t="s">
        <v>1809</v>
      </c>
      <c r="G315" s="15" t="s">
        <v>1810</v>
      </c>
      <c r="H315" s="4"/>
    </row>
    <row r="316" spans="1:8" ht="15.5">
      <c r="A316" s="8">
        <v>315</v>
      </c>
      <c r="B316" s="12" t="s">
        <v>224</v>
      </c>
      <c r="C316" s="12" t="s">
        <v>883</v>
      </c>
      <c r="D316" s="12" t="s">
        <v>835</v>
      </c>
      <c r="E316" s="15" t="s">
        <v>1811</v>
      </c>
      <c r="F316" s="15" t="s">
        <v>1812</v>
      </c>
      <c r="G316" s="15" t="s">
        <v>1813</v>
      </c>
      <c r="H316" s="4"/>
    </row>
    <row r="317" spans="1:8" ht="15.5">
      <c r="A317" s="8">
        <v>316</v>
      </c>
      <c r="B317" s="12" t="s">
        <v>1814</v>
      </c>
      <c r="C317" s="12" t="s">
        <v>827</v>
      </c>
      <c r="D317" s="12" t="s">
        <v>817</v>
      </c>
      <c r="E317" s="15" t="s">
        <v>1815</v>
      </c>
      <c r="F317" s="15" t="s">
        <v>1816</v>
      </c>
      <c r="G317" s="15" t="s">
        <v>1817</v>
      </c>
      <c r="H317" s="4" t="s">
        <v>920</v>
      </c>
    </row>
    <row r="318" spans="1:8" ht="15.5">
      <c r="A318" s="8">
        <v>317</v>
      </c>
      <c r="B318" s="12" t="s">
        <v>1818</v>
      </c>
      <c r="C318" s="12" t="s">
        <v>822</v>
      </c>
      <c r="D318" s="12" t="s">
        <v>817</v>
      </c>
      <c r="E318" s="15" t="s">
        <v>1819</v>
      </c>
      <c r="F318" s="15" t="s">
        <v>1820</v>
      </c>
      <c r="G318" s="15" t="s">
        <v>1821</v>
      </c>
      <c r="H318" s="4" t="s">
        <v>1221</v>
      </c>
    </row>
    <row r="319" spans="1:8" ht="15.5">
      <c r="A319" s="8">
        <v>318</v>
      </c>
      <c r="B319" s="12" t="s">
        <v>494</v>
      </c>
      <c r="C319" s="12" t="s">
        <v>883</v>
      </c>
      <c r="D319" s="12" t="s">
        <v>817</v>
      </c>
      <c r="E319" s="15" t="s">
        <v>1822</v>
      </c>
      <c r="F319" s="15" t="s">
        <v>1823</v>
      </c>
      <c r="G319" s="15" t="s">
        <v>1824</v>
      </c>
      <c r="H319" s="4" t="s">
        <v>1336</v>
      </c>
    </row>
    <row r="320" spans="1:8" ht="15.5">
      <c r="A320" s="8">
        <v>319</v>
      </c>
      <c r="B320" s="12" t="s">
        <v>1825</v>
      </c>
      <c r="C320" s="12" t="s">
        <v>872</v>
      </c>
      <c r="D320" s="12" t="s">
        <v>835</v>
      </c>
      <c r="E320" s="15" t="s">
        <v>1826</v>
      </c>
      <c r="F320" s="15" t="s">
        <v>1827</v>
      </c>
      <c r="G320" s="15" t="s">
        <v>1828</v>
      </c>
      <c r="H320" s="4"/>
    </row>
    <row r="321" spans="1:8" ht="15.5">
      <c r="A321" s="8">
        <v>320</v>
      </c>
      <c r="B321" s="12" t="s">
        <v>216</v>
      </c>
      <c r="C321" s="12" t="s">
        <v>922</v>
      </c>
      <c r="D321" s="12" t="s">
        <v>835</v>
      </c>
      <c r="E321" s="15" t="s">
        <v>1829</v>
      </c>
      <c r="F321" s="15" t="s">
        <v>1830</v>
      </c>
      <c r="G321" s="15" t="s">
        <v>1831</v>
      </c>
      <c r="H321" s="4"/>
    </row>
    <row r="322" spans="1:8" ht="15.5">
      <c r="A322" s="8">
        <v>321</v>
      </c>
      <c r="B322" s="12" t="s">
        <v>424</v>
      </c>
      <c r="C322" s="12" t="s">
        <v>910</v>
      </c>
      <c r="D322" s="12" t="s">
        <v>835</v>
      </c>
      <c r="E322" s="15" t="s">
        <v>1832</v>
      </c>
      <c r="F322" s="15" t="s">
        <v>1833</v>
      </c>
      <c r="G322" s="15" t="s">
        <v>1834</v>
      </c>
      <c r="H322" s="4"/>
    </row>
    <row r="323" spans="1:8" ht="15.5">
      <c r="A323" s="8">
        <v>322</v>
      </c>
      <c r="B323" s="12" t="s">
        <v>568</v>
      </c>
      <c r="C323" s="12" t="s">
        <v>1358</v>
      </c>
      <c r="D323" s="12" t="s">
        <v>817</v>
      </c>
      <c r="E323" s="15" t="s">
        <v>1835</v>
      </c>
      <c r="F323" s="15" t="s">
        <v>1836</v>
      </c>
      <c r="G323" s="15" t="s">
        <v>1837</v>
      </c>
      <c r="H323" s="4" t="s">
        <v>821</v>
      </c>
    </row>
    <row r="324" spans="1:8" ht="15.5">
      <c r="A324" s="8">
        <v>323</v>
      </c>
      <c r="B324" s="12" t="s">
        <v>1838</v>
      </c>
      <c r="C324" s="12" t="s">
        <v>822</v>
      </c>
      <c r="D324" s="12" t="s">
        <v>835</v>
      </c>
      <c r="E324" s="15" t="s">
        <v>1839</v>
      </c>
      <c r="F324" s="15" t="s">
        <v>1840</v>
      </c>
      <c r="G324" s="15" t="s">
        <v>1841</v>
      </c>
      <c r="H324" s="4"/>
    </row>
    <row r="325" spans="1:8" ht="15.5">
      <c r="A325" s="8">
        <v>324</v>
      </c>
      <c r="B325" s="12" t="s">
        <v>1842</v>
      </c>
      <c r="C325" s="12" t="s">
        <v>822</v>
      </c>
      <c r="D325" s="12" t="s">
        <v>835</v>
      </c>
      <c r="E325" s="15" t="s">
        <v>1843</v>
      </c>
      <c r="F325" s="15" t="s">
        <v>1844</v>
      </c>
      <c r="G325" s="15"/>
      <c r="H325" s="4"/>
    </row>
    <row r="326" spans="1:8" ht="15.5">
      <c r="A326" s="8">
        <v>325</v>
      </c>
      <c r="B326" s="12" t="s">
        <v>1845</v>
      </c>
      <c r="C326" s="12" t="s">
        <v>1229</v>
      </c>
      <c r="D326" s="12" t="s">
        <v>835</v>
      </c>
      <c r="E326" s="15" t="s">
        <v>1846</v>
      </c>
      <c r="F326" s="15" t="s">
        <v>1847</v>
      </c>
      <c r="G326" s="15" t="s">
        <v>1848</v>
      </c>
      <c r="H326" s="4"/>
    </row>
    <row r="327" spans="1:8" ht="15.5">
      <c r="A327" s="8">
        <v>326</v>
      </c>
      <c r="B327" s="12" t="s">
        <v>326</v>
      </c>
      <c r="C327" s="12" t="s">
        <v>910</v>
      </c>
      <c r="D327" s="12" t="s">
        <v>835</v>
      </c>
      <c r="E327" s="15" t="s">
        <v>1849</v>
      </c>
      <c r="F327" s="15" t="s">
        <v>1850</v>
      </c>
      <c r="G327" s="15" t="s">
        <v>1851</v>
      </c>
      <c r="H327" s="4"/>
    </row>
    <row r="328" spans="1:8" ht="15.5">
      <c r="A328" s="8">
        <v>327</v>
      </c>
      <c r="B328" s="12" t="s">
        <v>493</v>
      </c>
      <c r="C328" s="12" t="s">
        <v>943</v>
      </c>
      <c r="D328" s="12" t="s">
        <v>835</v>
      </c>
      <c r="E328" s="15" t="s">
        <v>1852</v>
      </c>
      <c r="F328" s="15" t="s">
        <v>1853</v>
      </c>
      <c r="G328" s="15" t="s">
        <v>1854</v>
      </c>
      <c r="H328" s="4"/>
    </row>
    <row r="329" spans="1:8" ht="15.5">
      <c r="A329" s="8">
        <v>328</v>
      </c>
      <c r="B329" s="12" t="s">
        <v>487</v>
      </c>
      <c r="C329" s="12" t="s">
        <v>851</v>
      </c>
      <c r="D329" s="12" t="s">
        <v>817</v>
      </c>
      <c r="E329" s="15" t="s">
        <v>1855</v>
      </c>
      <c r="F329" s="15" t="s">
        <v>1856</v>
      </c>
      <c r="G329" s="15" t="s">
        <v>1398</v>
      </c>
      <c r="H329" s="4" t="s">
        <v>830</v>
      </c>
    </row>
    <row r="330" spans="1:8" ht="15.5">
      <c r="A330" s="8">
        <v>329</v>
      </c>
      <c r="B330" s="12" t="s">
        <v>299</v>
      </c>
      <c r="C330" s="12" t="s">
        <v>840</v>
      </c>
      <c r="D330" s="12" t="s">
        <v>817</v>
      </c>
      <c r="E330" s="15" t="s">
        <v>1857</v>
      </c>
      <c r="F330" s="15" t="s">
        <v>1858</v>
      </c>
      <c r="G330" s="15" t="s">
        <v>1859</v>
      </c>
      <c r="H330" s="4" t="s">
        <v>821</v>
      </c>
    </row>
    <row r="331" spans="1:8" ht="15.5">
      <c r="A331" s="8">
        <v>330</v>
      </c>
      <c r="B331" s="12" t="s">
        <v>1860</v>
      </c>
      <c r="C331" s="12" t="s">
        <v>1183</v>
      </c>
      <c r="D331" s="12" t="s">
        <v>835</v>
      </c>
      <c r="E331" s="15" t="s">
        <v>1861</v>
      </c>
      <c r="F331" s="15" t="s">
        <v>1862</v>
      </c>
      <c r="G331" s="15" t="s">
        <v>1863</v>
      </c>
      <c r="H331" s="4"/>
    </row>
    <row r="332" spans="1:8" ht="15.5">
      <c r="A332" s="8">
        <v>331</v>
      </c>
      <c r="B332" s="12" t="s">
        <v>427</v>
      </c>
      <c r="C332" s="12" t="s">
        <v>971</v>
      </c>
      <c r="D332" s="12" t="s">
        <v>817</v>
      </c>
      <c r="E332" s="15" t="s">
        <v>1864</v>
      </c>
      <c r="F332" s="15" t="s">
        <v>1865</v>
      </c>
      <c r="G332" s="15" t="s">
        <v>1866</v>
      </c>
      <c r="H332" s="4" t="s">
        <v>1235</v>
      </c>
    </row>
    <row r="333" spans="1:8" ht="15.5">
      <c r="A333" s="8">
        <v>332</v>
      </c>
      <c r="B333" s="12" t="s">
        <v>510</v>
      </c>
      <c r="C333" s="12" t="s">
        <v>840</v>
      </c>
      <c r="D333" s="12" t="s">
        <v>817</v>
      </c>
      <c r="E333" s="15" t="s">
        <v>1867</v>
      </c>
      <c r="F333" s="15" t="s">
        <v>1868</v>
      </c>
      <c r="G333" s="15" t="s">
        <v>1869</v>
      </c>
      <c r="H333" s="4" t="s">
        <v>938</v>
      </c>
    </row>
    <row r="334" spans="1:8" ht="15.5">
      <c r="A334" s="8">
        <v>333</v>
      </c>
      <c r="B334" s="12" t="s">
        <v>592</v>
      </c>
      <c r="C334" s="12" t="s">
        <v>971</v>
      </c>
      <c r="D334" s="12" t="s">
        <v>817</v>
      </c>
      <c r="E334" s="15" t="s">
        <v>1870</v>
      </c>
      <c r="F334" s="15" t="s">
        <v>1871</v>
      </c>
      <c r="G334" s="15" t="s">
        <v>1872</v>
      </c>
      <c r="H334" s="4" t="s">
        <v>938</v>
      </c>
    </row>
    <row r="335" spans="1:8" ht="15.5">
      <c r="A335" s="8">
        <v>334</v>
      </c>
      <c r="B335" s="12" t="s">
        <v>361</v>
      </c>
      <c r="C335" s="12" t="s">
        <v>840</v>
      </c>
      <c r="D335" s="12" t="s">
        <v>817</v>
      </c>
      <c r="E335" s="15" t="s">
        <v>1873</v>
      </c>
      <c r="F335" s="15" t="s">
        <v>1874</v>
      </c>
      <c r="G335" s="15" t="s">
        <v>1451</v>
      </c>
      <c r="H335" s="4" t="s">
        <v>1336</v>
      </c>
    </row>
    <row r="336" spans="1:8" ht="15.5">
      <c r="A336" s="8">
        <v>335</v>
      </c>
      <c r="B336" s="12" t="s">
        <v>372</v>
      </c>
      <c r="C336" s="12" t="s">
        <v>822</v>
      </c>
      <c r="D336" s="12" t="s">
        <v>817</v>
      </c>
      <c r="E336" s="15" t="s">
        <v>1875</v>
      </c>
      <c r="F336" s="15" t="s">
        <v>1876</v>
      </c>
      <c r="G336" s="15" t="s">
        <v>1877</v>
      </c>
      <c r="H336" s="4" t="s">
        <v>1336</v>
      </c>
    </row>
    <row r="337" spans="1:8" ht="15.5">
      <c r="A337" s="8">
        <v>336</v>
      </c>
      <c r="B337" s="12" t="s">
        <v>1878</v>
      </c>
      <c r="C337" s="12" t="s">
        <v>840</v>
      </c>
      <c r="D337" s="12" t="s">
        <v>835</v>
      </c>
      <c r="E337" s="15" t="s">
        <v>1879</v>
      </c>
      <c r="F337" s="15" t="s">
        <v>1880</v>
      </c>
      <c r="G337" s="15" t="s">
        <v>1595</v>
      </c>
      <c r="H337" s="4"/>
    </row>
    <row r="338" spans="1:8" ht="15.5">
      <c r="A338" s="8">
        <v>337</v>
      </c>
      <c r="B338" s="12" t="s">
        <v>653</v>
      </c>
      <c r="C338" s="12" t="s">
        <v>822</v>
      </c>
      <c r="D338" s="12" t="s">
        <v>835</v>
      </c>
      <c r="E338" s="15" t="s">
        <v>1881</v>
      </c>
      <c r="F338" s="15" t="s">
        <v>1882</v>
      </c>
      <c r="G338" s="15" t="s">
        <v>1883</v>
      </c>
      <c r="H338" s="4"/>
    </row>
    <row r="339" spans="1:8" ht="15.5">
      <c r="A339" s="8">
        <v>338</v>
      </c>
      <c r="B339" s="12" t="s">
        <v>1884</v>
      </c>
      <c r="C339" s="12" t="s">
        <v>831</v>
      </c>
      <c r="D339" s="12" t="s">
        <v>835</v>
      </c>
      <c r="E339" s="15" t="s">
        <v>1885</v>
      </c>
      <c r="F339" s="15" t="s">
        <v>1886</v>
      </c>
      <c r="G339" s="15" t="s">
        <v>1887</v>
      </c>
      <c r="H339" s="4"/>
    </row>
    <row r="340" spans="1:8" ht="15.5">
      <c r="A340" s="8">
        <v>339</v>
      </c>
      <c r="B340" s="12" t="s">
        <v>214</v>
      </c>
      <c r="C340" s="12" t="s">
        <v>858</v>
      </c>
      <c r="D340" s="12" t="s">
        <v>835</v>
      </c>
      <c r="E340" s="15" t="s">
        <v>1888</v>
      </c>
      <c r="F340" s="15" t="s">
        <v>1889</v>
      </c>
      <c r="G340" s="15" t="s">
        <v>1890</v>
      </c>
      <c r="H340" s="4"/>
    </row>
    <row r="341" spans="1:8" ht="15.5">
      <c r="A341" s="8">
        <v>340</v>
      </c>
      <c r="B341" s="12" t="s">
        <v>680</v>
      </c>
      <c r="C341" s="12" t="s">
        <v>822</v>
      </c>
      <c r="D341" s="12" t="s">
        <v>817</v>
      </c>
      <c r="E341" s="15" t="s">
        <v>1891</v>
      </c>
      <c r="F341" s="15" t="s">
        <v>1432</v>
      </c>
      <c r="G341" s="15"/>
      <c r="H341" s="4"/>
    </row>
    <row r="342" spans="1:8" ht="15.5">
      <c r="A342" s="8">
        <v>341</v>
      </c>
      <c r="B342" s="12" t="s">
        <v>297</v>
      </c>
      <c r="C342" s="12" t="s">
        <v>822</v>
      </c>
      <c r="D342" s="12" t="s">
        <v>835</v>
      </c>
      <c r="E342" s="15" t="s">
        <v>1892</v>
      </c>
      <c r="F342" s="15" t="s">
        <v>1893</v>
      </c>
      <c r="G342" s="15" t="s">
        <v>1854</v>
      </c>
      <c r="H342" s="4"/>
    </row>
    <row r="343" spans="1:8" ht="15.5">
      <c r="A343" s="8">
        <v>342</v>
      </c>
      <c r="B343" s="12" t="s">
        <v>448</v>
      </c>
      <c r="C343" s="12" t="s">
        <v>840</v>
      </c>
      <c r="D343" s="12" t="s">
        <v>817</v>
      </c>
      <c r="E343" s="15" t="s">
        <v>1894</v>
      </c>
      <c r="F343" s="15" t="s">
        <v>1895</v>
      </c>
      <c r="G343" s="15" t="s">
        <v>1671</v>
      </c>
      <c r="H343" s="4" t="s">
        <v>830</v>
      </c>
    </row>
    <row r="344" spans="1:8" ht="15.5">
      <c r="A344" s="8">
        <v>343</v>
      </c>
      <c r="B344" s="12" t="s">
        <v>1896</v>
      </c>
      <c r="C344" s="12" t="s">
        <v>1897</v>
      </c>
      <c r="D344" s="12" t="s">
        <v>835</v>
      </c>
      <c r="E344" s="15" t="s">
        <v>1850</v>
      </c>
      <c r="F344" s="15" t="s">
        <v>1898</v>
      </c>
      <c r="G344" s="15" t="s">
        <v>1899</v>
      </c>
      <c r="H344" s="4"/>
    </row>
    <row r="345" spans="1:8" ht="15.5">
      <c r="A345" s="8">
        <v>344</v>
      </c>
      <c r="B345" s="12" t="s">
        <v>616</v>
      </c>
      <c r="C345" s="12" t="s">
        <v>910</v>
      </c>
      <c r="D345" s="12" t="s">
        <v>835</v>
      </c>
      <c r="E345" s="15" t="s">
        <v>1900</v>
      </c>
      <c r="F345" s="15" t="s">
        <v>1901</v>
      </c>
      <c r="G345" s="15" t="s">
        <v>1746</v>
      </c>
      <c r="H345" s="4"/>
    </row>
    <row r="346" spans="1:8" ht="15.5">
      <c r="A346" s="8">
        <v>345</v>
      </c>
      <c r="B346" s="12" t="s">
        <v>281</v>
      </c>
      <c r="C346" s="12" t="s">
        <v>840</v>
      </c>
      <c r="D346" s="12" t="s">
        <v>817</v>
      </c>
      <c r="E346" s="15" t="s">
        <v>1902</v>
      </c>
      <c r="F346" s="15" t="s">
        <v>1903</v>
      </c>
      <c r="G346" s="15" t="s">
        <v>1749</v>
      </c>
      <c r="H346" s="4" t="s">
        <v>1498</v>
      </c>
    </row>
    <row r="347" spans="1:8" ht="15.5">
      <c r="A347" s="8">
        <v>346</v>
      </c>
      <c r="B347" s="12" t="s">
        <v>1904</v>
      </c>
      <c r="C347" s="12" t="s">
        <v>1905</v>
      </c>
      <c r="D347" s="12" t="s">
        <v>835</v>
      </c>
      <c r="E347" s="15" t="s">
        <v>1906</v>
      </c>
      <c r="F347" s="15" t="s">
        <v>1907</v>
      </c>
      <c r="G347" s="15" t="s">
        <v>1273</v>
      </c>
      <c r="H347" s="4"/>
    </row>
    <row r="348" spans="1:8" ht="15.5">
      <c r="A348" s="8">
        <v>347</v>
      </c>
      <c r="B348" s="12" t="s">
        <v>482</v>
      </c>
      <c r="C348" s="12" t="s">
        <v>1124</v>
      </c>
      <c r="D348" s="12" t="s">
        <v>817</v>
      </c>
      <c r="E348" s="15" t="s">
        <v>1908</v>
      </c>
      <c r="F348" s="15" t="s">
        <v>1909</v>
      </c>
      <c r="G348" s="15" t="s">
        <v>1910</v>
      </c>
      <c r="H348" s="4" t="s">
        <v>821</v>
      </c>
    </row>
    <row r="349" spans="1:8" ht="15.5">
      <c r="A349" s="8">
        <v>348</v>
      </c>
      <c r="B349" s="12" t="s">
        <v>1911</v>
      </c>
      <c r="C349" s="12" t="s">
        <v>979</v>
      </c>
      <c r="D349" s="12" t="s">
        <v>835</v>
      </c>
      <c r="E349" s="15" t="s">
        <v>1912</v>
      </c>
      <c r="F349" s="15" t="s">
        <v>1913</v>
      </c>
      <c r="G349" s="15" t="s">
        <v>1712</v>
      </c>
      <c r="H349" s="4"/>
    </row>
    <row r="350" spans="1:8" ht="15.5">
      <c r="A350" s="8">
        <v>349</v>
      </c>
      <c r="B350" s="12" t="s">
        <v>291</v>
      </c>
      <c r="C350" s="12" t="s">
        <v>934</v>
      </c>
      <c r="D350" s="12" t="s">
        <v>817</v>
      </c>
      <c r="E350" s="15" t="s">
        <v>1914</v>
      </c>
      <c r="F350" s="15" t="s">
        <v>1072</v>
      </c>
      <c r="G350" s="15" t="s">
        <v>1415</v>
      </c>
      <c r="H350" s="4" t="s">
        <v>938</v>
      </c>
    </row>
    <row r="351" spans="1:8" ht="15.5">
      <c r="A351" s="8">
        <v>350</v>
      </c>
      <c r="B351" s="12" t="s">
        <v>1915</v>
      </c>
      <c r="C351" s="12" t="s">
        <v>840</v>
      </c>
      <c r="D351" s="12" t="s">
        <v>835</v>
      </c>
      <c r="E351" s="15" t="s">
        <v>1916</v>
      </c>
      <c r="F351" s="15" t="s">
        <v>1917</v>
      </c>
      <c r="G351" s="15" t="s">
        <v>1918</v>
      </c>
    </row>
    <row r="352" spans="1:8" ht="15.5">
      <c r="A352" s="8">
        <v>351</v>
      </c>
      <c r="B352" s="12" t="s">
        <v>630</v>
      </c>
      <c r="C352" s="12" t="s">
        <v>926</v>
      </c>
      <c r="D352" s="12" t="s">
        <v>817</v>
      </c>
      <c r="E352" s="15" t="s">
        <v>1919</v>
      </c>
      <c r="F352" s="15" t="s">
        <v>1920</v>
      </c>
      <c r="G352" s="15" t="s">
        <v>1828</v>
      </c>
      <c r="H352" s="4" t="s">
        <v>1235</v>
      </c>
    </row>
    <row r="353" spans="1:8" ht="15.5">
      <c r="A353" s="8">
        <v>352</v>
      </c>
      <c r="B353" s="12" t="s">
        <v>575</v>
      </c>
      <c r="C353" s="12" t="s">
        <v>910</v>
      </c>
      <c r="D353" s="12" t="s">
        <v>817</v>
      </c>
      <c r="E353" s="15" t="s">
        <v>1921</v>
      </c>
      <c r="F353" s="15" t="s">
        <v>1922</v>
      </c>
      <c r="G353" s="15" t="s">
        <v>1859</v>
      </c>
      <c r="H353" s="4" t="s">
        <v>1498</v>
      </c>
    </row>
    <row r="354" spans="1:8" ht="15.5">
      <c r="A354" s="8">
        <v>353</v>
      </c>
      <c r="B354" s="12" t="s">
        <v>275</v>
      </c>
      <c r="C354" s="12" t="s">
        <v>1720</v>
      </c>
      <c r="D354" s="12" t="s">
        <v>835</v>
      </c>
      <c r="E354" s="15" t="s">
        <v>1923</v>
      </c>
      <c r="F354" s="15" t="s">
        <v>1924</v>
      </c>
      <c r="G354" s="15" t="s">
        <v>1652</v>
      </c>
      <c r="H354" s="4"/>
    </row>
    <row r="355" spans="1:8" ht="15.5">
      <c r="A355" s="8">
        <v>354</v>
      </c>
      <c r="B355" s="12" t="s">
        <v>1925</v>
      </c>
      <c r="C355" s="12" t="s">
        <v>816</v>
      </c>
      <c r="D355" s="12" t="s">
        <v>835</v>
      </c>
      <c r="E355" s="15" t="s">
        <v>1926</v>
      </c>
      <c r="F355" s="15" t="s">
        <v>1927</v>
      </c>
      <c r="G355" s="15" t="s">
        <v>1633</v>
      </c>
      <c r="H355" s="4"/>
    </row>
    <row r="356" spans="1:8" ht="15.5">
      <c r="A356" s="8">
        <v>355</v>
      </c>
      <c r="B356" s="12" t="s">
        <v>583</v>
      </c>
      <c r="C356" s="12" t="s">
        <v>822</v>
      </c>
      <c r="D356" s="12" t="s">
        <v>817</v>
      </c>
      <c r="E356" s="15" t="s">
        <v>1928</v>
      </c>
      <c r="F356" s="15" t="s">
        <v>1929</v>
      </c>
      <c r="G356" s="15" t="s">
        <v>1374</v>
      </c>
      <c r="H356" s="4" t="s">
        <v>920</v>
      </c>
    </row>
    <row r="357" spans="1:8" ht="15.5">
      <c r="A357" s="8">
        <v>356</v>
      </c>
      <c r="B357" s="12" t="s">
        <v>1930</v>
      </c>
      <c r="C357" s="12" t="s">
        <v>1082</v>
      </c>
      <c r="D357" s="12" t="s">
        <v>817</v>
      </c>
      <c r="E357" s="15" t="s">
        <v>1931</v>
      </c>
      <c r="F357" s="15" t="s">
        <v>1932</v>
      </c>
      <c r="G357" s="15" t="s">
        <v>1933</v>
      </c>
      <c r="H357" s="4" t="s">
        <v>920</v>
      </c>
    </row>
    <row r="358" spans="1:8" ht="15.5">
      <c r="A358" s="8">
        <v>357</v>
      </c>
      <c r="B358" s="12" t="s">
        <v>1934</v>
      </c>
      <c r="C358" s="12" t="s">
        <v>1199</v>
      </c>
      <c r="D358" s="12" t="s">
        <v>817</v>
      </c>
      <c r="E358" s="15" t="s">
        <v>1935</v>
      </c>
      <c r="F358" s="15" t="s">
        <v>1936</v>
      </c>
      <c r="G358" s="15" t="s">
        <v>1937</v>
      </c>
      <c r="H358" s="4"/>
    </row>
    <row r="359" spans="1:8" ht="15.5">
      <c r="A359" s="8">
        <v>358</v>
      </c>
      <c r="B359" s="12" t="s">
        <v>500</v>
      </c>
      <c r="C359" s="12" t="s">
        <v>939</v>
      </c>
      <c r="D359" s="12" t="s">
        <v>817</v>
      </c>
      <c r="E359" s="15" t="s">
        <v>1938</v>
      </c>
      <c r="F359" s="15" t="s">
        <v>1939</v>
      </c>
      <c r="G359" s="15" t="s">
        <v>1732</v>
      </c>
      <c r="H359" s="4" t="s">
        <v>920</v>
      </c>
    </row>
    <row r="360" spans="1:8" ht="15.5">
      <c r="A360" s="8">
        <v>359</v>
      </c>
      <c r="B360" s="12" t="s">
        <v>485</v>
      </c>
      <c r="C360" s="12" t="s">
        <v>979</v>
      </c>
      <c r="D360" s="12" t="s">
        <v>817</v>
      </c>
      <c r="E360" s="15" t="s">
        <v>1940</v>
      </c>
      <c r="F360" s="15" t="s">
        <v>1941</v>
      </c>
      <c r="G360" s="15" t="s">
        <v>1749</v>
      </c>
      <c r="H360" s="4" t="s">
        <v>920</v>
      </c>
    </row>
    <row r="361" spans="1:8" ht="15.5">
      <c r="A361" s="8">
        <v>360</v>
      </c>
      <c r="B361" s="12" t="s">
        <v>407</v>
      </c>
      <c r="C361" s="12" t="s">
        <v>822</v>
      </c>
      <c r="D361" s="12" t="s">
        <v>835</v>
      </c>
      <c r="E361" s="15" t="s">
        <v>1151</v>
      </c>
      <c r="F361" s="15" t="s">
        <v>1942</v>
      </c>
      <c r="G361" s="15" t="s">
        <v>1854</v>
      </c>
      <c r="H361" s="4"/>
    </row>
    <row r="362" spans="1:8" ht="15.5">
      <c r="A362" s="8">
        <v>361</v>
      </c>
      <c r="B362" s="12" t="s">
        <v>539</v>
      </c>
      <c r="C362" s="12" t="s">
        <v>844</v>
      </c>
      <c r="D362" s="12" t="s">
        <v>817</v>
      </c>
      <c r="E362" s="15" t="s">
        <v>1943</v>
      </c>
      <c r="F362" s="15" t="s">
        <v>1944</v>
      </c>
      <c r="G362" s="15" t="s">
        <v>1945</v>
      </c>
      <c r="H362" s="4" t="s">
        <v>1221</v>
      </c>
    </row>
    <row r="363" spans="1:8" ht="15.5">
      <c r="A363" s="8">
        <v>362</v>
      </c>
      <c r="B363" s="12" t="s">
        <v>567</v>
      </c>
      <c r="C363" s="12" t="s">
        <v>862</v>
      </c>
      <c r="D363" s="12" t="s">
        <v>835</v>
      </c>
      <c r="E363" s="15" t="s">
        <v>1946</v>
      </c>
      <c r="F363" s="15" t="s">
        <v>1947</v>
      </c>
      <c r="G363" s="15" t="s">
        <v>1173</v>
      </c>
      <c r="H363" s="4"/>
    </row>
    <row r="364" spans="1:8" ht="15.5">
      <c r="A364" s="8">
        <v>363</v>
      </c>
      <c r="B364" s="12" t="s">
        <v>623</v>
      </c>
      <c r="C364" s="12" t="s">
        <v>840</v>
      </c>
      <c r="D364" s="12" t="s">
        <v>817</v>
      </c>
      <c r="E364" s="15" t="s">
        <v>1948</v>
      </c>
      <c r="F364" s="15" t="s">
        <v>1949</v>
      </c>
      <c r="G364" s="15" t="s">
        <v>1332</v>
      </c>
      <c r="H364" s="4" t="s">
        <v>1336</v>
      </c>
    </row>
    <row r="365" spans="1:8" ht="15.5">
      <c r="A365" s="8">
        <v>364</v>
      </c>
      <c r="B365" s="12" t="s">
        <v>1950</v>
      </c>
      <c r="C365" s="12" t="s">
        <v>840</v>
      </c>
      <c r="D365" s="12" t="s">
        <v>817</v>
      </c>
      <c r="E365" s="15" t="s">
        <v>1951</v>
      </c>
      <c r="F365" s="15" t="s">
        <v>1952</v>
      </c>
      <c r="G365" s="15" t="s">
        <v>1953</v>
      </c>
      <c r="H365" s="4" t="s">
        <v>1336</v>
      </c>
    </row>
    <row r="366" spans="1:8" ht="15.5">
      <c r="A366" s="8">
        <v>365</v>
      </c>
      <c r="B366" s="12" t="s">
        <v>132</v>
      </c>
      <c r="C366" s="12" t="s">
        <v>939</v>
      </c>
      <c r="D366" s="12" t="s">
        <v>835</v>
      </c>
      <c r="E366" s="15" t="s">
        <v>1954</v>
      </c>
      <c r="F366" s="15" t="s">
        <v>1955</v>
      </c>
      <c r="G366" s="15" t="s">
        <v>1956</v>
      </c>
      <c r="H366" s="4"/>
    </row>
    <row r="367" spans="1:8" ht="15.5">
      <c r="A367" s="8">
        <v>366</v>
      </c>
      <c r="B367" s="12" t="s">
        <v>514</v>
      </c>
      <c r="C367" s="12" t="s">
        <v>943</v>
      </c>
      <c r="D367" s="12" t="s">
        <v>835</v>
      </c>
      <c r="E367" s="15" t="s">
        <v>1957</v>
      </c>
      <c r="F367" s="15" t="s">
        <v>1958</v>
      </c>
      <c r="G367" s="15" t="s">
        <v>1959</v>
      </c>
      <c r="H367" s="4"/>
    </row>
    <row r="368" spans="1:8" ht="15.5">
      <c r="A368" s="8">
        <v>367</v>
      </c>
      <c r="B368" s="12" t="s">
        <v>475</v>
      </c>
      <c r="C368" s="12" t="s">
        <v>939</v>
      </c>
      <c r="D368" s="12" t="s">
        <v>817</v>
      </c>
      <c r="E368" s="15" t="s">
        <v>1960</v>
      </c>
      <c r="F368" s="15" t="s">
        <v>1961</v>
      </c>
      <c r="G368" s="15" t="s">
        <v>1962</v>
      </c>
      <c r="H368" s="4" t="s">
        <v>938</v>
      </c>
    </row>
    <row r="369" spans="1:8" ht="15.5">
      <c r="A369" s="8">
        <v>368</v>
      </c>
      <c r="B369" s="12" t="s">
        <v>532</v>
      </c>
      <c r="C369" s="12" t="s">
        <v>922</v>
      </c>
      <c r="D369" s="12" t="s">
        <v>835</v>
      </c>
      <c r="E369" s="15" t="s">
        <v>1963</v>
      </c>
      <c r="F369" s="15" t="s">
        <v>1964</v>
      </c>
      <c r="G369" s="15" t="s">
        <v>1965</v>
      </c>
      <c r="H369" s="4"/>
    </row>
    <row r="370" spans="1:8" ht="15.5">
      <c r="A370" s="8">
        <v>369</v>
      </c>
      <c r="B370" s="12" t="s">
        <v>477</v>
      </c>
      <c r="C370" s="12" t="s">
        <v>822</v>
      </c>
      <c r="D370" s="12" t="s">
        <v>835</v>
      </c>
      <c r="E370" s="15" t="s">
        <v>1966</v>
      </c>
      <c r="F370" s="15" t="s">
        <v>1967</v>
      </c>
      <c r="G370" s="15" t="s">
        <v>1332</v>
      </c>
      <c r="H370" s="4"/>
    </row>
    <row r="371" spans="1:8" ht="15.5">
      <c r="A371" s="8">
        <v>370</v>
      </c>
      <c r="B371" s="12" t="s">
        <v>468</v>
      </c>
      <c r="C371" s="12" t="s">
        <v>816</v>
      </c>
      <c r="D371" s="12" t="s">
        <v>817</v>
      </c>
      <c r="E371" s="15" t="s">
        <v>1968</v>
      </c>
      <c r="F371" s="15" t="s">
        <v>1969</v>
      </c>
      <c r="G371" s="15" t="s">
        <v>1393</v>
      </c>
      <c r="H371" s="4" t="s">
        <v>1498</v>
      </c>
    </row>
    <row r="372" spans="1:8" ht="15.5">
      <c r="A372" s="8">
        <v>371</v>
      </c>
      <c r="B372" s="12" t="s">
        <v>155</v>
      </c>
      <c r="C372" s="12" t="s">
        <v>876</v>
      </c>
      <c r="D372" s="12" t="s">
        <v>835</v>
      </c>
      <c r="E372" s="15" t="s">
        <v>1970</v>
      </c>
      <c r="F372" s="15" t="s">
        <v>1971</v>
      </c>
      <c r="G372" s="15" t="s">
        <v>1139</v>
      </c>
      <c r="H372" s="4"/>
    </row>
    <row r="373" spans="1:8" ht="15.5">
      <c r="A373" s="8">
        <v>372</v>
      </c>
      <c r="B373" s="12" t="s">
        <v>447</v>
      </c>
      <c r="C373" s="12" t="s">
        <v>840</v>
      </c>
      <c r="D373" s="12" t="s">
        <v>817</v>
      </c>
      <c r="E373" s="15" t="s">
        <v>1972</v>
      </c>
      <c r="F373" s="15" t="s">
        <v>1973</v>
      </c>
      <c r="G373" s="15" t="s">
        <v>1974</v>
      </c>
      <c r="H373" s="4" t="s">
        <v>1336</v>
      </c>
    </row>
    <row r="374" spans="1:8" ht="15.5">
      <c r="A374" s="8">
        <v>373</v>
      </c>
      <c r="B374" s="12" t="s">
        <v>1975</v>
      </c>
      <c r="C374" s="12" t="s">
        <v>1082</v>
      </c>
      <c r="D374" s="12" t="s">
        <v>817</v>
      </c>
      <c r="E374" s="15" t="s">
        <v>1976</v>
      </c>
      <c r="F374" s="15" t="s">
        <v>1977</v>
      </c>
      <c r="G374" s="15" t="s">
        <v>1978</v>
      </c>
      <c r="H374" s="4" t="s">
        <v>1221</v>
      </c>
    </row>
    <row r="375" spans="1:8" ht="15.5">
      <c r="A375" s="8">
        <v>374</v>
      </c>
      <c r="B375" s="12" t="s">
        <v>428</v>
      </c>
      <c r="C375" s="12" t="s">
        <v>831</v>
      </c>
      <c r="D375" s="12" t="s">
        <v>835</v>
      </c>
      <c r="E375" s="15" t="s">
        <v>1979</v>
      </c>
      <c r="F375" s="15" t="s">
        <v>1980</v>
      </c>
      <c r="G375" s="15" t="s">
        <v>1448</v>
      </c>
      <c r="H375" s="4"/>
    </row>
    <row r="376" spans="1:8" ht="15.5">
      <c r="A376" s="8">
        <v>375</v>
      </c>
      <c r="B376" s="12" t="s">
        <v>531</v>
      </c>
      <c r="C376" s="12" t="s">
        <v>1000</v>
      </c>
      <c r="D376" s="12" t="s">
        <v>817</v>
      </c>
      <c r="E376" s="15" t="s">
        <v>1981</v>
      </c>
      <c r="F376" s="15" t="s">
        <v>1982</v>
      </c>
      <c r="G376" s="15" t="s">
        <v>1824</v>
      </c>
      <c r="H376" s="4" t="s">
        <v>1336</v>
      </c>
    </row>
    <row r="377" spans="1:8" ht="15.5">
      <c r="A377" s="8">
        <v>376</v>
      </c>
      <c r="B377" s="12" t="s">
        <v>318</v>
      </c>
      <c r="C377" s="12" t="s">
        <v>926</v>
      </c>
      <c r="D377" s="12" t="s">
        <v>835</v>
      </c>
      <c r="E377" s="15" t="s">
        <v>1983</v>
      </c>
      <c r="F377" s="15" t="s">
        <v>1984</v>
      </c>
      <c r="G377" s="15" t="s">
        <v>1985</v>
      </c>
      <c r="H377" s="4"/>
    </row>
    <row r="378" spans="1:8" ht="15.5">
      <c r="A378" s="8">
        <v>377</v>
      </c>
      <c r="B378" s="12" t="s">
        <v>1986</v>
      </c>
      <c r="C378" s="12" t="s">
        <v>1082</v>
      </c>
      <c r="D378" s="12" t="s">
        <v>835</v>
      </c>
      <c r="E378" s="15" t="s">
        <v>1987</v>
      </c>
      <c r="F378" s="15" t="s">
        <v>1823</v>
      </c>
      <c r="G378" s="15" t="s">
        <v>1146</v>
      </c>
      <c r="H378" s="4"/>
    </row>
    <row r="379" spans="1:8" ht="15.5">
      <c r="A379" s="8">
        <v>378</v>
      </c>
      <c r="B379" s="12" t="s">
        <v>1988</v>
      </c>
      <c r="C379" s="12" t="s">
        <v>822</v>
      </c>
      <c r="D379" s="12" t="s">
        <v>835</v>
      </c>
      <c r="E379" s="15" t="s">
        <v>1989</v>
      </c>
      <c r="F379" s="15" t="s">
        <v>1990</v>
      </c>
      <c r="G379" s="15" t="s">
        <v>1991</v>
      </c>
      <c r="H379" s="4"/>
    </row>
    <row r="380" spans="1:8" ht="15.5">
      <c r="A380" s="8">
        <v>379</v>
      </c>
      <c r="B380" s="12" t="s">
        <v>1992</v>
      </c>
      <c r="C380" s="12" t="s">
        <v>844</v>
      </c>
      <c r="D380" s="12" t="s">
        <v>817</v>
      </c>
      <c r="E380" s="15" t="s">
        <v>1993</v>
      </c>
      <c r="F380" s="15" t="s">
        <v>1994</v>
      </c>
      <c r="G380" s="15" t="s">
        <v>1995</v>
      </c>
      <c r="H380" s="4" t="s">
        <v>1336</v>
      </c>
    </row>
    <row r="381" spans="1:8" ht="15.5">
      <c r="A381" s="8">
        <v>380</v>
      </c>
      <c r="B381" s="12" t="s">
        <v>1996</v>
      </c>
      <c r="C381" s="12" t="s">
        <v>840</v>
      </c>
      <c r="D381" s="12" t="s">
        <v>817</v>
      </c>
      <c r="E381" s="15" t="s">
        <v>1997</v>
      </c>
      <c r="F381" s="15" t="s">
        <v>1998</v>
      </c>
      <c r="G381" s="15" t="s">
        <v>1999</v>
      </c>
      <c r="H381" s="4" t="s">
        <v>1336</v>
      </c>
    </row>
    <row r="382" spans="1:8" ht="15.5">
      <c r="A382" s="8">
        <v>381</v>
      </c>
      <c r="B382" s="12" t="s">
        <v>348</v>
      </c>
      <c r="C382" s="12" t="s">
        <v>2000</v>
      </c>
      <c r="D382" s="12" t="s">
        <v>835</v>
      </c>
      <c r="E382" s="15" t="s">
        <v>2001</v>
      </c>
      <c r="F382" s="15" t="s">
        <v>2002</v>
      </c>
      <c r="G382" s="15" t="s">
        <v>2003</v>
      </c>
      <c r="H382" s="4"/>
    </row>
    <row r="383" spans="1:8" ht="15.5">
      <c r="A383" s="8">
        <v>382</v>
      </c>
      <c r="B383" s="12" t="s">
        <v>2004</v>
      </c>
      <c r="C383" s="12" t="s">
        <v>840</v>
      </c>
      <c r="D383" s="12" t="s">
        <v>835</v>
      </c>
      <c r="E383" s="15" t="s">
        <v>1998</v>
      </c>
      <c r="F383" s="15" t="s">
        <v>2005</v>
      </c>
      <c r="G383" s="15" t="s">
        <v>2006</v>
      </c>
      <c r="H383" s="4"/>
    </row>
    <row r="384" spans="1:8" ht="15.5">
      <c r="A384" s="8">
        <v>383</v>
      </c>
      <c r="B384" s="12" t="s">
        <v>677</v>
      </c>
      <c r="C384" s="12" t="s">
        <v>1164</v>
      </c>
      <c r="D384" s="12" t="s">
        <v>817</v>
      </c>
      <c r="E384" s="15" t="s">
        <v>2007</v>
      </c>
      <c r="F384" s="15" t="s">
        <v>2008</v>
      </c>
      <c r="G384" s="15" t="s">
        <v>2009</v>
      </c>
      <c r="H384" s="4" t="s">
        <v>1235</v>
      </c>
    </row>
    <row r="385" spans="1:8" ht="15.5">
      <c r="A385" s="8">
        <v>384</v>
      </c>
      <c r="B385" s="12" t="s">
        <v>454</v>
      </c>
      <c r="C385" s="12" t="s">
        <v>851</v>
      </c>
      <c r="D385" s="12" t="s">
        <v>835</v>
      </c>
      <c r="E385" s="15" t="s">
        <v>2010</v>
      </c>
      <c r="F385" s="15" t="s">
        <v>2011</v>
      </c>
      <c r="G385" s="15" t="s">
        <v>2012</v>
      </c>
      <c r="H385" s="4"/>
    </row>
    <row r="386" spans="1:8" ht="15.5">
      <c r="A386" s="8">
        <v>385</v>
      </c>
      <c r="B386" s="12" t="s">
        <v>266</v>
      </c>
      <c r="C386" s="12" t="s">
        <v>827</v>
      </c>
      <c r="D386" s="12" t="s">
        <v>817</v>
      </c>
      <c r="E386" s="15" t="s">
        <v>2013</v>
      </c>
      <c r="F386" s="15" t="s">
        <v>2014</v>
      </c>
      <c r="G386" s="15" t="s">
        <v>2015</v>
      </c>
      <c r="H386" s="4" t="s">
        <v>1221</v>
      </c>
    </row>
    <row r="387" spans="1:8" ht="15.5">
      <c r="A387" s="8">
        <v>386</v>
      </c>
      <c r="B387" s="12" t="s">
        <v>300</v>
      </c>
      <c r="C387" s="12" t="s">
        <v>816</v>
      </c>
      <c r="D387" s="12" t="s">
        <v>835</v>
      </c>
      <c r="E387" s="15" t="s">
        <v>2016</v>
      </c>
      <c r="F387" s="15" t="s">
        <v>2017</v>
      </c>
      <c r="G387" s="15" t="s">
        <v>2018</v>
      </c>
      <c r="H387" s="4"/>
    </row>
    <row r="388" spans="1:8" ht="15.5">
      <c r="A388" s="8">
        <v>387</v>
      </c>
      <c r="B388" s="12" t="s">
        <v>542</v>
      </c>
      <c r="C388" s="12" t="s">
        <v>822</v>
      </c>
      <c r="D388" s="12" t="s">
        <v>817</v>
      </c>
      <c r="E388" s="15" t="s">
        <v>2019</v>
      </c>
      <c r="F388" s="15" t="s">
        <v>2020</v>
      </c>
      <c r="G388" s="15" t="s">
        <v>2021</v>
      </c>
      <c r="H388" s="4" t="s">
        <v>1498</v>
      </c>
    </row>
    <row r="389" spans="1:8" ht="15.5">
      <c r="A389" s="8">
        <v>388</v>
      </c>
      <c r="B389" s="12" t="s">
        <v>138</v>
      </c>
      <c r="C389" s="12" t="s">
        <v>1678</v>
      </c>
      <c r="D389" s="12" t="s">
        <v>835</v>
      </c>
      <c r="E389" s="15" t="s">
        <v>2022</v>
      </c>
      <c r="F389" s="15" t="s">
        <v>2023</v>
      </c>
      <c r="G389" s="15" t="s">
        <v>2024</v>
      </c>
      <c r="H389" s="4"/>
    </row>
    <row r="390" spans="1:8" ht="15.5">
      <c r="A390" s="8">
        <v>389</v>
      </c>
      <c r="B390" s="12" t="s">
        <v>593</v>
      </c>
      <c r="C390" s="12" t="s">
        <v>822</v>
      </c>
      <c r="D390" s="12" t="s">
        <v>817</v>
      </c>
      <c r="E390" s="15" t="s">
        <v>2025</v>
      </c>
      <c r="F390" s="15" t="s">
        <v>2026</v>
      </c>
      <c r="G390" s="15" t="s">
        <v>1473</v>
      </c>
      <c r="H390" s="4" t="s">
        <v>1221</v>
      </c>
    </row>
    <row r="391" spans="1:8" ht="15.5">
      <c r="A391" s="8">
        <v>390</v>
      </c>
      <c r="B391" s="12" t="s">
        <v>557</v>
      </c>
      <c r="C391" s="12" t="s">
        <v>1004</v>
      </c>
      <c r="D391" s="12" t="s">
        <v>817</v>
      </c>
      <c r="E391" s="15" t="s">
        <v>2027</v>
      </c>
      <c r="F391" s="15" t="s">
        <v>2028</v>
      </c>
      <c r="G391" s="15" t="s">
        <v>2029</v>
      </c>
      <c r="H391" s="4" t="s">
        <v>1498</v>
      </c>
    </row>
    <row r="392" spans="1:8" ht="15.5">
      <c r="A392" s="8">
        <v>391</v>
      </c>
      <c r="B392" s="12" t="s">
        <v>492</v>
      </c>
      <c r="C392" s="12" t="s">
        <v>1082</v>
      </c>
      <c r="D392" s="12" t="s">
        <v>817</v>
      </c>
      <c r="E392" s="15" t="s">
        <v>2030</v>
      </c>
      <c r="F392" s="15" t="s">
        <v>2031</v>
      </c>
      <c r="G392" s="15" t="s">
        <v>2032</v>
      </c>
      <c r="H392" s="4" t="s">
        <v>1221</v>
      </c>
    </row>
    <row r="393" spans="1:8" ht="15.5">
      <c r="A393" s="8">
        <v>392</v>
      </c>
      <c r="B393" s="12" t="s">
        <v>596</v>
      </c>
      <c r="C393" s="12" t="s">
        <v>844</v>
      </c>
      <c r="D393" s="12" t="s">
        <v>817</v>
      </c>
      <c r="E393" s="15" t="s">
        <v>2033</v>
      </c>
      <c r="F393" s="15" t="s">
        <v>2034</v>
      </c>
      <c r="G393" s="15" t="s">
        <v>2035</v>
      </c>
      <c r="H393" s="4" t="s">
        <v>1235</v>
      </c>
    </row>
    <row r="394" spans="1:8" ht="15.5">
      <c r="A394" s="8">
        <v>393</v>
      </c>
      <c r="B394" s="12" t="s">
        <v>578</v>
      </c>
      <c r="C394" s="12" t="s">
        <v>1236</v>
      </c>
      <c r="D394" s="12" t="s">
        <v>835</v>
      </c>
      <c r="E394" s="15" t="s">
        <v>2036</v>
      </c>
      <c r="F394" s="15" t="s">
        <v>2037</v>
      </c>
      <c r="G394" s="15" t="s">
        <v>2038</v>
      </c>
      <c r="H394" s="4"/>
    </row>
    <row r="395" spans="1:8" ht="15.5">
      <c r="A395" s="8">
        <v>394</v>
      </c>
      <c r="B395" s="12" t="s">
        <v>486</v>
      </c>
      <c r="C395" s="12" t="s">
        <v>858</v>
      </c>
      <c r="D395" s="12" t="s">
        <v>817</v>
      </c>
      <c r="E395" s="15" t="s">
        <v>2039</v>
      </c>
      <c r="F395" s="15" t="s">
        <v>2040</v>
      </c>
      <c r="G395" s="15" t="s">
        <v>1228</v>
      </c>
      <c r="H395" s="4" t="s">
        <v>938</v>
      </c>
    </row>
    <row r="396" spans="1:8" ht="15.5">
      <c r="A396" s="8">
        <v>395</v>
      </c>
      <c r="B396" s="12" t="s">
        <v>559</v>
      </c>
      <c r="C396" s="12" t="s">
        <v>822</v>
      </c>
      <c r="D396" s="12" t="s">
        <v>817</v>
      </c>
      <c r="E396" s="15" t="s">
        <v>2041</v>
      </c>
      <c r="F396" s="15" t="s">
        <v>2042</v>
      </c>
      <c r="G396" s="15" t="s">
        <v>2043</v>
      </c>
      <c r="H396" s="4" t="s">
        <v>1336</v>
      </c>
    </row>
    <row r="397" spans="1:8" ht="15.5">
      <c r="A397" s="8">
        <v>396</v>
      </c>
      <c r="B397" s="12" t="s">
        <v>626</v>
      </c>
      <c r="C397" s="12" t="s">
        <v>840</v>
      </c>
      <c r="D397" s="12" t="s">
        <v>817</v>
      </c>
      <c r="E397" s="15" t="s">
        <v>2044</v>
      </c>
      <c r="F397" s="15" t="s">
        <v>2045</v>
      </c>
      <c r="G397" s="15" t="s">
        <v>1890</v>
      </c>
      <c r="H397" s="4" t="s">
        <v>1498</v>
      </c>
    </row>
    <row r="398" spans="1:8" ht="15.5">
      <c r="A398" s="8">
        <v>397</v>
      </c>
      <c r="B398" s="12" t="s">
        <v>445</v>
      </c>
      <c r="C398" s="12" t="s">
        <v>910</v>
      </c>
      <c r="D398" s="12" t="s">
        <v>835</v>
      </c>
      <c r="E398" s="15" t="s">
        <v>2046</v>
      </c>
      <c r="F398" s="15" t="s">
        <v>2047</v>
      </c>
      <c r="G398" s="15" t="s">
        <v>2048</v>
      </c>
      <c r="H398" s="4"/>
    </row>
    <row r="399" spans="1:8" ht="15.5">
      <c r="A399" s="8">
        <v>398</v>
      </c>
      <c r="B399" s="12" t="s">
        <v>536</v>
      </c>
      <c r="C399" s="12" t="s">
        <v>1000</v>
      </c>
      <c r="D399" s="12" t="s">
        <v>835</v>
      </c>
      <c r="E399" s="15" t="s">
        <v>2049</v>
      </c>
      <c r="F399" s="15" t="s">
        <v>1525</v>
      </c>
      <c r="G399" s="15" t="s">
        <v>1455</v>
      </c>
      <c r="H399" s="4"/>
    </row>
    <row r="400" spans="1:8" ht="15.5">
      <c r="A400" s="8">
        <v>399</v>
      </c>
      <c r="B400" s="12" t="s">
        <v>503</v>
      </c>
      <c r="C400" s="12" t="s">
        <v>844</v>
      </c>
      <c r="D400" s="12" t="s">
        <v>817</v>
      </c>
      <c r="E400" s="15" t="s">
        <v>2050</v>
      </c>
      <c r="F400" s="15" t="s">
        <v>2051</v>
      </c>
      <c r="G400" s="15" t="s">
        <v>1146</v>
      </c>
      <c r="H400" s="4" t="s">
        <v>1336</v>
      </c>
    </row>
    <row r="401" spans="1:8" ht="15.5">
      <c r="A401" s="8">
        <v>400</v>
      </c>
      <c r="B401" s="12" t="s">
        <v>456</v>
      </c>
      <c r="C401" s="12" t="s">
        <v>1303</v>
      </c>
      <c r="D401" s="12" t="s">
        <v>817</v>
      </c>
      <c r="E401" s="15" t="s">
        <v>2052</v>
      </c>
      <c r="F401" s="15" t="s">
        <v>2053</v>
      </c>
      <c r="G401" s="15" t="s">
        <v>2054</v>
      </c>
      <c r="H401" s="4" t="s">
        <v>1336</v>
      </c>
    </row>
    <row r="402" spans="1:8" ht="15.5">
      <c r="A402" s="8">
        <v>401</v>
      </c>
      <c r="B402" s="12" t="s">
        <v>570</v>
      </c>
      <c r="C402" s="12" t="s">
        <v>840</v>
      </c>
      <c r="D402" s="12" t="s">
        <v>835</v>
      </c>
      <c r="E402" s="15" t="s">
        <v>2055</v>
      </c>
      <c r="F402" s="15" t="s">
        <v>1525</v>
      </c>
      <c r="G402" s="15" t="s">
        <v>1660</v>
      </c>
      <c r="H402" s="4"/>
    </row>
    <row r="403" spans="1:8" ht="15.5">
      <c r="A403" s="8">
        <v>402</v>
      </c>
      <c r="B403" s="12" t="s">
        <v>2056</v>
      </c>
      <c r="C403" s="12" t="s">
        <v>840</v>
      </c>
      <c r="D403" s="12" t="s">
        <v>835</v>
      </c>
      <c r="E403" s="15" t="s">
        <v>2057</v>
      </c>
      <c r="F403" s="15" t="s">
        <v>2058</v>
      </c>
      <c r="G403" s="15" t="s">
        <v>2032</v>
      </c>
      <c r="H403" s="4"/>
    </row>
    <row r="404" spans="1:8" ht="15.5">
      <c r="A404" s="8">
        <v>403</v>
      </c>
      <c r="B404" s="12" t="s">
        <v>610</v>
      </c>
      <c r="C404" s="12" t="s">
        <v>1236</v>
      </c>
      <c r="D404" s="12" t="s">
        <v>817</v>
      </c>
      <c r="E404" s="15" t="s">
        <v>2059</v>
      </c>
      <c r="F404" s="15" t="s">
        <v>2060</v>
      </c>
      <c r="G404" s="15" t="s">
        <v>1890</v>
      </c>
      <c r="H404" s="4" t="s">
        <v>1336</v>
      </c>
    </row>
    <row r="405" spans="1:8" ht="15.5">
      <c r="A405" s="8">
        <v>404</v>
      </c>
      <c r="B405" s="12" t="s">
        <v>239</v>
      </c>
      <c r="C405" s="12" t="s">
        <v>872</v>
      </c>
      <c r="D405" s="12" t="s">
        <v>835</v>
      </c>
      <c r="E405" s="15" t="s">
        <v>2061</v>
      </c>
      <c r="F405" s="15" t="s">
        <v>2062</v>
      </c>
      <c r="G405" s="15" t="s">
        <v>2063</v>
      </c>
      <c r="H405" s="4"/>
    </row>
    <row r="406" spans="1:8" ht="15.5">
      <c r="A406" s="8">
        <v>405</v>
      </c>
      <c r="B406" s="12" t="s">
        <v>470</v>
      </c>
      <c r="C406" s="12" t="s">
        <v>831</v>
      </c>
      <c r="D406" s="12" t="s">
        <v>817</v>
      </c>
      <c r="E406" s="15" t="s">
        <v>2064</v>
      </c>
      <c r="F406" s="15" t="s">
        <v>2065</v>
      </c>
      <c r="G406" s="15" t="s">
        <v>1438</v>
      </c>
      <c r="H406" s="4" t="s">
        <v>1336</v>
      </c>
    </row>
    <row r="407" spans="1:8" ht="15.5">
      <c r="A407" s="8">
        <v>406</v>
      </c>
      <c r="B407" s="12" t="s">
        <v>640</v>
      </c>
      <c r="C407" s="12" t="s">
        <v>943</v>
      </c>
      <c r="D407" s="12" t="s">
        <v>817</v>
      </c>
      <c r="E407" s="15" t="s">
        <v>2066</v>
      </c>
      <c r="F407" s="15" t="s">
        <v>2067</v>
      </c>
      <c r="G407" s="15" t="s">
        <v>1234</v>
      </c>
      <c r="H407" s="4" t="s">
        <v>920</v>
      </c>
    </row>
    <row r="408" spans="1:8" ht="15.5">
      <c r="A408" s="8">
        <v>407</v>
      </c>
      <c r="B408" s="12" t="s">
        <v>2068</v>
      </c>
      <c r="C408" s="12" t="s">
        <v>872</v>
      </c>
      <c r="D408" s="12" t="s">
        <v>835</v>
      </c>
      <c r="E408" s="15" t="s">
        <v>2069</v>
      </c>
      <c r="F408" s="15" t="s">
        <v>2070</v>
      </c>
      <c r="G408" s="15" t="s">
        <v>2071</v>
      </c>
      <c r="H408" s="4"/>
    </row>
    <row r="409" spans="1:8" ht="15.5">
      <c r="A409" s="8">
        <v>408</v>
      </c>
      <c r="B409" s="12" t="s">
        <v>324</v>
      </c>
      <c r="C409" s="12" t="s">
        <v>922</v>
      </c>
      <c r="D409" s="12" t="s">
        <v>835</v>
      </c>
      <c r="E409" s="15" t="s">
        <v>2072</v>
      </c>
      <c r="F409" s="15" t="s">
        <v>2073</v>
      </c>
      <c r="G409" s="15" t="s">
        <v>2074</v>
      </c>
      <c r="H409" s="4"/>
    </row>
    <row r="410" spans="1:8" ht="15.5">
      <c r="A410" s="8">
        <v>409</v>
      </c>
      <c r="B410" s="12" t="s">
        <v>2075</v>
      </c>
      <c r="C410" s="12" t="s">
        <v>816</v>
      </c>
      <c r="D410" s="12" t="s">
        <v>835</v>
      </c>
      <c r="E410" s="15" t="s">
        <v>1315</v>
      </c>
      <c r="F410" s="15" t="s">
        <v>2076</v>
      </c>
      <c r="G410" s="15" t="s">
        <v>2077</v>
      </c>
      <c r="H410" s="4"/>
    </row>
    <row r="411" spans="1:8" ht="15.5">
      <c r="A411" s="8">
        <v>410</v>
      </c>
      <c r="B411" s="12" t="s">
        <v>572</v>
      </c>
      <c r="C411" s="12" t="s">
        <v>2000</v>
      </c>
      <c r="D411" s="12" t="s">
        <v>835</v>
      </c>
      <c r="E411" s="15" t="s">
        <v>2078</v>
      </c>
      <c r="F411" s="15" t="s">
        <v>2079</v>
      </c>
      <c r="G411" s="15" t="s">
        <v>2080</v>
      </c>
      <c r="H411" s="4"/>
    </row>
    <row r="412" spans="1:8" ht="15.5">
      <c r="A412" s="8">
        <v>411</v>
      </c>
      <c r="B412" s="12" t="s">
        <v>457</v>
      </c>
      <c r="C412" s="12" t="s">
        <v>1000</v>
      </c>
      <c r="D412" s="12" t="s">
        <v>835</v>
      </c>
      <c r="E412" s="15" t="s">
        <v>2081</v>
      </c>
      <c r="F412" s="15" t="s">
        <v>2082</v>
      </c>
      <c r="G412" s="15" t="s">
        <v>1652</v>
      </c>
      <c r="H412" s="4"/>
    </row>
    <row r="413" spans="1:8" ht="15.5">
      <c r="A413" s="8">
        <v>412</v>
      </c>
      <c r="B413" s="12" t="s">
        <v>595</v>
      </c>
      <c r="C413" s="12" t="s">
        <v>840</v>
      </c>
      <c r="D413" s="12" t="s">
        <v>817</v>
      </c>
      <c r="E413" s="15" t="s">
        <v>2083</v>
      </c>
      <c r="F413" s="15" t="s">
        <v>2084</v>
      </c>
      <c r="G413" s="15" t="s">
        <v>1887</v>
      </c>
      <c r="H413" s="4" t="s">
        <v>1498</v>
      </c>
    </row>
    <row r="414" spans="1:8" ht="15.5">
      <c r="A414" s="8">
        <v>413</v>
      </c>
      <c r="B414" s="12" t="s">
        <v>674</v>
      </c>
      <c r="C414" s="12" t="s">
        <v>906</v>
      </c>
      <c r="D414" s="12" t="s">
        <v>835</v>
      </c>
      <c r="E414" s="15" t="s">
        <v>2085</v>
      </c>
      <c r="F414" s="15" t="s">
        <v>2086</v>
      </c>
      <c r="G414" s="15" t="s">
        <v>2087</v>
      </c>
      <c r="H414" s="4"/>
    </row>
    <row r="415" spans="1:8" ht="15.5">
      <c r="A415" s="8">
        <v>414</v>
      </c>
      <c r="B415" s="12" t="s">
        <v>420</v>
      </c>
      <c r="C415" s="12" t="s">
        <v>827</v>
      </c>
      <c r="D415" s="12" t="s">
        <v>817</v>
      </c>
      <c r="E415" s="15" t="s">
        <v>2088</v>
      </c>
      <c r="F415" s="15" t="s">
        <v>2089</v>
      </c>
      <c r="G415" s="15" t="s">
        <v>1704</v>
      </c>
      <c r="H415" s="4" t="s">
        <v>1336</v>
      </c>
    </row>
    <row r="416" spans="1:8" ht="15.5">
      <c r="A416" s="8">
        <v>415</v>
      </c>
      <c r="B416" s="12" t="s">
        <v>472</v>
      </c>
      <c r="C416" s="12" t="s">
        <v>979</v>
      </c>
      <c r="D416" s="12" t="s">
        <v>817</v>
      </c>
      <c r="E416" s="15" t="s">
        <v>2090</v>
      </c>
      <c r="F416" s="15" t="s">
        <v>2091</v>
      </c>
      <c r="G416" s="15" t="s">
        <v>1773</v>
      </c>
      <c r="H416" s="4" t="s">
        <v>1336</v>
      </c>
    </row>
    <row r="417" spans="1:8" ht="15.5">
      <c r="A417" s="8">
        <v>416</v>
      </c>
      <c r="B417" s="12" t="s">
        <v>545</v>
      </c>
      <c r="C417" s="12" t="s">
        <v>862</v>
      </c>
      <c r="D417" s="12" t="s">
        <v>817</v>
      </c>
      <c r="E417" s="15" t="s">
        <v>2092</v>
      </c>
      <c r="F417" s="15" t="s">
        <v>2093</v>
      </c>
      <c r="G417" s="15" t="s">
        <v>2094</v>
      </c>
      <c r="H417" s="4" t="s">
        <v>1235</v>
      </c>
    </row>
    <row r="418" spans="1:8" ht="15.5">
      <c r="A418" s="8">
        <v>417</v>
      </c>
      <c r="B418" s="12" t="s">
        <v>2095</v>
      </c>
      <c r="C418" s="12" t="s">
        <v>1124</v>
      </c>
      <c r="D418" s="12" t="s">
        <v>817</v>
      </c>
      <c r="E418" s="15" t="s">
        <v>2096</v>
      </c>
      <c r="F418" s="15" t="s">
        <v>2097</v>
      </c>
      <c r="G418" s="15" t="s">
        <v>2098</v>
      </c>
      <c r="H418" s="4" t="s">
        <v>920</v>
      </c>
    </row>
    <row r="419" spans="1:8" ht="15.5">
      <c r="A419" s="8">
        <v>418</v>
      </c>
      <c r="B419" s="12" t="s">
        <v>219</v>
      </c>
      <c r="C419" s="12" t="s">
        <v>1678</v>
      </c>
      <c r="D419" s="12" t="s">
        <v>835</v>
      </c>
      <c r="E419" s="15" t="s">
        <v>1684</v>
      </c>
      <c r="F419" s="15" t="s">
        <v>2099</v>
      </c>
      <c r="G419" s="15" t="s">
        <v>2100</v>
      </c>
      <c r="H419" s="4"/>
    </row>
    <row r="420" spans="1:8" ht="15.5">
      <c r="A420" s="8">
        <v>419</v>
      </c>
      <c r="B420" s="12" t="s">
        <v>2101</v>
      </c>
      <c r="C420" s="12" t="s">
        <v>1897</v>
      </c>
      <c r="D420" s="12" t="s">
        <v>835</v>
      </c>
      <c r="E420" s="15" t="s">
        <v>2102</v>
      </c>
      <c r="F420" s="15" t="s">
        <v>2103</v>
      </c>
      <c r="G420" s="15" t="s">
        <v>1119</v>
      </c>
      <c r="H420" s="4"/>
    </row>
    <row r="421" spans="1:8" ht="15.5">
      <c r="A421" s="8">
        <v>420</v>
      </c>
      <c r="B421" s="12" t="s">
        <v>388</v>
      </c>
      <c r="C421" s="12" t="s">
        <v>910</v>
      </c>
      <c r="D421" s="12" t="s">
        <v>817</v>
      </c>
      <c r="E421" s="15" t="s">
        <v>2104</v>
      </c>
      <c r="F421" s="15" t="s">
        <v>2105</v>
      </c>
      <c r="G421" s="15" t="s">
        <v>2106</v>
      </c>
      <c r="H421" s="4" t="s">
        <v>1336</v>
      </c>
    </row>
    <row r="422" spans="1:8" ht="15.5">
      <c r="A422" s="8">
        <v>421</v>
      </c>
      <c r="B422" s="12" t="s">
        <v>350</v>
      </c>
      <c r="C422" s="12" t="s">
        <v>851</v>
      </c>
      <c r="D422" s="12" t="s">
        <v>835</v>
      </c>
      <c r="E422" s="15" t="s">
        <v>2107</v>
      </c>
      <c r="F422" s="15" t="s">
        <v>2108</v>
      </c>
      <c r="G422" s="15" t="s">
        <v>1497</v>
      </c>
      <c r="H422" s="4"/>
    </row>
    <row r="423" spans="1:8" ht="15.5">
      <c r="A423" s="8">
        <v>422</v>
      </c>
      <c r="B423" s="12" t="s">
        <v>621</v>
      </c>
      <c r="C423" s="12" t="s">
        <v>827</v>
      </c>
      <c r="D423" s="12" t="s">
        <v>817</v>
      </c>
      <c r="E423" s="15" t="s">
        <v>2109</v>
      </c>
      <c r="F423" s="15" t="s">
        <v>2110</v>
      </c>
      <c r="G423" s="15" t="s">
        <v>2111</v>
      </c>
      <c r="H423" s="4" t="s">
        <v>920</v>
      </c>
    </row>
    <row r="424" spans="1:8" ht="15.5">
      <c r="A424" s="8">
        <v>423</v>
      </c>
      <c r="B424" s="12" t="s">
        <v>330</v>
      </c>
      <c r="C424" s="12" t="s">
        <v>922</v>
      </c>
      <c r="D424" s="12" t="s">
        <v>835</v>
      </c>
      <c r="E424" s="15" t="s">
        <v>2112</v>
      </c>
      <c r="F424" s="15" t="s">
        <v>2113</v>
      </c>
      <c r="G424" s="15" t="s">
        <v>2114</v>
      </c>
      <c r="H424" s="4"/>
    </row>
    <row r="425" spans="1:8" ht="15.5">
      <c r="A425" s="8">
        <v>424</v>
      </c>
      <c r="B425" s="12" t="s">
        <v>509</v>
      </c>
      <c r="C425" s="12" t="s">
        <v>816</v>
      </c>
      <c r="D425" s="12" t="s">
        <v>835</v>
      </c>
      <c r="E425" s="15" t="s">
        <v>2115</v>
      </c>
      <c r="F425" s="15" t="s">
        <v>2116</v>
      </c>
      <c r="G425" s="15" t="s">
        <v>2117</v>
      </c>
      <c r="H425" s="4"/>
    </row>
    <row r="426" spans="1:8" ht="15.5">
      <c r="A426" s="8">
        <v>425</v>
      </c>
      <c r="B426" s="12" t="s">
        <v>323</v>
      </c>
      <c r="C426" s="12" t="s">
        <v>822</v>
      </c>
      <c r="D426" s="12" t="s">
        <v>835</v>
      </c>
      <c r="E426" s="15" t="s">
        <v>2118</v>
      </c>
      <c r="F426" s="15" t="s">
        <v>2119</v>
      </c>
      <c r="G426" s="15" t="s">
        <v>2120</v>
      </c>
      <c r="H426" s="4"/>
    </row>
    <row r="427" spans="1:8" ht="15.5">
      <c r="A427" s="8">
        <v>426</v>
      </c>
      <c r="B427" s="12" t="s">
        <v>331</v>
      </c>
      <c r="C427" s="12" t="s">
        <v>816</v>
      </c>
      <c r="D427" s="12" t="s">
        <v>835</v>
      </c>
      <c r="E427" s="15" t="s">
        <v>2121</v>
      </c>
      <c r="F427" s="15" t="s">
        <v>2122</v>
      </c>
      <c r="G427" s="15" t="s">
        <v>2123</v>
      </c>
      <c r="H427" s="4"/>
    </row>
    <row r="428" spans="1:8" ht="15.5">
      <c r="A428" s="8">
        <v>427</v>
      </c>
      <c r="B428" s="12" t="s">
        <v>2124</v>
      </c>
      <c r="C428" s="12" t="s">
        <v>1082</v>
      </c>
      <c r="D428" s="12" t="s">
        <v>835</v>
      </c>
      <c r="E428" s="15" t="s">
        <v>2125</v>
      </c>
      <c r="F428" s="15" t="s">
        <v>2126</v>
      </c>
      <c r="G428" s="15" t="s">
        <v>1746</v>
      </c>
      <c r="H428" s="4"/>
    </row>
    <row r="429" spans="1:8" ht="15.5">
      <c r="A429" s="8">
        <v>428</v>
      </c>
      <c r="B429" s="12" t="s">
        <v>2127</v>
      </c>
      <c r="C429" s="12" t="s">
        <v>872</v>
      </c>
      <c r="D429" s="12" t="s">
        <v>835</v>
      </c>
      <c r="E429" s="15" t="s">
        <v>2128</v>
      </c>
      <c r="F429" s="15" t="s">
        <v>2129</v>
      </c>
      <c r="G429" s="15" t="s">
        <v>2130</v>
      </c>
      <c r="H429" s="4"/>
    </row>
    <row r="430" spans="1:8" ht="15.5">
      <c r="A430" s="8">
        <v>428</v>
      </c>
      <c r="B430" s="12" t="s">
        <v>588</v>
      </c>
      <c r="C430" s="12" t="s">
        <v>851</v>
      </c>
      <c r="D430" s="12" t="s">
        <v>817</v>
      </c>
      <c r="E430" s="15" t="s">
        <v>2131</v>
      </c>
      <c r="F430" s="15" t="s">
        <v>2132</v>
      </c>
      <c r="G430" s="15" t="s">
        <v>2133</v>
      </c>
      <c r="H430" s="4" t="s">
        <v>1336</v>
      </c>
    </row>
    <row r="431" spans="1:8" ht="15.5">
      <c r="A431" s="8">
        <v>430</v>
      </c>
      <c r="B431" s="12" t="s">
        <v>660</v>
      </c>
      <c r="C431" s="12" t="s">
        <v>844</v>
      </c>
      <c r="D431" s="12" t="s">
        <v>817</v>
      </c>
      <c r="E431" s="15" t="s">
        <v>2134</v>
      </c>
      <c r="F431" s="15" t="s">
        <v>2135</v>
      </c>
      <c r="G431" s="15" t="s">
        <v>1854</v>
      </c>
      <c r="H431" s="4" t="s">
        <v>1235</v>
      </c>
    </row>
    <row r="432" spans="1:8" ht="15.5">
      <c r="A432" s="8">
        <v>431</v>
      </c>
      <c r="B432" s="12" t="s">
        <v>465</v>
      </c>
      <c r="C432" s="12" t="s">
        <v>840</v>
      </c>
      <c r="D432" s="12" t="s">
        <v>817</v>
      </c>
      <c r="E432" s="15" t="s">
        <v>2136</v>
      </c>
      <c r="F432" s="15" t="s">
        <v>2137</v>
      </c>
      <c r="G432" s="15" t="s">
        <v>2138</v>
      </c>
      <c r="H432" s="4" t="s">
        <v>1336</v>
      </c>
    </row>
    <row r="433" spans="1:8" ht="15.5">
      <c r="A433" s="8">
        <v>432</v>
      </c>
      <c r="B433" s="12" t="s">
        <v>648</v>
      </c>
      <c r="C433" s="12" t="s">
        <v>1104</v>
      </c>
      <c r="D433" s="12" t="s">
        <v>817</v>
      </c>
      <c r="E433" s="15" t="s">
        <v>2139</v>
      </c>
      <c r="F433" s="15" t="s">
        <v>2140</v>
      </c>
      <c r="G433" s="15" t="s">
        <v>2141</v>
      </c>
      <c r="H433" s="4" t="s">
        <v>920</v>
      </c>
    </row>
    <row r="434" spans="1:8" ht="15.5">
      <c r="A434" s="8">
        <v>433</v>
      </c>
      <c r="B434" s="12" t="s">
        <v>685</v>
      </c>
      <c r="C434" s="12" t="s">
        <v>827</v>
      </c>
      <c r="D434" s="12" t="s">
        <v>817</v>
      </c>
      <c r="E434" s="15" t="s">
        <v>2142</v>
      </c>
      <c r="F434" s="15" t="s">
        <v>2143</v>
      </c>
      <c r="G434" s="15" t="s">
        <v>1712</v>
      </c>
      <c r="H434" s="4" t="s">
        <v>1498</v>
      </c>
    </row>
    <row r="435" spans="1:8" ht="15.5">
      <c r="A435" s="8">
        <v>434</v>
      </c>
      <c r="B435" s="12" t="s">
        <v>2144</v>
      </c>
      <c r="C435" s="12" t="s">
        <v>889</v>
      </c>
      <c r="D435" s="12" t="s">
        <v>835</v>
      </c>
      <c r="E435" s="15" t="s">
        <v>2145</v>
      </c>
      <c r="F435" s="15" t="s">
        <v>2146</v>
      </c>
      <c r="G435" s="15" t="s">
        <v>1361</v>
      </c>
      <c r="H435" s="4"/>
    </row>
    <row r="436" spans="1:8" ht="15.5">
      <c r="A436" s="8">
        <v>435</v>
      </c>
      <c r="B436" s="12" t="s">
        <v>2147</v>
      </c>
      <c r="C436" s="12" t="s">
        <v>910</v>
      </c>
      <c r="D436" s="12" t="s">
        <v>835</v>
      </c>
      <c r="E436" s="15" t="s">
        <v>2148</v>
      </c>
      <c r="F436" s="15" t="s">
        <v>2149</v>
      </c>
      <c r="G436" s="15"/>
      <c r="H436" s="4"/>
    </row>
    <row r="437" spans="1:8" ht="15.5">
      <c r="A437" s="8">
        <v>436</v>
      </c>
      <c r="B437" s="12" t="s">
        <v>2150</v>
      </c>
      <c r="C437" s="12" t="s">
        <v>840</v>
      </c>
      <c r="D437" s="12" t="s">
        <v>835</v>
      </c>
      <c r="E437" s="15" t="s">
        <v>2151</v>
      </c>
      <c r="F437" s="15" t="s">
        <v>2152</v>
      </c>
      <c r="G437" s="15" t="s">
        <v>1398</v>
      </c>
      <c r="H437" s="4"/>
    </row>
    <row r="438" spans="1:8" ht="15.5">
      <c r="A438" s="8">
        <v>437</v>
      </c>
      <c r="B438" s="12" t="s">
        <v>530</v>
      </c>
      <c r="C438" s="12" t="s">
        <v>851</v>
      </c>
      <c r="D438" s="12" t="s">
        <v>817</v>
      </c>
      <c r="E438" s="15" t="s">
        <v>2153</v>
      </c>
      <c r="F438" s="15" t="s">
        <v>2154</v>
      </c>
      <c r="G438" s="15" t="s">
        <v>2155</v>
      </c>
      <c r="H438" s="4" t="s">
        <v>1498</v>
      </c>
    </row>
    <row r="439" spans="1:8" ht="15.5">
      <c r="A439" s="8">
        <v>438</v>
      </c>
      <c r="B439" s="12" t="s">
        <v>679</v>
      </c>
      <c r="C439" s="12" t="s">
        <v>827</v>
      </c>
      <c r="D439" s="12" t="s">
        <v>835</v>
      </c>
      <c r="E439" s="15" t="s">
        <v>2156</v>
      </c>
      <c r="F439" s="15" t="s">
        <v>2157</v>
      </c>
      <c r="G439" s="15" t="s">
        <v>1324</v>
      </c>
      <c r="H439" s="4"/>
    </row>
    <row r="440" spans="1:8" ht="15.5">
      <c r="A440" s="8">
        <v>439</v>
      </c>
      <c r="B440" s="12" t="s">
        <v>2158</v>
      </c>
      <c r="C440" s="12" t="s">
        <v>840</v>
      </c>
      <c r="D440" s="12" t="s">
        <v>835</v>
      </c>
      <c r="E440" s="15" t="s">
        <v>2159</v>
      </c>
      <c r="F440" s="15" t="s">
        <v>2160</v>
      </c>
      <c r="G440" s="15" t="s">
        <v>1608</v>
      </c>
      <c r="H440" s="4"/>
    </row>
    <row r="441" spans="1:8" ht="15.5">
      <c r="A441" s="8">
        <v>440</v>
      </c>
      <c r="B441" s="12" t="s">
        <v>392</v>
      </c>
      <c r="C441" s="12" t="s">
        <v>1236</v>
      </c>
      <c r="D441" s="12" t="s">
        <v>817</v>
      </c>
      <c r="E441" s="15" t="s">
        <v>2161</v>
      </c>
      <c r="F441" s="15" t="s">
        <v>2162</v>
      </c>
      <c r="G441" s="15" t="s">
        <v>1387</v>
      </c>
      <c r="H441" s="4" t="s">
        <v>1221</v>
      </c>
    </row>
    <row r="442" spans="1:8" ht="15.5">
      <c r="A442" s="8">
        <v>441</v>
      </c>
      <c r="B442" s="12" t="s">
        <v>2163</v>
      </c>
      <c r="C442" s="12" t="s">
        <v>926</v>
      </c>
      <c r="D442" s="12" t="s">
        <v>835</v>
      </c>
      <c r="E442" s="15" t="s">
        <v>2164</v>
      </c>
      <c r="F442" s="15" t="s">
        <v>2165</v>
      </c>
      <c r="G442" s="15" t="s">
        <v>2166</v>
      </c>
      <c r="H442" s="4"/>
    </row>
    <row r="443" spans="1:8" ht="15.5">
      <c r="A443" s="8">
        <v>442</v>
      </c>
      <c r="B443" s="12" t="s">
        <v>2167</v>
      </c>
      <c r="C443" s="12" t="s">
        <v>851</v>
      </c>
      <c r="D443" s="12" t="s">
        <v>817</v>
      </c>
      <c r="E443" s="15" t="s">
        <v>2168</v>
      </c>
      <c r="F443" s="15" t="s">
        <v>2169</v>
      </c>
      <c r="G443" s="15" t="s">
        <v>1735</v>
      </c>
      <c r="H443" s="4" t="s">
        <v>1336</v>
      </c>
    </row>
    <row r="444" spans="1:8" ht="15.5">
      <c r="A444" s="8">
        <v>443</v>
      </c>
      <c r="B444" s="12" t="s">
        <v>251</v>
      </c>
      <c r="C444" s="12" t="s">
        <v>840</v>
      </c>
      <c r="D444" s="12" t="s">
        <v>817</v>
      </c>
      <c r="E444" s="15" t="s">
        <v>2170</v>
      </c>
      <c r="F444" s="15" t="s">
        <v>2171</v>
      </c>
      <c r="G444" s="15" t="s">
        <v>1788</v>
      </c>
      <c r="H444" s="4" t="s">
        <v>1221</v>
      </c>
    </row>
    <row r="445" spans="1:8" ht="15.5">
      <c r="A445" s="8">
        <v>444</v>
      </c>
      <c r="B445" s="12" t="s">
        <v>2172</v>
      </c>
      <c r="C445" s="12" t="s">
        <v>1000</v>
      </c>
      <c r="D445" s="12" t="s">
        <v>835</v>
      </c>
      <c r="E445" s="15" t="s">
        <v>2173</v>
      </c>
      <c r="F445" s="15" t="s">
        <v>2174</v>
      </c>
      <c r="G445" s="15" t="s">
        <v>1766</v>
      </c>
      <c r="H445" s="4"/>
    </row>
    <row r="446" spans="1:8" ht="15.5">
      <c r="A446" s="8">
        <v>445</v>
      </c>
      <c r="B446" s="12" t="s">
        <v>513</v>
      </c>
      <c r="C446" s="12" t="s">
        <v>862</v>
      </c>
      <c r="D446" s="12" t="s">
        <v>817</v>
      </c>
      <c r="E446" s="15" t="s">
        <v>2175</v>
      </c>
      <c r="F446" s="15" t="s">
        <v>2176</v>
      </c>
      <c r="G446" s="15" t="s">
        <v>1770</v>
      </c>
      <c r="H446" s="4" t="s">
        <v>1221</v>
      </c>
    </row>
    <row r="447" spans="1:8" ht="15.5">
      <c r="A447" s="8">
        <v>446</v>
      </c>
      <c r="B447" s="12" t="s">
        <v>576</v>
      </c>
      <c r="C447" s="12" t="s">
        <v>1000</v>
      </c>
      <c r="D447" s="12" t="s">
        <v>835</v>
      </c>
      <c r="E447" s="15" t="s">
        <v>2177</v>
      </c>
      <c r="F447" s="15" t="s">
        <v>2178</v>
      </c>
      <c r="G447" s="15" t="s">
        <v>1918</v>
      </c>
      <c r="H447" s="4"/>
    </row>
    <row r="448" spans="1:8" ht="15.5">
      <c r="A448" s="8">
        <v>447</v>
      </c>
      <c r="B448" s="12" t="s">
        <v>555</v>
      </c>
      <c r="C448" s="12" t="s">
        <v>858</v>
      </c>
      <c r="D448" s="12" t="s">
        <v>817</v>
      </c>
      <c r="E448" s="15" t="s">
        <v>2179</v>
      </c>
      <c r="F448" s="15" t="s">
        <v>2180</v>
      </c>
      <c r="G448" s="15" t="s">
        <v>1332</v>
      </c>
      <c r="H448" s="4" t="s">
        <v>1336</v>
      </c>
    </row>
    <row r="449" spans="1:8" ht="15.5">
      <c r="A449" s="8">
        <v>448</v>
      </c>
      <c r="B449" s="12" t="s">
        <v>2181</v>
      </c>
      <c r="C449" s="12" t="s">
        <v>816</v>
      </c>
      <c r="D449" s="12" t="s">
        <v>817</v>
      </c>
      <c r="E449" s="15" t="s">
        <v>2182</v>
      </c>
      <c r="F449" s="15" t="s">
        <v>2183</v>
      </c>
      <c r="G449" s="15" t="s">
        <v>2184</v>
      </c>
      <c r="H449" s="4"/>
    </row>
    <row r="450" spans="1:8" ht="15.5">
      <c r="A450" s="8">
        <v>449</v>
      </c>
      <c r="B450" s="12" t="s">
        <v>2185</v>
      </c>
      <c r="C450" s="12" t="s">
        <v>862</v>
      </c>
      <c r="D450" s="12" t="s">
        <v>835</v>
      </c>
      <c r="E450" s="15" t="s">
        <v>2186</v>
      </c>
      <c r="F450" s="15" t="s">
        <v>2187</v>
      </c>
      <c r="G450" s="15" t="s">
        <v>1890</v>
      </c>
      <c r="H450" s="4"/>
    </row>
    <row r="451" spans="1:8" ht="15.5">
      <c r="A451" s="8">
        <v>450</v>
      </c>
      <c r="B451" s="12" t="s">
        <v>355</v>
      </c>
      <c r="C451" s="12" t="s">
        <v>844</v>
      </c>
      <c r="D451" s="12" t="s">
        <v>817</v>
      </c>
      <c r="E451" s="15" t="s">
        <v>2188</v>
      </c>
      <c r="F451" s="15" t="s">
        <v>2189</v>
      </c>
      <c r="G451" s="15" t="s">
        <v>1473</v>
      </c>
      <c r="H451" s="4" t="s">
        <v>1221</v>
      </c>
    </row>
    <row r="452" spans="1:8" ht="15.5">
      <c r="A452" s="8">
        <v>451</v>
      </c>
      <c r="B452" s="12" t="s">
        <v>543</v>
      </c>
      <c r="C452" s="12" t="s">
        <v>1004</v>
      </c>
      <c r="D452" s="12" t="s">
        <v>817</v>
      </c>
      <c r="E452" s="15" t="s">
        <v>2190</v>
      </c>
      <c r="F452" s="15" t="s">
        <v>2191</v>
      </c>
      <c r="G452" s="15" t="s">
        <v>1393</v>
      </c>
      <c r="H452" s="4" t="s">
        <v>1336</v>
      </c>
    </row>
    <row r="453" spans="1:8" ht="15.5">
      <c r="A453" s="8">
        <v>452</v>
      </c>
      <c r="B453" s="12" t="s">
        <v>463</v>
      </c>
      <c r="C453" s="12" t="s">
        <v>910</v>
      </c>
      <c r="D453" s="12" t="s">
        <v>817</v>
      </c>
      <c r="E453" s="15" t="s">
        <v>2192</v>
      </c>
      <c r="F453" s="15" t="s">
        <v>2193</v>
      </c>
      <c r="G453" s="15" t="s">
        <v>2194</v>
      </c>
      <c r="H453" s="4" t="s">
        <v>920</v>
      </c>
    </row>
    <row r="454" spans="1:8" ht="15.5">
      <c r="A454" s="8">
        <v>453</v>
      </c>
      <c r="B454" s="12" t="s">
        <v>511</v>
      </c>
      <c r="C454" s="12" t="s">
        <v>939</v>
      </c>
      <c r="D454" s="12" t="s">
        <v>817</v>
      </c>
      <c r="E454" s="15" t="s">
        <v>2195</v>
      </c>
      <c r="F454" s="15" t="s">
        <v>2196</v>
      </c>
      <c r="G454" s="15" t="s">
        <v>2197</v>
      </c>
      <c r="H454" s="4" t="s">
        <v>899</v>
      </c>
    </row>
    <row r="455" spans="1:8" ht="15.5">
      <c r="A455" s="8">
        <v>454</v>
      </c>
      <c r="B455" s="12" t="s">
        <v>602</v>
      </c>
      <c r="C455" s="12" t="s">
        <v>844</v>
      </c>
      <c r="D455" s="12" t="s">
        <v>817</v>
      </c>
      <c r="E455" s="15" t="s">
        <v>2198</v>
      </c>
      <c r="F455" s="15" t="s">
        <v>2199</v>
      </c>
      <c r="G455" s="15" t="s">
        <v>2200</v>
      </c>
      <c r="H455" s="4" t="s">
        <v>1221</v>
      </c>
    </row>
    <row r="456" spans="1:8" ht="15.5">
      <c r="A456" s="8">
        <v>455</v>
      </c>
      <c r="B456" s="12" t="s">
        <v>618</v>
      </c>
      <c r="C456" s="12" t="s">
        <v>922</v>
      </c>
      <c r="D456" s="12" t="s">
        <v>817</v>
      </c>
      <c r="E456" s="15" t="s">
        <v>2201</v>
      </c>
      <c r="F456" s="15" t="s">
        <v>2202</v>
      </c>
      <c r="G456" s="15" t="s">
        <v>1754</v>
      </c>
      <c r="H456" s="4" t="s">
        <v>1221</v>
      </c>
    </row>
    <row r="457" spans="1:8" ht="15.5">
      <c r="A457" s="8">
        <v>456</v>
      </c>
      <c r="B457" s="12" t="s">
        <v>505</v>
      </c>
      <c r="C457" s="12" t="s">
        <v>1358</v>
      </c>
      <c r="D457" s="12" t="s">
        <v>817</v>
      </c>
      <c r="E457" s="15" t="s">
        <v>2203</v>
      </c>
      <c r="F457" s="15" t="s">
        <v>2204</v>
      </c>
      <c r="G457" s="15" t="s">
        <v>2205</v>
      </c>
      <c r="H457" s="4" t="s">
        <v>830</v>
      </c>
    </row>
    <row r="458" spans="1:8" ht="15.5">
      <c r="A458" s="8">
        <v>457</v>
      </c>
      <c r="B458" s="12" t="s">
        <v>444</v>
      </c>
      <c r="C458" s="12" t="s">
        <v>1303</v>
      </c>
      <c r="D458" s="12" t="s">
        <v>835</v>
      </c>
      <c r="E458" s="15" t="s">
        <v>2206</v>
      </c>
      <c r="F458" s="15" t="s">
        <v>2207</v>
      </c>
      <c r="G458" s="15" t="s">
        <v>2208</v>
      </c>
      <c r="H458" s="4"/>
    </row>
    <row r="459" spans="1:8" ht="15.5">
      <c r="A459" s="8">
        <v>458</v>
      </c>
      <c r="B459" s="12" t="s">
        <v>473</v>
      </c>
      <c r="C459" s="12" t="s">
        <v>1000</v>
      </c>
      <c r="D459" s="12" t="s">
        <v>817</v>
      </c>
      <c r="E459" s="15" t="s">
        <v>2209</v>
      </c>
      <c r="F459" s="15" t="s">
        <v>2210</v>
      </c>
      <c r="G459" s="15" t="s">
        <v>2211</v>
      </c>
      <c r="H459" s="4" t="s">
        <v>920</v>
      </c>
    </row>
    <row r="460" spans="1:8" ht="15.5">
      <c r="A460" s="8">
        <v>459</v>
      </c>
      <c r="B460" s="12" t="s">
        <v>710</v>
      </c>
      <c r="C460" s="12" t="s">
        <v>822</v>
      </c>
      <c r="D460" s="12" t="s">
        <v>817</v>
      </c>
      <c r="E460" s="15" t="s">
        <v>2212</v>
      </c>
      <c r="F460" s="15" t="s">
        <v>2213</v>
      </c>
      <c r="G460" s="15" t="s">
        <v>2214</v>
      </c>
      <c r="H460" s="4" t="s">
        <v>899</v>
      </c>
    </row>
    <row r="461" spans="1:8" ht="15.5">
      <c r="A461" s="8">
        <v>460</v>
      </c>
      <c r="B461" s="12" t="s">
        <v>558</v>
      </c>
      <c r="C461" s="12" t="s">
        <v>862</v>
      </c>
      <c r="D461" s="12" t="s">
        <v>817</v>
      </c>
      <c r="E461" s="15" t="s">
        <v>2215</v>
      </c>
      <c r="F461" s="15" t="s">
        <v>2216</v>
      </c>
      <c r="G461" s="15" t="s">
        <v>2021</v>
      </c>
      <c r="H461" s="4" t="s">
        <v>938</v>
      </c>
    </row>
    <row r="462" spans="1:8" ht="15.5">
      <c r="A462" s="8">
        <v>461</v>
      </c>
      <c r="B462" s="12" t="s">
        <v>376</v>
      </c>
      <c r="C462" s="12" t="s">
        <v>950</v>
      </c>
      <c r="D462" s="12" t="s">
        <v>835</v>
      </c>
      <c r="E462" s="15" t="s">
        <v>2217</v>
      </c>
      <c r="F462" s="15" t="s">
        <v>2218</v>
      </c>
      <c r="G462" s="15" t="s">
        <v>2219</v>
      </c>
      <c r="H462" s="4"/>
    </row>
    <row r="463" spans="1:8" ht="15.5">
      <c r="A463" s="8">
        <v>462</v>
      </c>
      <c r="B463" s="12" t="s">
        <v>638</v>
      </c>
      <c r="C463" s="12" t="s">
        <v>851</v>
      </c>
      <c r="D463" s="12" t="s">
        <v>817</v>
      </c>
      <c r="E463" s="15" t="s">
        <v>2220</v>
      </c>
      <c r="F463" s="15" t="s">
        <v>2221</v>
      </c>
      <c r="G463" s="15" t="s">
        <v>2197</v>
      </c>
      <c r="H463" s="4" t="s">
        <v>1221</v>
      </c>
    </row>
    <row r="464" spans="1:8" ht="15.5">
      <c r="A464" s="8">
        <v>463</v>
      </c>
      <c r="B464" s="12" t="s">
        <v>342</v>
      </c>
      <c r="C464" s="12" t="s">
        <v>939</v>
      </c>
      <c r="D464" s="12" t="s">
        <v>835</v>
      </c>
      <c r="E464" s="15" t="s">
        <v>2222</v>
      </c>
      <c r="F464" s="15" t="s">
        <v>2223</v>
      </c>
      <c r="G464" s="15" t="s">
        <v>2021</v>
      </c>
      <c r="H464" s="4"/>
    </row>
    <row r="465" spans="1:8" ht="15.5">
      <c r="A465" s="8">
        <v>464</v>
      </c>
      <c r="B465" s="12" t="s">
        <v>541</v>
      </c>
      <c r="C465" s="12" t="s">
        <v>1428</v>
      </c>
      <c r="D465" s="12" t="s">
        <v>835</v>
      </c>
      <c r="E465" s="15" t="s">
        <v>2224</v>
      </c>
      <c r="F465" s="15" t="s">
        <v>2225</v>
      </c>
      <c r="G465" s="15" t="s">
        <v>2226</v>
      </c>
      <c r="H465" s="4"/>
    </row>
    <row r="466" spans="1:8" ht="15.5">
      <c r="A466" s="8">
        <v>465</v>
      </c>
      <c r="B466" s="12" t="s">
        <v>375</v>
      </c>
      <c r="C466" s="12" t="s">
        <v>827</v>
      </c>
      <c r="D466" s="12" t="s">
        <v>817</v>
      </c>
      <c r="E466" s="15" t="s">
        <v>2227</v>
      </c>
      <c r="F466" s="15" t="s">
        <v>2228</v>
      </c>
      <c r="G466" s="15" t="s">
        <v>2229</v>
      </c>
      <c r="H466" s="4" t="s">
        <v>1498</v>
      </c>
    </row>
    <row r="467" spans="1:8" ht="15.5">
      <c r="A467" s="8">
        <v>466</v>
      </c>
      <c r="B467" s="12" t="s">
        <v>649</v>
      </c>
      <c r="C467" s="12" t="s">
        <v>922</v>
      </c>
      <c r="D467" s="12" t="s">
        <v>817</v>
      </c>
      <c r="E467" s="15" t="s">
        <v>2230</v>
      </c>
      <c r="F467" s="15" t="s">
        <v>2231</v>
      </c>
      <c r="G467" s="15" t="s">
        <v>1585</v>
      </c>
      <c r="H467" s="4" t="s">
        <v>1336</v>
      </c>
    </row>
    <row r="468" spans="1:8" ht="15.5">
      <c r="A468" s="8">
        <v>467</v>
      </c>
      <c r="B468" s="12" t="s">
        <v>2232</v>
      </c>
      <c r="C468" s="12" t="s">
        <v>1000</v>
      </c>
      <c r="D468" s="12" t="s">
        <v>817</v>
      </c>
      <c r="E468" s="15" t="s">
        <v>2233</v>
      </c>
      <c r="F468" s="15" t="s">
        <v>2234</v>
      </c>
      <c r="G468" s="15" t="s">
        <v>2235</v>
      </c>
      <c r="H468" s="4" t="s">
        <v>1221</v>
      </c>
    </row>
    <row r="469" spans="1:8" ht="15.5">
      <c r="A469" s="8">
        <v>468</v>
      </c>
      <c r="B469" s="12" t="s">
        <v>497</v>
      </c>
      <c r="C469" s="12" t="s">
        <v>943</v>
      </c>
      <c r="D469" s="12" t="s">
        <v>817</v>
      </c>
      <c r="E469" s="15" t="s">
        <v>2236</v>
      </c>
      <c r="F469" s="15" t="s">
        <v>2237</v>
      </c>
      <c r="G469" s="15" t="s">
        <v>2238</v>
      </c>
      <c r="H469" s="4" t="s">
        <v>899</v>
      </c>
    </row>
    <row r="470" spans="1:8" ht="15.5">
      <c r="A470" s="8">
        <v>469</v>
      </c>
      <c r="B470" s="12" t="s">
        <v>2239</v>
      </c>
      <c r="C470" s="12" t="s">
        <v>1082</v>
      </c>
      <c r="D470" s="12" t="s">
        <v>817</v>
      </c>
      <c r="E470" s="15" t="s">
        <v>2240</v>
      </c>
      <c r="F470" s="15" t="s">
        <v>2241</v>
      </c>
      <c r="G470" s="15" t="s">
        <v>2054</v>
      </c>
      <c r="H470" s="4" t="s">
        <v>1336</v>
      </c>
    </row>
    <row r="471" spans="1:8" ht="15.5">
      <c r="A471" s="8">
        <v>470</v>
      </c>
      <c r="B471" s="12" t="s">
        <v>373</v>
      </c>
      <c r="C471" s="12" t="s">
        <v>2000</v>
      </c>
      <c r="D471" s="12" t="s">
        <v>835</v>
      </c>
      <c r="E471" s="15" t="s">
        <v>2242</v>
      </c>
      <c r="F471" s="15" t="s">
        <v>2243</v>
      </c>
      <c r="G471" s="15" t="s">
        <v>2244</v>
      </c>
      <c r="H471" s="4"/>
    </row>
    <row r="472" spans="1:8" ht="15.5">
      <c r="A472" s="8">
        <v>471</v>
      </c>
      <c r="B472" s="12" t="s">
        <v>597</v>
      </c>
      <c r="C472" s="12" t="s">
        <v>844</v>
      </c>
      <c r="D472" s="12" t="s">
        <v>817</v>
      </c>
      <c r="E472" s="15" t="s">
        <v>2245</v>
      </c>
      <c r="F472" s="15" t="s">
        <v>2246</v>
      </c>
      <c r="G472" s="15" t="s">
        <v>1316</v>
      </c>
      <c r="H472" s="4" t="s">
        <v>938</v>
      </c>
    </row>
    <row r="473" spans="1:8" ht="15.5">
      <c r="A473" s="8">
        <v>472</v>
      </c>
      <c r="B473" s="12" t="s">
        <v>434</v>
      </c>
      <c r="C473" s="12" t="s">
        <v>971</v>
      </c>
      <c r="D473" s="12" t="s">
        <v>817</v>
      </c>
      <c r="E473" s="15" t="s">
        <v>2247</v>
      </c>
      <c r="F473" s="15" t="s">
        <v>2248</v>
      </c>
      <c r="G473" s="15" t="s">
        <v>2249</v>
      </c>
      <c r="H473" s="4" t="s">
        <v>1336</v>
      </c>
    </row>
    <row r="474" spans="1:8" ht="15.5">
      <c r="A474" s="8">
        <v>473</v>
      </c>
      <c r="B474" s="12" t="s">
        <v>498</v>
      </c>
      <c r="C474" s="12" t="s">
        <v>1000</v>
      </c>
      <c r="D474" s="12" t="s">
        <v>817</v>
      </c>
      <c r="E474" s="15" t="s">
        <v>2250</v>
      </c>
      <c r="F474" s="15" t="s">
        <v>2251</v>
      </c>
      <c r="G474" s="15" t="s">
        <v>2252</v>
      </c>
      <c r="H474" s="4" t="s">
        <v>920</v>
      </c>
    </row>
    <row r="475" spans="1:8" ht="15.5">
      <c r="A475" s="8">
        <v>474</v>
      </c>
      <c r="B475" s="12" t="s">
        <v>683</v>
      </c>
      <c r="C475" s="12" t="s">
        <v>822</v>
      </c>
      <c r="D475" s="12" t="s">
        <v>817</v>
      </c>
      <c r="E475" s="15" t="s">
        <v>2253</v>
      </c>
      <c r="F475" s="15" t="s">
        <v>2254</v>
      </c>
      <c r="G475" s="15" t="s">
        <v>2255</v>
      </c>
      <c r="H475" s="4" t="s">
        <v>1498</v>
      </c>
    </row>
    <row r="476" spans="1:8" ht="15.5">
      <c r="A476" s="8">
        <v>475</v>
      </c>
      <c r="B476" s="12" t="s">
        <v>560</v>
      </c>
      <c r="C476" s="12" t="s">
        <v>827</v>
      </c>
      <c r="D476" s="12" t="s">
        <v>817</v>
      </c>
      <c r="E476" s="15" t="s">
        <v>2256</v>
      </c>
      <c r="F476" s="15" t="s">
        <v>2257</v>
      </c>
      <c r="G476" s="15" t="s">
        <v>2258</v>
      </c>
      <c r="H476" s="4" t="s">
        <v>1336</v>
      </c>
    </row>
    <row r="477" spans="1:8" ht="15.5">
      <c r="A477" s="8">
        <v>476</v>
      </c>
      <c r="B477" s="12" t="s">
        <v>667</v>
      </c>
      <c r="C477" s="12" t="s">
        <v>1104</v>
      </c>
      <c r="D477" s="12" t="s">
        <v>817</v>
      </c>
      <c r="E477" s="15" t="s">
        <v>2259</v>
      </c>
      <c r="F477" s="15" t="s">
        <v>2260</v>
      </c>
      <c r="G477" s="15" t="s">
        <v>2261</v>
      </c>
      <c r="H477" s="4" t="s">
        <v>1336</v>
      </c>
    </row>
    <row r="478" spans="1:8" ht="15.5">
      <c r="A478" s="8">
        <v>477</v>
      </c>
      <c r="B478" s="12" t="s">
        <v>413</v>
      </c>
      <c r="C478" s="12" t="s">
        <v>858</v>
      </c>
      <c r="D478" s="12" t="s">
        <v>835</v>
      </c>
      <c r="E478" s="15" t="s">
        <v>2262</v>
      </c>
      <c r="F478" s="15" t="s">
        <v>2263</v>
      </c>
      <c r="G478" s="15" t="s">
        <v>2120</v>
      </c>
      <c r="H478" s="4"/>
    </row>
    <row r="479" spans="1:8" ht="15.5">
      <c r="A479" s="8">
        <v>478</v>
      </c>
      <c r="B479" s="12" t="s">
        <v>663</v>
      </c>
      <c r="C479" s="12" t="s">
        <v>840</v>
      </c>
      <c r="D479" s="12" t="s">
        <v>817</v>
      </c>
      <c r="E479" s="15" t="s">
        <v>2264</v>
      </c>
      <c r="F479" s="15" t="s">
        <v>2265</v>
      </c>
      <c r="G479" s="15" t="s">
        <v>1562</v>
      </c>
      <c r="H479" s="4" t="s">
        <v>1336</v>
      </c>
    </row>
    <row r="480" spans="1:8" ht="15.5">
      <c r="A480" s="8">
        <v>479</v>
      </c>
      <c r="B480" s="12" t="s">
        <v>2266</v>
      </c>
      <c r="C480" s="12" t="s">
        <v>943</v>
      </c>
      <c r="D480" s="12" t="s">
        <v>2267</v>
      </c>
      <c r="E480" s="15" t="s">
        <v>2268</v>
      </c>
      <c r="F480" s="15"/>
      <c r="G480" s="15"/>
      <c r="H480" s="4"/>
    </row>
    <row r="481" spans="1:8" ht="15.5">
      <c r="A481" s="8">
        <v>480</v>
      </c>
      <c r="B481" s="12" t="s">
        <v>633</v>
      </c>
      <c r="C481" s="12" t="s">
        <v>1104</v>
      </c>
      <c r="D481" s="12" t="s">
        <v>817</v>
      </c>
      <c r="E481" s="15" t="s">
        <v>2269</v>
      </c>
      <c r="F481" s="15" t="s">
        <v>2270</v>
      </c>
      <c r="G481" s="15" t="s">
        <v>2271</v>
      </c>
      <c r="H481" s="4" t="s">
        <v>1235</v>
      </c>
    </row>
    <row r="482" spans="1:8" ht="15.5">
      <c r="A482" s="8">
        <v>481</v>
      </c>
      <c r="B482" s="12" t="s">
        <v>274</v>
      </c>
      <c r="C482" s="12" t="s">
        <v>922</v>
      </c>
      <c r="D482" s="12" t="s">
        <v>835</v>
      </c>
      <c r="E482" s="15" t="s">
        <v>2272</v>
      </c>
      <c r="F482" s="15" t="s">
        <v>2273</v>
      </c>
      <c r="G482" s="15" t="s">
        <v>2274</v>
      </c>
      <c r="H482" s="4"/>
    </row>
    <row r="483" spans="1:8" ht="15.5">
      <c r="A483" s="8">
        <v>482</v>
      </c>
      <c r="B483" s="12" t="s">
        <v>2275</v>
      </c>
      <c r="C483" s="12" t="s">
        <v>889</v>
      </c>
      <c r="D483" s="12" t="s">
        <v>835</v>
      </c>
      <c r="E483" s="15" t="s">
        <v>2276</v>
      </c>
      <c r="F483" s="15" t="s">
        <v>1099</v>
      </c>
      <c r="G483" s="15" t="s">
        <v>2094</v>
      </c>
      <c r="H483" s="4"/>
    </row>
    <row r="484" spans="1:8" ht="15.5">
      <c r="A484" s="8">
        <v>483</v>
      </c>
      <c r="B484" s="12" t="s">
        <v>340</v>
      </c>
      <c r="C484" s="12" t="s">
        <v>1428</v>
      </c>
      <c r="D484" s="12" t="s">
        <v>835</v>
      </c>
      <c r="E484" s="15" t="s">
        <v>2277</v>
      </c>
      <c r="F484" s="15" t="s">
        <v>2278</v>
      </c>
      <c r="G484" s="15" t="s">
        <v>1807</v>
      </c>
      <c r="H484" s="4"/>
    </row>
    <row r="485" spans="1:8" ht="15.5">
      <c r="A485" s="8">
        <v>484</v>
      </c>
      <c r="B485" s="12" t="s">
        <v>329</v>
      </c>
      <c r="C485" s="12" t="s">
        <v>1124</v>
      </c>
      <c r="D485" s="12" t="s">
        <v>835</v>
      </c>
      <c r="E485" s="15" t="s">
        <v>2279</v>
      </c>
      <c r="F485" s="15" t="s">
        <v>2280</v>
      </c>
      <c r="G485" s="15" t="s">
        <v>2226</v>
      </c>
      <c r="H485" s="4"/>
    </row>
    <row r="486" spans="1:8" ht="15.5">
      <c r="A486" s="8">
        <v>485</v>
      </c>
      <c r="B486" s="12" t="s">
        <v>2281</v>
      </c>
      <c r="C486" s="12" t="s">
        <v>862</v>
      </c>
      <c r="D486" s="12" t="s">
        <v>817</v>
      </c>
      <c r="E486" s="15" t="s">
        <v>2282</v>
      </c>
      <c r="F486" s="15" t="s">
        <v>2283</v>
      </c>
      <c r="G486" s="15" t="s">
        <v>1484</v>
      </c>
      <c r="H486" s="4" t="s">
        <v>1336</v>
      </c>
    </row>
    <row r="487" spans="1:8" ht="15.5">
      <c r="A487" s="8">
        <v>486</v>
      </c>
      <c r="B487" s="12" t="s">
        <v>629</v>
      </c>
      <c r="C487" s="12" t="s">
        <v>840</v>
      </c>
      <c r="D487" s="12" t="s">
        <v>817</v>
      </c>
      <c r="E487" s="15" t="s">
        <v>2284</v>
      </c>
      <c r="F487" s="15" t="s">
        <v>2285</v>
      </c>
      <c r="G487" s="15"/>
      <c r="H487" s="4" t="s">
        <v>1235</v>
      </c>
    </row>
    <row r="488" spans="1:8" ht="15.5">
      <c r="A488" s="8">
        <v>487</v>
      </c>
      <c r="B488" s="12" t="s">
        <v>2286</v>
      </c>
      <c r="C488" s="12" t="s">
        <v>939</v>
      </c>
      <c r="D488" s="12" t="s">
        <v>835</v>
      </c>
      <c r="E488" s="15" t="s">
        <v>2287</v>
      </c>
      <c r="F488" s="15" t="s">
        <v>2288</v>
      </c>
      <c r="G488" s="15" t="s">
        <v>2289</v>
      </c>
      <c r="H488" s="4"/>
    </row>
    <row r="489" spans="1:8" ht="15.5">
      <c r="A489" s="8">
        <v>488</v>
      </c>
      <c r="B489" s="12" t="s">
        <v>2290</v>
      </c>
      <c r="C489" s="12" t="s">
        <v>1897</v>
      </c>
      <c r="D489" s="12" t="s">
        <v>835</v>
      </c>
      <c r="E489" s="15" t="s">
        <v>2291</v>
      </c>
      <c r="F489" s="15" t="s">
        <v>2292</v>
      </c>
      <c r="G489" s="15"/>
      <c r="H489" s="4"/>
    </row>
    <row r="490" spans="1:8" ht="15.5">
      <c r="A490" s="8">
        <v>489</v>
      </c>
      <c r="B490" s="12" t="s">
        <v>2293</v>
      </c>
      <c r="C490" s="12" t="s">
        <v>1707</v>
      </c>
      <c r="D490" s="12" t="s">
        <v>835</v>
      </c>
      <c r="E490" s="15" t="s">
        <v>2294</v>
      </c>
      <c r="F490" s="15" t="s">
        <v>2295</v>
      </c>
      <c r="G490" s="15" t="s">
        <v>1136</v>
      </c>
      <c r="H490" s="4"/>
    </row>
    <row r="491" spans="1:8" ht="15.5">
      <c r="A491" s="8">
        <v>490</v>
      </c>
      <c r="B491" s="12" t="s">
        <v>594</v>
      </c>
      <c r="C491" s="12" t="s">
        <v>858</v>
      </c>
      <c r="D491" s="12" t="s">
        <v>817</v>
      </c>
      <c r="E491" s="15" t="s">
        <v>2296</v>
      </c>
      <c r="F491" s="15" t="s">
        <v>2297</v>
      </c>
      <c r="G491" s="15" t="s">
        <v>2298</v>
      </c>
      <c r="H491" s="4" t="s">
        <v>1336</v>
      </c>
    </row>
    <row r="492" spans="1:8" ht="15.5">
      <c r="A492" s="8">
        <v>491</v>
      </c>
      <c r="B492" s="12" t="s">
        <v>620</v>
      </c>
      <c r="C492" s="12" t="s">
        <v>858</v>
      </c>
      <c r="D492" s="12" t="s">
        <v>817</v>
      </c>
      <c r="E492" s="15" t="s">
        <v>2299</v>
      </c>
      <c r="F492" s="15" t="s">
        <v>2300</v>
      </c>
      <c r="G492" s="15" t="s">
        <v>2301</v>
      </c>
      <c r="H492" s="4" t="s">
        <v>1235</v>
      </c>
    </row>
    <row r="493" spans="1:8" ht="15.5">
      <c r="A493" s="8">
        <v>492</v>
      </c>
      <c r="B493" s="12" t="s">
        <v>384</v>
      </c>
      <c r="C493" s="12" t="s">
        <v>971</v>
      </c>
      <c r="D493" s="12" t="s">
        <v>817</v>
      </c>
      <c r="E493" s="15" t="s">
        <v>2302</v>
      </c>
      <c r="F493" s="15" t="s">
        <v>2303</v>
      </c>
      <c r="G493" s="15" t="s">
        <v>2032</v>
      </c>
      <c r="H493" s="4" t="s">
        <v>1221</v>
      </c>
    </row>
    <row r="494" spans="1:8" ht="15.5">
      <c r="A494" s="8">
        <v>493</v>
      </c>
      <c r="B494" s="12" t="s">
        <v>385</v>
      </c>
      <c r="C494" s="12" t="s">
        <v>862</v>
      </c>
      <c r="D494" s="12" t="s">
        <v>835</v>
      </c>
      <c r="E494" s="15" t="s">
        <v>2304</v>
      </c>
      <c r="F494" s="15" t="s">
        <v>2305</v>
      </c>
      <c r="G494" s="15" t="s">
        <v>2306</v>
      </c>
      <c r="H494" s="4"/>
    </row>
    <row r="495" spans="1:8" ht="15.5">
      <c r="A495" s="8">
        <v>494</v>
      </c>
      <c r="B495" s="12" t="s">
        <v>429</v>
      </c>
      <c r="C495" s="12" t="s">
        <v>1303</v>
      </c>
      <c r="D495" s="12" t="s">
        <v>835</v>
      </c>
      <c r="E495" s="15" t="s">
        <v>2307</v>
      </c>
      <c r="F495" s="15" t="s">
        <v>2308</v>
      </c>
      <c r="G495" s="15" t="s">
        <v>2123</v>
      </c>
      <c r="H495" s="4"/>
    </row>
    <row r="496" spans="1:8" ht="15.5">
      <c r="A496" s="8">
        <v>495</v>
      </c>
      <c r="B496" s="12" t="s">
        <v>2309</v>
      </c>
      <c r="C496" s="12" t="s">
        <v>1416</v>
      </c>
      <c r="D496" s="12" t="s">
        <v>835</v>
      </c>
      <c r="E496" s="15" t="s">
        <v>2310</v>
      </c>
      <c r="F496" s="15" t="s">
        <v>2311</v>
      </c>
      <c r="G496" s="15" t="s">
        <v>2312</v>
      </c>
      <c r="H496" s="4"/>
    </row>
    <row r="497" spans="1:8" ht="15.5">
      <c r="A497" s="8">
        <v>496</v>
      </c>
      <c r="B497" s="12" t="s">
        <v>2313</v>
      </c>
      <c r="C497" s="12" t="s">
        <v>840</v>
      </c>
      <c r="D497" s="12" t="s">
        <v>817</v>
      </c>
      <c r="E497" s="15" t="s">
        <v>2314</v>
      </c>
      <c r="F497" s="15" t="s">
        <v>2315</v>
      </c>
      <c r="G497" s="15" t="s">
        <v>2316</v>
      </c>
      <c r="H497" s="4" t="s">
        <v>1498</v>
      </c>
    </row>
    <row r="498" spans="1:8" ht="15.5">
      <c r="A498" s="8">
        <v>497</v>
      </c>
      <c r="B498" s="12" t="s">
        <v>2317</v>
      </c>
      <c r="C498" s="12" t="s">
        <v>1183</v>
      </c>
      <c r="D498" s="12" t="s">
        <v>835</v>
      </c>
      <c r="E498" s="15" t="s">
        <v>2318</v>
      </c>
      <c r="F498" s="15" t="s">
        <v>2319</v>
      </c>
      <c r="G498" s="15" t="s">
        <v>2320</v>
      </c>
      <c r="H498" s="4"/>
    </row>
    <row r="499" spans="1:8" ht="15.5">
      <c r="A499" s="8">
        <v>498</v>
      </c>
      <c r="B499" s="12" t="s">
        <v>615</v>
      </c>
      <c r="C499" s="12" t="s">
        <v>1082</v>
      </c>
      <c r="D499" s="12" t="s">
        <v>817</v>
      </c>
      <c r="E499" s="15" t="s">
        <v>2321</v>
      </c>
      <c r="F499" s="15" t="s">
        <v>2322</v>
      </c>
      <c r="G499" s="15" t="s">
        <v>1746</v>
      </c>
      <c r="H499" s="4" t="s">
        <v>1235</v>
      </c>
    </row>
    <row r="500" spans="1:8" ht="15.5">
      <c r="A500" s="8">
        <v>499</v>
      </c>
      <c r="B500" s="12" t="s">
        <v>302</v>
      </c>
      <c r="C500" s="12" t="s">
        <v>844</v>
      </c>
      <c r="D500" s="12" t="s">
        <v>817</v>
      </c>
      <c r="E500" s="15" t="s">
        <v>2323</v>
      </c>
      <c r="F500" s="15" t="s">
        <v>2324</v>
      </c>
      <c r="G500" s="15" t="s">
        <v>2325</v>
      </c>
      <c r="H500" s="4" t="s">
        <v>821</v>
      </c>
    </row>
    <row r="501" spans="1:8" ht="15.5">
      <c r="A501" s="8">
        <v>500</v>
      </c>
      <c r="B501" s="12" t="s">
        <v>2326</v>
      </c>
      <c r="C501" s="12" t="s">
        <v>851</v>
      </c>
      <c r="D501" s="12" t="s">
        <v>835</v>
      </c>
      <c r="E501" s="15" t="s">
        <v>2327</v>
      </c>
      <c r="F501" s="15" t="s">
        <v>2328</v>
      </c>
      <c r="G501" s="15" t="s">
        <v>2329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54E8E-6F21-E34C-B851-D4DB1E2320A5}">
  <sheetPr codeName="Sheet9"/>
  <dimension ref="A1:E52"/>
  <sheetViews>
    <sheetView workbookViewId="0">
      <selection activeCell="C53" sqref="C53"/>
    </sheetView>
  </sheetViews>
  <sheetFormatPr defaultColWidth="10.81640625" defaultRowHeight="14.5"/>
  <cols>
    <col min="2" max="2" width="15" customWidth="1"/>
    <col min="3" max="3" width="23.81640625" bestFit="1" customWidth="1"/>
    <col min="4" max="4" width="23.26953125" hidden="1" customWidth="1"/>
    <col min="5" max="5" width="23.26953125" bestFit="1" customWidth="1"/>
  </cols>
  <sheetData>
    <row r="1" spans="1:5" ht="15.5">
      <c r="A1" s="18" t="s">
        <v>0</v>
      </c>
      <c r="B1" t="s">
        <v>2332</v>
      </c>
      <c r="C1" s="18" t="s">
        <v>2333</v>
      </c>
      <c r="D1" t="s">
        <v>2334</v>
      </c>
      <c r="E1" t="s">
        <v>2359</v>
      </c>
    </row>
    <row r="2" spans="1:5" ht="15.5">
      <c r="A2" s="19">
        <v>1</v>
      </c>
      <c r="B2" s="19">
        <v>950</v>
      </c>
      <c r="C2" t="s">
        <v>785</v>
      </c>
      <c r="D2" s="7">
        <v>626358</v>
      </c>
      <c r="E2">
        <f>1-(Crime_rate_Index[[#This Row],[Crime Index ▲]]-MIN(Crime_rate_Index[Crime Index ▲]))/(MAX(Crime_rate_Index[Crime Index ▲])-MIN(Crime_rate_Index[Crime Index ▲]))</f>
        <v>1</v>
      </c>
    </row>
    <row r="3" spans="1:5" ht="15.5">
      <c r="A3" s="19">
        <v>2</v>
      </c>
      <c r="B3" s="19">
        <v>956</v>
      </c>
      <c r="C3" t="s">
        <v>773</v>
      </c>
      <c r="D3" s="7">
        <v>1321069</v>
      </c>
      <c r="E3">
        <f>1-(Crime_rate_Index[[#This Row],[Crime Index ▲]]-MIN(Crime_rate_Index[Crime Index ▲]))/(MAX(Crime_rate_Index[Crime Index ▲])-MIN(Crime_rate_Index[Crime Index ▲]))</f>
        <v>0.99785484447622452</v>
      </c>
    </row>
    <row r="4" spans="1:5" ht="15.5">
      <c r="A4" s="19">
        <v>3</v>
      </c>
      <c r="B4" s="19">
        <v>985</v>
      </c>
      <c r="C4" t="s">
        <v>802</v>
      </c>
      <c r="D4" s="7">
        <v>704925</v>
      </c>
      <c r="E4">
        <f>1-(Crime_rate_Index[[#This Row],[Crime Index ▲]]-MIN(Crime_rate_Index[Crime Index ▲]))/(MAX(Crime_rate_Index[Crime Index ▲])-MIN(Crime_rate_Index[Crime Index ▲]))</f>
        <v>0.98748659277797646</v>
      </c>
    </row>
    <row r="5" spans="1:5" ht="15.5">
      <c r="A5" s="19">
        <v>4</v>
      </c>
      <c r="B5" s="20">
        <v>1017</v>
      </c>
      <c r="C5" t="s">
        <v>798</v>
      </c>
      <c r="D5" s="7">
        <v>1328535</v>
      </c>
      <c r="E5">
        <f>1-(Crime_rate_Index[[#This Row],[Crime Index ▲]]-MIN(Crime_rate_Index[Crime Index ▲]))/(MAX(Crime_rate_Index[Crime Index ▲])-MIN(Crime_rate_Index[Crime Index ▲]))</f>
        <v>0.97604576331784054</v>
      </c>
    </row>
    <row r="6" spans="1:5" ht="15.5">
      <c r="A6" s="19">
        <v>5</v>
      </c>
      <c r="B6" s="20">
        <v>1042</v>
      </c>
      <c r="C6" t="s">
        <v>808</v>
      </c>
      <c r="D6" s="7">
        <v>834708</v>
      </c>
      <c r="E6">
        <f>1-(Crime_rate_Index[[#This Row],[Crime Index ▲]]-MIN(Crime_rate_Index[Crime Index ▲]))/(MAX(Crime_rate_Index[Crime Index ▲])-MIN(Crime_rate_Index[Crime Index ▲]))</f>
        <v>0.96710761530210942</v>
      </c>
    </row>
    <row r="7" spans="1:5" ht="15.5">
      <c r="A7" s="19">
        <v>6</v>
      </c>
      <c r="B7" s="20">
        <v>1068</v>
      </c>
      <c r="C7" t="s">
        <v>796</v>
      </c>
      <c r="D7" s="7">
        <v>1599464</v>
      </c>
      <c r="E7">
        <f>1-(Crime_rate_Index[[#This Row],[Crime Index ▲]]-MIN(Crime_rate_Index[Crime Index ▲]))/(MAX(Crime_rate_Index[Crime Index ▲])-MIN(Crime_rate_Index[Crime Index ▲]))</f>
        <v>0.95781194136574899</v>
      </c>
    </row>
    <row r="8" spans="1:5" ht="15.5">
      <c r="A8" s="19">
        <v>7</v>
      </c>
      <c r="B8" s="20">
        <v>1125</v>
      </c>
      <c r="C8" t="s">
        <v>760</v>
      </c>
      <c r="D8" s="7">
        <v>8185131</v>
      </c>
      <c r="E8">
        <f>1-(Crime_rate_Index[[#This Row],[Crime Index ▲]]-MIN(Crime_rate_Index[Crime Index ▲]))/(MAX(Crime_rate_Index[Crime Index ▲])-MIN(Crime_rate_Index[Crime Index ▲]))</f>
        <v>0.93743296388988206</v>
      </c>
    </row>
    <row r="9" spans="1:5" ht="15.5">
      <c r="A9" s="19">
        <v>8</v>
      </c>
      <c r="B9" s="20">
        <v>1136</v>
      </c>
      <c r="C9" t="s">
        <v>729</v>
      </c>
      <c r="D9" s="7">
        <v>575251</v>
      </c>
      <c r="E9">
        <f>1-(Crime_rate_Index[[#This Row],[Crime Index ▲]]-MIN(Crime_rate_Index[Crime Index ▲]))/(MAX(Crime_rate_Index[Crime Index ▲])-MIN(Crime_rate_Index[Crime Index ▲]))</f>
        <v>0.93350017876296032</v>
      </c>
    </row>
    <row r="10" spans="1:5" ht="15.5">
      <c r="A10" s="19">
        <v>9</v>
      </c>
      <c r="B10" s="20">
        <v>1171</v>
      </c>
      <c r="C10" t="s">
        <v>742</v>
      </c>
      <c r="D10" s="7">
        <v>3592053</v>
      </c>
      <c r="E10">
        <f>1-(Crime_rate_Index[[#This Row],[Crime Index ▲]]-MIN(Crime_rate_Index[Crime Index ▲]))/(MAX(Crime_rate_Index[Crime Index ▲])-MIN(Crime_rate_Index[Crime Index ▲]))</f>
        <v>0.92098677154093678</v>
      </c>
    </row>
    <row r="11" spans="1:5" ht="15.5">
      <c r="A11" s="19">
        <v>10</v>
      </c>
      <c r="B11" s="20">
        <v>1180</v>
      </c>
      <c r="C11" t="s">
        <v>747</v>
      </c>
      <c r="D11" s="7">
        <v>8874374</v>
      </c>
      <c r="E11">
        <f>1-(Crime_rate_Index[[#This Row],[Crime Index ▲]]-MIN(Crime_rate_Index[Crime Index ▲]))/(MAX(Crime_rate_Index[Crime Index ▲])-MIN(Crime_rate_Index[Crime Index ▲]))</f>
        <v>0.91776903825527345</v>
      </c>
    </row>
    <row r="12" spans="1:5" ht="15.5">
      <c r="A12" s="19">
        <v>11</v>
      </c>
      <c r="B12" s="20">
        <v>1194</v>
      </c>
      <c r="C12" t="s">
        <v>740</v>
      </c>
      <c r="D12" s="7">
        <v>19594330</v>
      </c>
      <c r="E12">
        <f>1-(Crime_rate_Index[[#This Row],[Crime Index ▲]]-MIN(Crime_rate_Index[Crime Index ▲]))/(MAX(Crime_rate_Index[Crime Index ▲])-MIN(Crime_rate_Index[Crime Index ▲]))</f>
        <v>0.91276367536646408</v>
      </c>
    </row>
    <row r="13" spans="1:5" ht="15.5">
      <c r="A13" s="19">
        <v>12</v>
      </c>
      <c r="B13" s="20">
        <v>1203</v>
      </c>
      <c r="C13" t="s">
        <v>770</v>
      </c>
      <c r="D13" s="7">
        <v>3078116</v>
      </c>
      <c r="E13">
        <f>1-(Crime_rate_Index[[#This Row],[Crime Index ▲]]-MIN(Crime_rate_Index[Crime Index ▲]))/(MAX(Crime_rate_Index[Crime Index ▲])-MIN(Crime_rate_Index[Crime Index ▲]))</f>
        <v>0.90954594208080086</v>
      </c>
    </row>
    <row r="14" spans="1:5" ht="15.5">
      <c r="A14" s="19">
        <v>13</v>
      </c>
      <c r="B14" s="20">
        <v>1227</v>
      </c>
      <c r="C14" t="s">
        <v>744</v>
      </c>
      <c r="D14" s="7">
        <v>5724692</v>
      </c>
      <c r="E14">
        <f>1-(Crime_rate_Index[[#This Row],[Crime Index ▲]]-MIN(Crime_rate_Index[Crime Index ▲]))/(MAX(Crime_rate_Index[Crime Index ▲])-MIN(Crime_rate_Index[Crime Index ▲]))</f>
        <v>0.90096531998569895</v>
      </c>
    </row>
    <row r="15" spans="1:5" ht="15.5">
      <c r="A15" s="19">
        <v>14</v>
      </c>
      <c r="B15" s="20">
        <v>1230</v>
      </c>
      <c r="C15" t="s">
        <v>794</v>
      </c>
      <c r="D15" s="7">
        <v>1006370</v>
      </c>
      <c r="E15">
        <f>1-(Crime_rate_Index[[#This Row],[Crime Index ▲]]-MIN(Crime_rate_Index[Crime Index ▲]))/(MAX(Crime_rate_Index[Crime Index ▲])-MIN(Crime_rate_Index[Crime Index ▲]))</f>
        <v>0.89989274222381122</v>
      </c>
    </row>
    <row r="16" spans="1:5" ht="15.5">
      <c r="A16" s="19">
        <v>15</v>
      </c>
      <c r="B16" s="20">
        <v>1235</v>
      </c>
      <c r="C16" t="s">
        <v>791</v>
      </c>
      <c r="D16" s="7">
        <v>1853881</v>
      </c>
      <c r="E16">
        <f>1-(Crime_rate_Index[[#This Row],[Crime Index ▲]]-MIN(Crime_rate_Index[Crime Index ▲]))/(MAX(Crime_rate_Index[Crime Index ▲])-MIN(Crime_rate_Index[Crime Index ▲]))</f>
        <v>0.89810511262066495</v>
      </c>
    </row>
    <row r="17" spans="1:5" ht="15.5">
      <c r="A17" s="19">
        <v>16</v>
      </c>
      <c r="B17" s="20">
        <v>1268</v>
      </c>
      <c r="C17" t="s">
        <v>768</v>
      </c>
      <c r="D17" s="7">
        <v>1053252</v>
      </c>
      <c r="E17">
        <f>1-(Crime_rate_Index[[#This Row],[Crime Index ▲]]-MIN(Crime_rate_Index[Crime Index ▲]))/(MAX(Crime_rate_Index[Crime Index ▲])-MIN(Crime_rate_Index[Crime Index ▲]))</f>
        <v>0.88630675723989993</v>
      </c>
    </row>
    <row r="18" spans="1:5" ht="15.5">
      <c r="A18" s="19">
        <v>17</v>
      </c>
      <c r="B18" s="20">
        <v>1298</v>
      </c>
      <c r="C18" t="s">
        <v>748</v>
      </c>
      <c r="D18" s="7">
        <v>5383661</v>
      </c>
      <c r="E18">
        <f>1-(Crime_rate_Index[[#This Row],[Crime Index ▲]]-MIN(Crime_rate_Index[Crime Index ▲]))/(MAX(Crime_rate_Index[Crime Index ▲])-MIN(Crime_rate_Index[Crime Index ▲]))</f>
        <v>0.87558097962102255</v>
      </c>
    </row>
    <row r="19" spans="1:5" ht="15.5">
      <c r="A19" s="19">
        <v>18</v>
      </c>
      <c r="B19" s="20">
        <v>1305</v>
      </c>
      <c r="C19" t="s">
        <v>775</v>
      </c>
      <c r="D19" s="7">
        <v>4383272</v>
      </c>
      <c r="E19">
        <f>1-(Crime_rate_Index[[#This Row],[Crime Index ▲]]-MIN(Crime_rate_Index[Crime Index ▲]))/(MAX(Crime_rate_Index[Crime Index ▲])-MIN(Crime_rate_Index[Crime Index ▲]))</f>
        <v>0.87307829817661786</v>
      </c>
    </row>
    <row r="20" spans="1:5" ht="15.5">
      <c r="A20" s="19">
        <v>19</v>
      </c>
      <c r="B20" s="20">
        <v>1335</v>
      </c>
      <c r="C20" t="s">
        <v>743</v>
      </c>
      <c r="D20" s="7">
        <v>12758729</v>
      </c>
      <c r="E20">
        <f>1-(Crime_rate_Index[[#This Row],[Crime Index ▲]]-MIN(Crime_rate_Index[Crime Index ▲]))/(MAX(Crime_rate_Index[Crime Index ▲])-MIN(Crime_rate_Index[Crime Index ▲]))</f>
        <v>0.86235252055774048</v>
      </c>
    </row>
    <row r="21" spans="1:5" ht="15.5">
      <c r="A21" s="19">
        <v>20</v>
      </c>
      <c r="B21" s="20">
        <v>1368</v>
      </c>
      <c r="C21" t="s">
        <v>738</v>
      </c>
      <c r="D21" s="7">
        <v>6657291</v>
      </c>
      <c r="E21">
        <f>1-(Crime_rate_Index[[#This Row],[Crime Index ▲]]-MIN(Crime_rate_Index[Crime Index ▲]))/(MAX(Crime_rate_Index[Crime Index ▲])-MIN(Crime_rate_Index[Crime Index ▲]))</f>
        <v>0.85055416517697535</v>
      </c>
    </row>
    <row r="22" spans="1:5" ht="15.5">
      <c r="A22" s="19">
        <v>21</v>
      </c>
      <c r="B22" s="20">
        <v>1390</v>
      </c>
      <c r="C22" t="s">
        <v>764</v>
      </c>
      <c r="D22" s="7">
        <v>1855617</v>
      </c>
      <c r="E22">
        <f>1-(Crime_rate_Index[[#This Row],[Crime Index ▲]]-MIN(Crime_rate_Index[Crime Index ▲]))/(MAX(Crime_rate_Index[Crime Index ▲])-MIN(Crime_rate_Index[Crime Index ▲]))</f>
        <v>0.84268859492313197</v>
      </c>
    </row>
    <row r="23" spans="1:5" ht="15.5">
      <c r="A23" s="19">
        <v>22</v>
      </c>
      <c r="B23" s="20">
        <v>1405</v>
      </c>
      <c r="C23" t="s">
        <v>761</v>
      </c>
      <c r="D23" s="7">
        <v>2858111</v>
      </c>
      <c r="E23">
        <f>1-(Crime_rate_Index[[#This Row],[Crime Index ▲]]-MIN(Crime_rate_Index[Crime Index ▲]))/(MAX(Crime_rate_Index[Crime Index ▲])-MIN(Crime_rate_Index[Crime Index ▲]))</f>
        <v>0.83732570611369328</v>
      </c>
    </row>
    <row r="24" spans="1:5" ht="15.5">
      <c r="A24" s="19">
        <v>23</v>
      </c>
      <c r="B24" s="20">
        <v>1497</v>
      </c>
      <c r="C24" t="s">
        <v>766</v>
      </c>
      <c r="D24" s="7">
        <v>3900343</v>
      </c>
      <c r="E24">
        <f>1-(Crime_rate_Index[[#This Row],[Crime Index ▲]]-MIN(Crime_rate_Index[Crime Index ▲]))/(MAX(Crime_rate_Index[Crime Index ▲])-MIN(Crime_rate_Index[Crime Index ▲]))</f>
        <v>0.80443332141580259</v>
      </c>
    </row>
    <row r="25" spans="1:5" ht="15.5">
      <c r="A25" s="19">
        <v>24</v>
      </c>
      <c r="B25" s="20">
        <v>1526</v>
      </c>
      <c r="C25" t="s">
        <v>757</v>
      </c>
      <c r="D25" s="7">
        <v>5197580</v>
      </c>
      <c r="E25">
        <f>1-(Crime_rate_Index[[#This Row],[Crime Index ▲]]-MIN(Crime_rate_Index[Crime Index ▲]))/(MAX(Crime_rate_Index[Crime Index ▲])-MIN(Crime_rate_Index[Crime Index ▲]))</f>
        <v>0.79406506971755453</v>
      </c>
    </row>
    <row r="26" spans="1:5" ht="15.5">
      <c r="A26" s="19">
        <v>25</v>
      </c>
      <c r="B26" s="20">
        <v>1584</v>
      </c>
      <c r="C26" t="s">
        <v>793</v>
      </c>
      <c r="D26" s="7">
        <v>2984345</v>
      </c>
      <c r="E26">
        <f>1-(Crime_rate_Index[[#This Row],[Crime Index ▲]]-MIN(Crime_rate_Index[Crime Index ▲]))/(MAX(Crime_rate_Index[Crime Index ▲])-MIN(Crime_rate_Index[Crime Index ▲]))</f>
        <v>0.77332856632105829</v>
      </c>
    </row>
    <row r="27" spans="1:5" ht="15.5">
      <c r="A27" s="19">
        <v>26</v>
      </c>
      <c r="B27" s="20">
        <v>1599</v>
      </c>
      <c r="C27" t="s">
        <v>416</v>
      </c>
      <c r="D27" s="7">
        <v>6542411</v>
      </c>
      <c r="E27">
        <f>1-(Crime_rate_Index[[#This Row],[Crime Index ▲]]-MIN(Crime_rate_Index[Crime Index ▲]))/(MAX(Crime_rate_Index[Crime Index ▲])-MIN(Crime_rate_Index[Crime Index ▲]))</f>
        <v>0.76796567751161959</v>
      </c>
    </row>
    <row r="28" spans="1:5" ht="15.5">
      <c r="A28" s="19">
        <v>27</v>
      </c>
      <c r="B28" s="20">
        <v>1608</v>
      </c>
      <c r="C28" t="s">
        <v>810</v>
      </c>
      <c r="D28" s="7">
        <v>1392704</v>
      </c>
      <c r="E28">
        <f>1-(Crime_rate_Index[[#This Row],[Crime Index ▲]]-MIN(Crime_rate_Index[Crime Index ▲]))/(MAX(Crime_rate_Index[Crime Index ▲])-MIN(Crime_rate_Index[Crime Index ▲]))</f>
        <v>0.76474794422595638</v>
      </c>
    </row>
    <row r="29" spans="1:5" ht="15.5">
      <c r="A29" s="19">
        <v>28</v>
      </c>
      <c r="B29" s="20">
        <v>1616</v>
      </c>
      <c r="C29" t="s">
        <v>746</v>
      </c>
      <c r="D29" s="7">
        <v>12868747</v>
      </c>
      <c r="E29">
        <f>1-(Crime_rate_Index[[#This Row],[Crime Index ▲]]-MIN(Crime_rate_Index[Crime Index ▲]))/(MAX(Crime_rate_Index[Crime Index ▲])-MIN(Crime_rate_Index[Crime Index ▲]))</f>
        <v>0.76188773686092248</v>
      </c>
    </row>
    <row r="30" spans="1:5" ht="15.5">
      <c r="A30" s="19">
        <v>29</v>
      </c>
      <c r="B30" s="20">
        <v>1670</v>
      </c>
      <c r="C30" t="s">
        <v>777</v>
      </c>
      <c r="D30" s="7">
        <v>2882946</v>
      </c>
      <c r="E30">
        <f>1-(Crime_rate_Index[[#This Row],[Crime Index ▲]]-MIN(Crime_rate_Index[Crime Index ▲]))/(MAX(Crime_rate_Index[Crime Index ▲])-MIN(Crime_rate_Index[Crime Index ▲]))</f>
        <v>0.74258133714694319</v>
      </c>
    </row>
    <row r="31" spans="1:5" ht="15.5">
      <c r="A31" s="19">
        <v>30</v>
      </c>
      <c r="B31" s="20">
        <v>1691</v>
      </c>
      <c r="C31" t="s">
        <v>756</v>
      </c>
      <c r="D31" s="7">
        <v>11560380</v>
      </c>
      <c r="E31">
        <f>1-(Crime_rate_Index[[#This Row],[Crime Index ▲]]-MIN(Crime_rate_Index[Crime Index ▲]))/(MAX(Crime_rate_Index[Crime Index ▲])-MIN(Crime_rate_Index[Crime Index ▲]))</f>
        <v>0.73507329281372902</v>
      </c>
    </row>
    <row r="32" spans="1:5" ht="15.5">
      <c r="A32" s="19">
        <v>31</v>
      </c>
      <c r="B32" s="20">
        <v>1701</v>
      </c>
      <c r="C32" t="s">
        <v>666</v>
      </c>
      <c r="D32" s="7">
        <v>38066920</v>
      </c>
      <c r="E32">
        <f>1-(Crime_rate_Index[[#This Row],[Crime Index ▲]]-MIN(Crime_rate_Index[Crime Index ▲]))/(MAX(Crime_rate_Index[Crime Index ▲])-MIN(Crime_rate_Index[Crime Index ▲]))</f>
        <v>0.73149803360743659</v>
      </c>
    </row>
    <row r="33" spans="1:5" ht="15.5">
      <c r="A33" s="19">
        <v>32</v>
      </c>
      <c r="B33" s="20">
        <v>1757</v>
      </c>
      <c r="C33" t="s">
        <v>741</v>
      </c>
      <c r="D33" s="7">
        <v>9889024</v>
      </c>
      <c r="E33">
        <f>1-(Crime_rate_Index[[#This Row],[Crime Index ▲]]-MIN(Crime_rate_Index[Crime Index ▲]))/(MAX(Crime_rate_Index[Crime Index ▲])-MIN(Crime_rate_Index[Crime Index ▲]))</f>
        <v>0.71147658205219877</v>
      </c>
    </row>
    <row r="34" spans="1:5" ht="15.5">
      <c r="A34" s="19">
        <v>33</v>
      </c>
      <c r="B34" s="20">
        <v>1855</v>
      </c>
      <c r="C34" t="s">
        <v>71</v>
      </c>
      <c r="D34" s="7">
        <v>6899123</v>
      </c>
      <c r="E34">
        <f>1-(Crime_rate_Index[[#This Row],[Crime Index ▲]]-MIN(Crime_rate_Index[Crime Index ▲]))/(MAX(Crime_rate_Index[Crime Index ▲])-MIN(Crime_rate_Index[Crime Index ▲]))</f>
        <v>0.67643904183053272</v>
      </c>
    </row>
    <row r="35" spans="1:5" ht="15.5">
      <c r="A35" s="19">
        <v>34</v>
      </c>
      <c r="B35" s="20">
        <v>1858</v>
      </c>
      <c r="C35" t="s">
        <v>763</v>
      </c>
      <c r="D35" s="7">
        <v>6028076</v>
      </c>
      <c r="E35">
        <f>1-(Crime_rate_Index[[#This Row],[Crime Index ▲]]-MIN(Crime_rate_Index[Crime Index ▲]))/(MAX(Crime_rate_Index[Crime Index ▲])-MIN(Crime_rate_Index[Crime Index ▲]))</f>
        <v>0.67536646406864498</v>
      </c>
    </row>
    <row r="36" spans="1:5" ht="15.5">
      <c r="A36" s="19">
        <v>35</v>
      </c>
      <c r="B36" s="20">
        <v>1869</v>
      </c>
      <c r="C36" t="s">
        <v>752</v>
      </c>
      <c r="D36" s="7">
        <v>9750405</v>
      </c>
      <c r="E36">
        <f>1-(Crime_rate_Index[[#This Row],[Crime Index ▲]]-MIN(Crime_rate_Index[Crime Index ▲]))/(MAX(Crime_rate_Index[Crime Index ▲])-MIN(Crime_rate_Index[Crime Index ▲]))</f>
        <v>0.67143367894172323</v>
      </c>
    </row>
    <row r="37" spans="1:5" ht="15.5">
      <c r="A37" s="19">
        <v>36</v>
      </c>
      <c r="B37" s="20">
        <v>1884</v>
      </c>
      <c r="C37" t="s">
        <v>750</v>
      </c>
      <c r="D37" s="7">
        <v>5887776</v>
      </c>
      <c r="E37">
        <f>1-(Crime_rate_Index[[#This Row],[Crime Index ▲]]-MIN(Crime_rate_Index[Crime Index ▲]))/(MAX(Crime_rate_Index[Crime Index ▲])-MIN(Crime_rate_Index[Crime Index ▲]))</f>
        <v>0.66607079013228465</v>
      </c>
    </row>
    <row r="38" spans="1:5" ht="15.5">
      <c r="A38" s="19">
        <v>37</v>
      </c>
      <c r="B38" s="20">
        <v>1911</v>
      </c>
      <c r="C38" t="s">
        <v>767</v>
      </c>
      <c r="D38" s="7">
        <v>9907756</v>
      </c>
      <c r="E38">
        <f>1-(Crime_rate_Index[[#This Row],[Crime Index ▲]]-MIN(Crime_rate_Index[Crime Index ▲]))/(MAX(Crime_rate_Index[Crime Index ▲])-MIN(Crime_rate_Index[Crime Index ▲]))</f>
        <v>0.65641759027529489</v>
      </c>
    </row>
    <row r="39" spans="1:5" ht="15.5">
      <c r="A39" s="19">
        <v>38</v>
      </c>
      <c r="B39" s="20">
        <v>1938</v>
      </c>
      <c r="C39" t="s">
        <v>787</v>
      </c>
      <c r="D39" s="7">
        <v>3818851</v>
      </c>
      <c r="E39">
        <f>1-(Crime_rate_Index[[#This Row],[Crime Index ▲]]-MIN(Crime_rate_Index[Crime Index ▲]))/(MAX(Crime_rate_Index[Crime Index ▲])-MIN(Crime_rate_Index[Crime Index ▲]))</f>
        <v>0.64676439041830536</v>
      </c>
    </row>
    <row r="40" spans="1:5" ht="15.5">
      <c r="A40" s="19">
        <v>39</v>
      </c>
      <c r="B40" s="20">
        <v>1941</v>
      </c>
      <c r="C40" t="s">
        <v>789</v>
      </c>
      <c r="D40" s="7">
        <v>4817678</v>
      </c>
      <c r="E40">
        <f>1-(Crime_rate_Index[[#This Row],[Crime Index ▲]]-MIN(Crime_rate_Index[Crime Index ▲]))/(MAX(Crime_rate_Index[Crime Index ▲])-MIN(Crime_rate_Index[Crime Index ▲]))</f>
        <v>0.64569181265641751</v>
      </c>
    </row>
    <row r="41" spans="1:5" ht="15.5">
      <c r="A41" s="19">
        <v>40</v>
      </c>
      <c r="B41" s="20">
        <v>1962</v>
      </c>
      <c r="C41" t="s">
        <v>745</v>
      </c>
      <c r="D41" s="7">
        <v>26092033</v>
      </c>
      <c r="E41">
        <f>1-(Crime_rate_Index[[#This Row],[Crime Index ▲]]-MIN(Crime_rate_Index[Crime Index ▲]))/(MAX(Crime_rate_Index[Crime Index ▲])-MIN(Crime_rate_Index[Crime Index ▲]))</f>
        <v>0.63818376832320345</v>
      </c>
    </row>
    <row r="42" spans="1:5" ht="15.5">
      <c r="A42" s="19">
        <v>41</v>
      </c>
      <c r="B42" s="20">
        <v>1974</v>
      </c>
      <c r="C42" t="s">
        <v>778</v>
      </c>
      <c r="D42" s="7">
        <v>917060</v>
      </c>
      <c r="E42">
        <f>1-(Crime_rate_Index[[#This Row],[Crime Index ▲]]-MIN(Crime_rate_Index[Crime Index ▲]))/(MAX(Crime_rate_Index[Crime Index ▲])-MIN(Crime_rate_Index[Crime Index ▲]))</f>
        <v>0.63389345727565249</v>
      </c>
    </row>
    <row r="43" spans="1:5" ht="15.5">
      <c r="A43" s="19">
        <v>42</v>
      </c>
      <c r="B43" s="20">
        <v>1986</v>
      </c>
      <c r="C43" t="s">
        <v>800</v>
      </c>
      <c r="D43" s="7">
        <v>728300</v>
      </c>
      <c r="E43">
        <f>1-(Crime_rate_Index[[#This Row],[Crime Index ▲]]-MIN(Crime_rate_Index[Crime Index ▲]))/(MAX(Crime_rate_Index[Crime Index ▲])-MIN(Crime_rate_Index[Crime Index ▲]))</f>
        <v>0.62960314622810154</v>
      </c>
    </row>
    <row r="44" spans="1:5" ht="15.5">
      <c r="A44" s="19">
        <v>43</v>
      </c>
      <c r="B44" s="20">
        <v>2025</v>
      </c>
      <c r="C44" t="s">
        <v>753</v>
      </c>
      <c r="D44" s="7">
        <v>6561516</v>
      </c>
      <c r="E44">
        <f>1-(Crime_rate_Index[[#This Row],[Crime Index ▲]]-MIN(Crime_rate_Index[Crime Index ▲]))/(MAX(Crime_rate_Index[Crime Index ▲])-MIN(Crime_rate_Index[Crime Index ▲]))</f>
        <v>0.61565963532356094</v>
      </c>
    </row>
    <row r="45" spans="1:5" ht="15.5">
      <c r="A45" s="19">
        <v>44</v>
      </c>
      <c r="B45" s="20">
        <v>2065</v>
      </c>
      <c r="C45" t="s">
        <v>792</v>
      </c>
      <c r="D45" s="7">
        <v>2947036</v>
      </c>
      <c r="E45">
        <f>1-(Crime_rate_Index[[#This Row],[Crime Index ▲]]-MIN(Crime_rate_Index[Crime Index ▲]))/(MAX(Crime_rate_Index[Crime Index ▲])-MIN(Crime_rate_Index[Crime Index ▲]))</f>
        <v>0.60135859849839113</v>
      </c>
    </row>
    <row r="46" spans="1:5" ht="15.5">
      <c r="A46" s="19">
        <v>45</v>
      </c>
      <c r="B46" s="20">
        <v>2095</v>
      </c>
      <c r="C46" t="s">
        <v>751</v>
      </c>
      <c r="D46" s="7">
        <v>19361792</v>
      </c>
      <c r="E46">
        <f>1-(Crime_rate_Index[[#This Row],[Crime Index ▲]]-MIN(Crime_rate_Index[Crime Index ▲]))/(MAX(Crime_rate_Index[Crime Index ▲])-MIN(Crime_rate_Index[Crime Index ▲]))</f>
        <v>0.59063282087951374</v>
      </c>
    </row>
    <row r="47" spans="1:5" ht="15.5">
      <c r="A47" s="19">
        <v>46</v>
      </c>
      <c r="B47" s="20">
        <v>2167</v>
      </c>
      <c r="C47" t="s">
        <v>784</v>
      </c>
      <c r="D47" s="7">
        <v>4601049</v>
      </c>
      <c r="E47">
        <f>1-(Crime_rate_Index[[#This Row],[Crime Index ▲]]-MIN(Crime_rate_Index[Crime Index ▲]))/(MAX(Crime_rate_Index[Crime Index ▲])-MIN(Crime_rate_Index[Crime Index ▲]))</f>
        <v>0.56489095459420802</v>
      </c>
    </row>
    <row r="48" spans="1:5" ht="15.5">
      <c r="A48" s="19">
        <v>47</v>
      </c>
      <c r="B48" s="20">
        <v>2180</v>
      </c>
      <c r="C48" t="s">
        <v>719</v>
      </c>
      <c r="D48" s="7">
        <v>2761584</v>
      </c>
      <c r="E48">
        <f>1-(Crime_rate_Index[[#This Row],[Crime Index ▲]]-MIN(Crime_rate_Index[Crime Index ▲]))/(MAX(Crime_rate_Index[Crime Index ▲])-MIN(Crime_rate_Index[Crime Index ▲]))</f>
        <v>0.56024311762602785</v>
      </c>
    </row>
    <row r="49" spans="1:5" ht="15.5">
      <c r="A49" s="19">
        <v>48</v>
      </c>
      <c r="B49" s="20">
        <v>2194</v>
      </c>
      <c r="C49" t="s">
        <v>771</v>
      </c>
      <c r="D49" s="7">
        <v>6451365</v>
      </c>
      <c r="E49">
        <f>1-(Crime_rate_Index[[#This Row],[Crime Index ▲]]-MIN(Crime_rate_Index[Crime Index ▲]))/(MAX(Crime_rate_Index[Crime Index ▲])-MIN(Crime_rate_Index[Crime Index ▲]))</f>
        <v>0.55523775473721848</v>
      </c>
    </row>
    <row r="50" spans="1:5" ht="15.5">
      <c r="A50" s="19">
        <v>49</v>
      </c>
      <c r="B50" s="20">
        <v>2241</v>
      </c>
      <c r="C50" t="s">
        <v>780</v>
      </c>
      <c r="D50" s="7">
        <v>2080085</v>
      </c>
      <c r="E50">
        <f>1-(Crime_rate_Index[[#This Row],[Crime Index ▲]]-MIN(Crime_rate_Index[Crime Index ▲]))/(MAX(Crime_rate_Index[Crime Index ▲])-MIN(Crime_rate_Index[Crime Index ▲]))</f>
        <v>0.53843403646764387</v>
      </c>
    </row>
    <row r="51" spans="1:5" ht="15.5">
      <c r="A51" s="19">
        <v>50</v>
      </c>
      <c r="B51" s="20">
        <v>2253</v>
      </c>
      <c r="C51" t="s">
        <v>783</v>
      </c>
      <c r="D51" s="7">
        <v>4727273</v>
      </c>
      <c r="E51">
        <f>1-(Crime_rate_Index[[#This Row],[Crime Index ▲]]-MIN(Crime_rate_Index[Crime Index ▲]))/(MAX(Crime_rate_Index[Crime Index ▲])-MIN(Crime_rate_Index[Crime Index ▲]))</f>
        <v>0.53414372542009292</v>
      </c>
    </row>
    <row r="52" spans="1:5" ht="15.5">
      <c r="A52" s="19">
        <v>51</v>
      </c>
      <c r="B52" s="20">
        <v>3747</v>
      </c>
      <c r="C52" t="s">
        <v>762</v>
      </c>
      <c r="D52" s="7">
        <v>633736</v>
      </c>
      <c r="E52">
        <f>1-(Crime_rate_Index[[#This Row],[Crime Index ▲]]-MIN(Crime_rate_Index[Crime Index ▲]))/(MAX(Crime_rate_Index[Crime Index ▲])-MIN(Crime_rate_Index[Crime Index ▲]))</f>
        <v>0</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F03CE-CD9C-134E-B137-D4B4622D57BA}">
  <sheetPr codeName="Sheet10"/>
  <dimension ref="A1:E52"/>
  <sheetViews>
    <sheetView workbookViewId="0">
      <selection activeCell="D1" sqref="D1"/>
    </sheetView>
  </sheetViews>
  <sheetFormatPr defaultColWidth="10.81640625" defaultRowHeight="14.5"/>
  <cols>
    <col min="1" max="1" width="17" bestFit="1" customWidth="1"/>
    <col min="2" max="2" width="22.26953125" customWidth="1"/>
    <col min="3" max="3" width="9.81640625" customWidth="1"/>
    <col min="4" max="4" width="21.453125" customWidth="1"/>
    <col min="5" max="5" width="13.81640625" customWidth="1"/>
  </cols>
  <sheetData>
    <row r="1" spans="1:5">
      <c r="A1" s="21" t="s">
        <v>3</v>
      </c>
      <c r="B1" s="21" t="s">
        <v>2335</v>
      </c>
      <c r="C1" s="21" t="s">
        <v>2336</v>
      </c>
      <c r="D1" s="21" t="s">
        <v>2337</v>
      </c>
      <c r="E1" s="21" t="s">
        <v>2338</v>
      </c>
    </row>
    <row r="2" spans="1:5">
      <c r="A2" s="22" t="s">
        <v>789</v>
      </c>
      <c r="B2" s="23">
        <v>0.52</v>
      </c>
      <c r="C2" s="23">
        <v>0.13</v>
      </c>
      <c r="D2" s="23">
        <v>0.35</v>
      </c>
      <c r="E2" s="22">
        <v>511</v>
      </c>
    </row>
    <row r="3" spans="1:5">
      <c r="A3" s="22" t="s">
        <v>800</v>
      </c>
      <c r="B3" s="23">
        <v>0.39</v>
      </c>
      <c r="C3" s="23">
        <v>0.28999999999999998</v>
      </c>
      <c r="D3" s="23">
        <v>0.32</v>
      </c>
      <c r="E3" s="22">
        <v>310</v>
      </c>
    </row>
    <row r="4" spans="1:5">
      <c r="A4" s="22" t="s">
        <v>753</v>
      </c>
      <c r="B4" s="23">
        <v>0.4</v>
      </c>
      <c r="C4" s="23">
        <v>0.21</v>
      </c>
      <c r="D4" s="23">
        <v>0.39</v>
      </c>
      <c r="E4" s="22">
        <v>653</v>
      </c>
    </row>
    <row r="5" spans="1:5">
      <c r="A5" s="22" t="s">
        <v>792</v>
      </c>
      <c r="B5" s="23">
        <v>0.46</v>
      </c>
      <c r="C5" s="23">
        <v>0.16</v>
      </c>
      <c r="D5" s="23">
        <v>0.38</v>
      </c>
      <c r="E5" s="22">
        <v>311</v>
      </c>
    </row>
    <row r="6" spans="1:5">
      <c r="A6" s="22" t="s">
        <v>666</v>
      </c>
      <c r="B6" s="23">
        <v>0.3</v>
      </c>
      <c r="C6" s="23">
        <v>0.21</v>
      </c>
      <c r="D6" s="23">
        <v>0.49</v>
      </c>
      <c r="E6" s="24">
        <v>3697</v>
      </c>
    </row>
    <row r="7" spans="1:5">
      <c r="A7" s="22" t="s">
        <v>757</v>
      </c>
      <c r="B7" s="23">
        <v>0.41</v>
      </c>
      <c r="C7" s="23">
        <v>0.17</v>
      </c>
      <c r="D7" s="23">
        <v>0.42</v>
      </c>
      <c r="E7" s="22">
        <v>504</v>
      </c>
    </row>
    <row r="8" spans="1:5">
      <c r="A8" s="22" t="s">
        <v>742</v>
      </c>
      <c r="B8" s="23">
        <v>0.32</v>
      </c>
      <c r="C8" s="23">
        <v>0.18</v>
      </c>
      <c r="D8" s="23">
        <v>0.5</v>
      </c>
      <c r="E8" s="22">
        <v>377</v>
      </c>
    </row>
    <row r="9" spans="1:5">
      <c r="A9" s="22" t="s">
        <v>778</v>
      </c>
      <c r="B9" s="23">
        <v>0.28999999999999998</v>
      </c>
      <c r="C9" s="23">
        <v>0.17</v>
      </c>
      <c r="D9" s="23">
        <v>0.55000000000000004</v>
      </c>
      <c r="E9" s="22">
        <v>301</v>
      </c>
    </row>
    <row r="10" spans="1:5">
      <c r="A10" s="22" t="s">
        <v>762</v>
      </c>
      <c r="B10" s="23">
        <v>0.11</v>
      </c>
      <c r="C10" s="23">
        <v>0.15</v>
      </c>
      <c r="D10" s="23">
        <v>0.73</v>
      </c>
      <c r="E10" s="22">
        <v>303</v>
      </c>
    </row>
    <row r="11" spans="1:5">
      <c r="A11" s="22" t="s">
        <v>751</v>
      </c>
      <c r="B11" s="23">
        <v>0.37</v>
      </c>
      <c r="C11" s="23">
        <v>0.19</v>
      </c>
      <c r="D11" s="23">
        <v>0.44</v>
      </c>
      <c r="E11" s="24">
        <v>2020</v>
      </c>
    </row>
    <row r="12" spans="1:5">
      <c r="A12" s="22" t="s">
        <v>767</v>
      </c>
      <c r="B12" s="23">
        <v>0.41</v>
      </c>
      <c r="C12" s="23">
        <v>0.18</v>
      </c>
      <c r="D12" s="23">
        <v>0.41</v>
      </c>
      <c r="E12" s="22">
        <v>968</v>
      </c>
    </row>
    <row r="13" spans="1:5">
      <c r="A13" s="22" t="s">
        <v>810</v>
      </c>
      <c r="B13" s="23">
        <v>0.28000000000000003</v>
      </c>
      <c r="C13" s="23">
        <v>0.2</v>
      </c>
      <c r="D13" s="23">
        <v>0.51</v>
      </c>
      <c r="E13" s="22">
        <v>312</v>
      </c>
    </row>
    <row r="14" spans="1:5">
      <c r="A14" s="22" t="s">
        <v>796</v>
      </c>
      <c r="B14" s="23">
        <v>0.49</v>
      </c>
      <c r="C14" s="23">
        <v>0.19</v>
      </c>
      <c r="D14" s="23">
        <v>0.32</v>
      </c>
      <c r="E14" s="22">
        <v>320</v>
      </c>
    </row>
    <row r="15" spans="1:5">
      <c r="A15" s="22" t="s">
        <v>746</v>
      </c>
      <c r="B15" s="23">
        <v>0.33</v>
      </c>
      <c r="C15" s="23">
        <v>0.19</v>
      </c>
      <c r="D15" s="23">
        <v>0.48</v>
      </c>
      <c r="E15" s="24">
        <v>1326</v>
      </c>
    </row>
    <row r="16" spans="1:5">
      <c r="A16" s="22" t="s">
        <v>416</v>
      </c>
      <c r="B16" s="23">
        <v>0.42</v>
      </c>
      <c r="C16" s="23">
        <v>0.2</v>
      </c>
      <c r="D16" s="23">
        <v>0.37</v>
      </c>
      <c r="E16" s="22">
        <v>654</v>
      </c>
    </row>
    <row r="17" spans="1:5">
      <c r="A17" s="22" t="s">
        <v>770</v>
      </c>
      <c r="B17" s="23">
        <v>0.41</v>
      </c>
      <c r="C17" s="23">
        <v>0.19</v>
      </c>
      <c r="D17" s="23">
        <v>0.4</v>
      </c>
      <c r="E17" s="22">
        <v>330</v>
      </c>
    </row>
    <row r="18" spans="1:5">
      <c r="A18" s="22" t="s">
        <v>777</v>
      </c>
      <c r="B18" s="23">
        <v>0.46</v>
      </c>
      <c r="C18" s="23">
        <v>0.23</v>
      </c>
      <c r="D18" s="23">
        <v>0.31</v>
      </c>
      <c r="E18" s="22">
        <v>307</v>
      </c>
    </row>
    <row r="19" spans="1:5">
      <c r="A19" s="22" t="s">
        <v>775</v>
      </c>
      <c r="B19" s="23">
        <v>0.44</v>
      </c>
      <c r="C19" s="23">
        <v>0.13</v>
      </c>
      <c r="D19" s="23">
        <v>0.43</v>
      </c>
      <c r="E19" s="22">
        <v>439</v>
      </c>
    </row>
    <row r="20" spans="1:5">
      <c r="A20" s="22" t="s">
        <v>784</v>
      </c>
      <c r="B20" s="23">
        <v>0.41</v>
      </c>
      <c r="C20" s="23">
        <v>0.16</v>
      </c>
      <c r="D20" s="23">
        <v>0.43</v>
      </c>
      <c r="E20" s="22">
        <v>465</v>
      </c>
    </row>
    <row r="21" spans="1:5">
      <c r="A21" s="22" t="s">
        <v>798</v>
      </c>
      <c r="B21" s="23">
        <v>0.36</v>
      </c>
      <c r="C21" s="23">
        <v>0.17</v>
      </c>
      <c r="D21" s="23">
        <v>0.47</v>
      </c>
      <c r="E21" s="22">
        <v>303</v>
      </c>
    </row>
    <row r="22" spans="1:5">
      <c r="A22" s="22" t="s">
        <v>750</v>
      </c>
      <c r="B22" s="23">
        <v>0.31</v>
      </c>
      <c r="C22" s="23">
        <v>0.14000000000000001</v>
      </c>
      <c r="D22" s="23">
        <v>0.55000000000000004</v>
      </c>
      <c r="E22" s="22">
        <v>644</v>
      </c>
    </row>
    <row r="23" spans="1:5">
      <c r="A23" s="22" t="s">
        <v>738</v>
      </c>
      <c r="B23" s="23">
        <v>0.27</v>
      </c>
      <c r="C23" s="23">
        <v>0.17</v>
      </c>
      <c r="D23" s="23">
        <v>0.56000000000000005</v>
      </c>
      <c r="E23" s="22">
        <v>704</v>
      </c>
    </row>
    <row r="24" spans="1:5">
      <c r="A24" s="22" t="s">
        <v>741</v>
      </c>
      <c r="B24" s="23">
        <v>0.34</v>
      </c>
      <c r="C24" s="23">
        <v>0.19</v>
      </c>
      <c r="D24" s="23">
        <v>0.47</v>
      </c>
      <c r="E24" s="22">
        <v>982</v>
      </c>
    </row>
    <row r="25" spans="1:5">
      <c r="A25" s="22" t="s">
        <v>748</v>
      </c>
      <c r="B25" s="23">
        <v>0.39</v>
      </c>
      <c r="C25" s="23">
        <v>0.15</v>
      </c>
      <c r="D25" s="23">
        <v>0.46</v>
      </c>
      <c r="E25" s="22">
        <v>563</v>
      </c>
    </row>
    <row r="26" spans="1:5">
      <c r="A26" s="22" t="s">
        <v>793</v>
      </c>
      <c r="B26" s="23">
        <v>0.44</v>
      </c>
      <c r="C26" s="23">
        <v>0.14000000000000001</v>
      </c>
      <c r="D26" s="23">
        <v>0.42</v>
      </c>
      <c r="E26" s="22">
        <v>309</v>
      </c>
    </row>
    <row r="27" spans="1:5">
      <c r="A27" s="22" t="s">
        <v>763</v>
      </c>
      <c r="B27" s="23">
        <v>0.41</v>
      </c>
      <c r="C27" s="23">
        <v>0.18</v>
      </c>
      <c r="D27" s="23">
        <v>0.42</v>
      </c>
      <c r="E27" s="22">
        <v>642</v>
      </c>
    </row>
    <row r="28" spans="1:5">
      <c r="A28" s="22" t="s">
        <v>794</v>
      </c>
      <c r="B28" s="23">
        <v>0.49</v>
      </c>
      <c r="C28" s="23">
        <v>0.21</v>
      </c>
      <c r="D28" s="23">
        <v>0.3</v>
      </c>
      <c r="E28" s="22">
        <v>312</v>
      </c>
    </row>
    <row r="29" spans="1:5">
      <c r="A29" s="22" t="s">
        <v>764</v>
      </c>
      <c r="B29" s="23">
        <v>0.47</v>
      </c>
      <c r="C29" s="23">
        <v>0.17</v>
      </c>
      <c r="D29" s="23">
        <v>0.36</v>
      </c>
      <c r="E29" s="22">
        <v>312</v>
      </c>
    </row>
    <row r="30" spans="1:5">
      <c r="A30" s="22" t="s">
        <v>719</v>
      </c>
      <c r="B30" s="23">
        <v>0.37</v>
      </c>
      <c r="C30" s="23">
        <v>0.18</v>
      </c>
      <c r="D30" s="23">
        <v>0.46</v>
      </c>
      <c r="E30" s="22">
        <v>314</v>
      </c>
    </row>
    <row r="31" spans="1:5">
      <c r="A31" s="22" t="s">
        <v>773</v>
      </c>
      <c r="B31" s="23">
        <v>0.35</v>
      </c>
      <c r="C31" s="23">
        <v>0.2</v>
      </c>
      <c r="D31" s="23">
        <v>0.44</v>
      </c>
      <c r="E31" s="22">
        <v>303</v>
      </c>
    </row>
    <row r="32" spans="1:5">
      <c r="A32" s="22" t="s">
        <v>747</v>
      </c>
      <c r="B32" s="23">
        <v>0.3</v>
      </c>
      <c r="C32" s="23">
        <v>0.19</v>
      </c>
      <c r="D32" s="23">
        <v>0.51</v>
      </c>
      <c r="E32" s="22">
        <v>886</v>
      </c>
    </row>
    <row r="33" spans="1:5">
      <c r="A33" s="22" t="s">
        <v>780</v>
      </c>
      <c r="B33" s="23">
        <v>0.37</v>
      </c>
      <c r="C33" s="23">
        <v>0.15</v>
      </c>
      <c r="D33" s="23">
        <v>0.48</v>
      </c>
      <c r="E33" s="22">
        <v>312</v>
      </c>
    </row>
    <row r="34" spans="1:5">
      <c r="A34" s="22" t="s">
        <v>740</v>
      </c>
      <c r="B34" s="23">
        <v>0.28000000000000003</v>
      </c>
      <c r="C34" s="23">
        <v>0.19</v>
      </c>
      <c r="D34" s="23">
        <v>0.53</v>
      </c>
      <c r="E34" s="24">
        <v>1966</v>
      </c>
    </row>
    <row r="35" spans="1:5">
      <c r="A35" s="22" t="s">
        <v>752</v>
      </c>
      <c r="B35" s="23">
        <v>0.41</v>
      </c>
      <c r="C35" s="23">
        <v>0.17</v>
      </c>
      <c r="D35" s="23">
        <v>0.43</v>
      </c>
      <c r="E35" s="24">
        <v>1022</v>
      </c>
    </row>
    <row r="36" spans="1:5">
      <c r="A36" s="22" t="s">
        <v>802</v>
      </c>
      <c r="B36" s="23">
        <v>0.5</v>
      </c>
      <c r="C36" s="23">
        <v>0.18</v>
      </c>
      <c r="D36" s="23">
        <v>0.33</v>
      </c>
      <c r="E36" s="22">
        <v>338</v>
      </c>
    </row>
    <row r="37" spans="1:5">
      <c r="A37" s="22" t="s">
        <v>756</v>
      </c>
      <c r="B37" s="23">
        <v>0.42</v>
      </c>
      <c r="C37" s="23">
        <v>0.18</v>
      </c>
      <c r="D37" s="23">
        <v>0.4</v>
      </c>
      <c r="E37" s="24">
        <v>1132</v>
      </c>
    </row>
    <row r="38" spans="1:5">
      <c r="A38" s="22" t="s">
        <v>787</v>
      </c>
      <c r="B38" s="23">
        <v>0.45</v>
      </c>
      <c r="C38" s="23">
        <v>0.15</v>
      </c>
      <c r="D38" s="23">
        <v>0.4</v>
      </c>
      <c r="E38" s="22">
        <v>391</v>
      </c>
    </row>
    <row r="39" spans="1:5">
      <c r="A39" s="22" t="s">
        <v>766</v>
      </c>
      <c r="B39" s="23">
        <v>0.32</v>
      </c>
      <c r="C39" s="23">
        <v>0.21</v>
      </c>
      <c r="D39" s="23">
        <v>0.47</v>
      </c>
      <c r="E39" s="22">
        <v>419</v>
      </c>
    </row>
    <row r="40" spans="1:5">
      <c r="A40" s="22" t="s">
        <v>743</v>
      </c>
      <c r="B40" s="23">
        <v>0.39</v>
      </c>
      <c r="C40" s="23">
        <v>0.15</v>
      </c>
      <c r="D40" s="23">
        <v>0.46</v>
      </c>
      <c r="E40" s="24">
        <v>1366</v>
      </c>
    </row>
    <row r="41" spans="1:5">
      <c r="A41" s="22" t="s">
        <v>768</v>
      </c>
      <c r="B41" s="23">
        <v>0.3</v>
      </c>
      <c r="C41" s="23">
        <v>0.22</v>
      </c>
      <c r="D41" s="23">
        <v>0.48</v>
      </c>
      <c r="E41" s="22">
        <v>305</v>
      </c>
    </row>
    <row r="42" spans="1:5">
      <c r="A42" s="22" t="s">
        <v>783</v>
      </c>
      <c r="B42" s="23">
        <v>0.43</v>
      </c>
      <c r="C42" s="23">
        <v>0.18</v>
      </c>
      <c r="D42" s="23">
        <v>0.39</v>
      </c>
      <c r="E42" s="22">
        <v>495</v>
      </c>
    </row>
    <row r="43" spans="1:5">
      <c r="A43" s="22" t="s">
        <v>808</v>
      </c>
      <c r="B43" s="23">
        <v>0.53</v>
      </c>
      <c r="C43" s="23">
        <v>0.1</v>
      </c>
      <c r="D43" s="23">
        <v>0.37</v>
      </c>
      <c r="E43" s="22">
        <v>305</v>
      </c>
    </row>
    <row r="44" spans="1:5">
      <c r="A44" s="22" t="s">
        <v>771</v>
      </c>
      <c r="B44" s="23">
        <v>0.48</v>
      </c>
      <c r="C44" s="23">
        <v>0.15</v>
      </c>
      <c r="D44" s="23">
        <v>0.36</v>
      </c>
      <c r="E44" s="22">
        <v>661</v>
      </c>
    </row>
    <row r="45" spans="1:5">
      <c r="A45" s="22" t="s">
        <v>745</v>
      </c>
      <c r="B45" s="23">
        <v>0.39</v>
      </c>
      <c r="C45" s="23">
        <v>0.21</v>
      </c>
      <c r="D45" s="23">
        <v>0.4</v>
      </c>
      <c r="E45" s="24">
        <v>2535</v>
      </c>
    </row>
    <row r="46" spans="1:5">
      <c r="A46" s="22" t="s">
        <v>761</v>
      </c>
      <c r="B46" s="23">
        <v>0.54</v>
      </c>
      <c r="C46" s="23">
        <v>0.16</v>
      </c>
      <c r="D46" s="23">
        <v>0.3</v>
      </c>
      <c r="E46" s="22">
        <v>315</v>
      </c>
    </row>
    <row r="47" spans="1:5">
      <c r="A47" s="22" t="s">
        <v>785</v>
      </c>
      <c r="B47" s="23">
        <v>0.28999999999999998</v>
      </c>
      <c r="C47" s="23">
        <v>0.14000000000000001</v>
      </c>
      <c r="D47" s="23">
        <v>0.56999999999999995</v>
      </c>
      <c r="E47" s="22">
        <v>306</v>
      </c>
    </row>
    <row r="48" spans="1:5">
      <c r="A48" s="22" t="s">
        <v>760</v>
      </c>
      <c r="B48" s="23">
        <v>0.43</v>
      </c>
      <c r="C48" s="23">
        <v>0.18</v>
      </c>
      <c r="D48" s="23">
        <v>0.39</v>
      </c>
      <c r="E48" s="22">
        <v>882</v>
      </c>
    </row>
    <row r="49" spans="1:5">
      <c r="A49" s="22" t="s">
        <v>71</v>
      </c>
      <c r="B49" s="23">
        <v>0.33</v>
      </c>
      <c r="C49" s="23">
        <v>0.23</v>
      </c>
      <c r="D49" s="23">
        <v>0.44</v>
      </c>
      <c r="E49" s="22">
        <v>714</v>
      </c>
    </row>
    <row r="50" spans="1:5">
      <c r="A50" s="22" t="s">
        <v>791</v>
      </c>
      <c r="B50" s="23">
        <v>0.43</v>
      </c>
      <c r="C50" s="23">
        <v>0.16</v>
      </c>
      <c r="D50" s="23">
        <v>0.41</v>
      </c>
      <c r="E50" s="22">
        <v>309</v>
      </c>
    </row>
    <row r="51" spans="1:5">
      <c r="A51" s="22" t="s">
        <v>744</v>
      </c>
      <c r="B51" s="23">
        <v>0.42</v>
      </c>
      <c r="C51" s="23">
        <v>0.16</v>
      </c>
      <c r="D51" s="23">
        <v>0.42</v>
      </c>
      <c r="E51" s="22">
        <v>600</v>
      </c>
    </row>
    <row r="52" spans="1:5">
      <c r="A52" s="22" t="s">
        <v>729</v>
      </c>
      <c r="B52" s="23">
        <v>0.56999999999999995</v>
      </c>
      <c r="C52" s="23">
        <v>0.18</v>
      </c>
      <c r="D52" s="23">
        <v>0.25</v>
      </c>
      <c r="E52" s="22">
        <v>316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7EDBC-A041-4543-B588-F10D843E3005}">
  <sheetPr codeName="Sheet1"/>
  <dimension ref="A1:D531"/>
  <sheetViews>
    <sheetView topLeftCell="A494" workbookViewId="0">
      <selection activeCell="A502" sqref="A502:D531"/>
    </sheetView>
  </sheetViews>
  <sheetFormatPr defaultColWidth="11.81640625" defaultRowHeight="17.5"/>
  <cols>
    <col min="1" max="1" width="31.1796875" style="34" bestFit="1" customWidth="1"/>
    <col min="2" max="2" width="10.26953125" style="34" bestFit="1" customWidth="1"/>
    <col min="3" max="3" width="29.7265625" style="35" bestFit="1" customWidth="1"/>
    <col min="4" max="4" width="35.1796875" style="38" bestFit="1" customWidth="1"/>
    <col min="5" max="16384" width="11.81640625" style="34"/>
  </cols>
  <sheetData>
    <row r="1" spans="1:4">
      <c r="A1" s="34" t="s">
        <v>2360</v>
      </c>
      <c r="B1" s="34" t="s">
        <v>3</v>
      </c>
      <c r="C1" s="35" t="s">
        <v>2361</v>
      </c>
      <c r="D1" s="38" t="s">
        <v>2362</v>
      </c>
    </row>
    <row r="2" spans="1:4">
      <c r="A2" s="34" t="s">
        <v>651</v>
      </c>
      <c r="B2" s="34" t="s">
        <v>1905</v>
      </c>
      <c r="C2" s="35">
        <v>110.7</v>
      </c>
      <c r="D2" s="39">
        <f>1-([1]!Cost_of_Living[[#This Row],[Cost of Living Index]]-MIN([1]!Cost_of_Living[Cost of Living Index]))/(MAX([1]!Cost_of_Living[Cost of Living Index])-MIN([1]!Cost_of_Living[Cost of Living Index]))</f>
        <v>0.61952554744525545</v>
      </c>
    </row>
    <row r="3" spans="1:4">
      <c r="A3" s="34" t="s">
        <v>799</v>
      </c>
      <c r="B3" s="34" t="s">
        <v>1905</v>
      </c>
      <c r="C3" s="35">
        <v>107.9</v>
      </c>
      <c r="D3" s="39">
        <f>1-([1]!Cost_of_Living[[#This Row],[Cost of Living Index]]-MIN([1]!Cost_of_Living[Cost of Living Index]))/(MAX([1]!Cost_of_Living[Cost of Living Index])-MIN([1]!Cost_of_Living[Cost of Living Index]))</f>
        <v>0.64507299270072993</v>
      </c>
    </row>
    <row r="4" spans="1:4">
      <c r="A4" s="34" t="s">
        <v>709</v>
      </c>
      <c r="B4" s="34" t="s">
        <v>1229</v>
      </c>
      <c r="C4" s="35">
        <v>96.6</v>
      </c>
      <c r="D4" s="39">
        <f>1-([1]!Cost_of_Living[[#This Row],[Cost of Living Index]]-MIN([1]!Cost_of_Living[Cost of Living Index]))/(MAX([1]!Cost_of_Living[Cost of Living Index])-MIN([1]!Cost_of_Living[Cost of Living Index]))</f>
        <v>0.74817518248175185</v>
      </c>
    </row>
    <row r="5" spans="1:4">
      <c r="A5" s="34" t="s">
        <v>174</v>
      </c>
      <c r="B5" s="34" t="s">
        <v>1229</v>
      </c>
      <c r="C5" s="35">
        <v>91.9</v>
      </c>
      <c r="D5" s="39">
        <f>1-([1]!Cost_of_Living[[#This Row],[Cost of Living Index]]-MIN([1]!Cost_of_Living[Cost of Living Index]))/(MAX([1]!Cost_of_Living[Cost of Living Index])-MIN([1]!Cost_of_Living[Cost of Living Index]))</f>
        <v>0.79105839416058388</v>
      </c>
    </row>
    <row r="6" spans="1:4">
      <c r="A6" s="34" t="s">
        <v>351</v>
      </c>
      <c r="B6" s="34" t="s">
        <v>1229</v>
      </c>
      <c r="C6" s="35">
        <v>91.3</v>
      </c>
      <c r="D6" s="39">
        <f>1-([1]!Cost_of_Living[[#This Row],[Cost of Living Index]]-MIN([1]!Cost_of_Living[Cost of Living Index]))/(MAX([1]!Cost_of_Living[Cost of Living Index])-MIN([1]!Cost_of_Living[Cost of Living Index]))</f>
        <v>0.79653284671532854</v>
      </c>
    </row>
    <row r="7" spans="1:4">
      <c r="A7" s="34" t="s">
        <v>169</v>
      </c>
      <c r="B7" s="34" t="s">
        <v>1229</v>
      </c>
      <c r="C7" s="35">
        <v>91</v>
      </c>
      <c r="D7" s="39">
        <f>1-([1]!Cost_of_Living[[#This Row],[Cost of Living Index]]-MIN([1]!Cost_of_Living[Cost of Living Index]))/(MAX([1]!Cost_of_Living[Cost of Living Index])-MIN([1]!Cost_of_Living[Cost of Living Index]))</f>
        <v>0.7992700729927007</v>
      </c>
    </row>
    <row r="8" spans="1:4">
      <c r="A8" s="34" t="s">
        <v>2363</v>
      </c>
      <c r="B8" s="34" t="s">
        <v>1229</v>
      </c>
      <c r="C8" s="35">
        <v>90.9</v>
      </c>
      <c r="D8" s="39">
        <f>1-([1]!Cost_of_Living[[#This Row],[Cost of Living Index]]-MIN([1]!Cost_of_Living[Cost of Living Index]))/(MAX([1]!Cost_of_Living[Cost of Living Index])-MIN([1]!Cost_of_Living[Cost of Living Index]))</f>
        <v>0.80018248175182471</v>
      </c>
    </row>
    <row r="9" spans="1:4">
      <c r="A9" s="34" t="s">
        <v>180</v>
      </c>
      <c r="B9" s="34" t="s">
        <v>1229</v>
      </c>
      <c r="C9" s="35">
        <v>90.7</v>
      </c>
      <c r="D9" s="39">
        <f>1-([1]!Cost_of_Living[[#This Row],[Cost of Living Index]]-MIN([1]!Cost_of_Living[Cost of Living Index]))/(MAX([1]!Cost_of_Living[Cost of Living Index])-MIN([1]!Cost_of_Living[Cost of Living Index]))</f>
        <v>0.80200729927007297</v>
      </c>
    </row>
    <row r="10" spans="1:4">
      <c r="A10" s="34" t="s">
        <v>2364</v>
      </c>
      <c r="B10" s="34" t="s">
        <v>1229</v>
      </c>
      <c r="C10" s="35">
        <v>90.5</v>
      </c>
      <c r="D10" s="39">
        <f>1-([1]!Cost_of_Living[[#This Row],[Cost of Living Index]]-MIN([1]!Cost_of_Living[Cost of Living Index]))/(MAX([1]!Cost_of_Living[Cost of Living Index])-MIN([1]!Cost_of_Living[Cost of Living Index]))</f>
        <v>0.80383211678832112</v>
      </c>
    </row>
    <row r="11" spans="1:4">
      <c r="A11" s="34" t="s">
        <v>512</v>
      </c>
      <c r="B11" s="34" t="s">
        <v>1229</v>
      </c>
      <c r="C11" s="35">
        <v>88.6</v>
      </c>
      <c r="D11" s="39">
        <f>1-([1]!Cost_of_Living[[#This Row],[Cost of Living Index]]-MIN([1]!Cost_of_Living[Cost of Living Index]))/(MAX([1]!Cost_of_Living[Cost of Living Index])-MIN([1]!Cost_of_Living[Cost of Living Index]))</f>
        <v>0.82116788321167888</v>
      </c>
    </row>
    <row r="12" spans="1:4">
      <c r="A12" s="36" t="s">
        <v>574</v>
      </c>
      <c r="B12" s="36" t="s">
        <v>1229</v>
      </c>
      <c r="C12" s="37">
        <v>88.5</v>
      </c>
      <c r="D12" s="39">
        <f>1-([1]!Cost_of_Living[[#This Row],[Cost of Living Index]]-MIN([1]!Cost_of_Living[Cost of Living Index]))/(MAX([1]!Cost_of_Living[Cost of Living Index])-MIN([1]!Cost_of_Living[Cost of Living Index]))</f>
        <v>0.8220802919708029</v>
      </c>
    </row>
    <row r="13" spans="1:4">
      <c r="A13" s="36" t="s">
        <v>436</v>
      </c>
      <c r="B13" s="36" t="s">
        <v>1229</v>
      </c>
      <c r="C13" s="37">
        <v>88.3</v>
      </c>
      <c r="D13" s="39">
        <f>1-([1]!Cost_of_Living[[#This Row],[Cost of Living Index]]-MIN([1]!Cost_of_Living[Cost of Living Index]))/(MAX([1]!Cost_of_Living[Cost of Living Index])-MIN([1]!Cost_of_Living[Cost of Living Index]))</f>
        <v>0.82390510948905105</v>
      </c>
    </row>
    <row r="14" spans="1:4">
      <c r="A14" s="36" t="s">
        <v>690</v>
      </c>
      <c r="B14" s="36" t="s">
        <v>1229</v>
      </c>
      <c r="C14" s="37">
        <v>87.4</v>
      </c>
      <c r="D14" s="39">
        <f>1-([1]!Cost_of_Living[[#This Row],[Cost of Living Index]]-MIN([1]!Cost_of_Living[Cost of Living Index]))/(MAX([1]!Cost_of_Living[Cost of Living Index])-MIN([1]!Cost_of_Living[Cost of Living Index]))</f>
        <v>0.83211678832116776</v>
      </c>
    </row>
    <row r="15" spans="1:4">
      <c r="A15" s="36" t="s">
        <v>580</v>
      </c>
      <c r="B15" s="36" t="s">
        <v>1229</v>
      </c>
      <c r="C15" s="37">
        <v>86.8</v>
      </c>
      <c r="D15" s="39">
        <f>1-([1]!Cost_of_Living[[#This Row],[Cost of Living Index]]-MIN([1]!Cost_of_Living[Cost of Living Index]))/(MAX([1]!Cost_of_Living[Cost of Living Index])-MIN([1]!Cost_of_Living[Cost of Living Index]))</f>
        <v>0.83759124087591241</v>
      </c>
    </row>
    <row r="16" spans="1:4">
      <c r="A16" s="36" t="s">
        <v>2365</v>
      </c>
      <c r="B16" s="36" t="s">
        <v>1229</v>
      </c>
      <c r="C16" s="37">
        <v>86.3</v>
      </c>
      <c r="D16" s="39">
        <f>1-([1]!Cost_of_Living[[#This Row],[Cost of Living Index]]-MIN([1]!Cost_of_Living[Cost of Living Index]))/(MAX([1]!Cost_of_Living[Cost of Living Index])-MIN([1]!Cost_of_Living[Cost of Living Index]))</f>
        <v>0.84215328467153283</v>
      </c>
    </row>
    <row r="17" spans="1:4">
      <c r="A17" s="36" t="s">
        <v>2366</v>
      </c>
      <c r="B17" s="36" t="s">
        <v>1229</v>
      </c>
      <c r="C17" s="37">
        <v>86</v>
      </c>
      <c r="D17" s="39">
        <f>1-([1]!Cost_of_Living[[#This Row],[Cost of Living Index]]-MIN([1]!Cost_of_Living[Cost of Living Index]))/(MAX([1]!Cost_of_Living[Cost of Living Index])-MIN([1]!Cost_of_Living[Cost of Living Index]))</f>
        <v>0.8448905109489051</v>
      </c>
    </row>
    <row r="18" spans="1:4">
      <c r="A18" s="36" t="s">
        <v>2367</v>
      </c>
      <c r="B18" s="36" t="s">
        <v>1229</v>
      </c>
      <c r="C18" s="37">
        <v>85.7</v>
      </c>
      <c r="D18" s="39">
        <f>1-([1]!Cost_of_Living[[#This Row],[Cost of Living Index]]-MIN([1]!Cost_of_Living[Cost of Living Index]))/(MAX([1]!Cost_of_Living[Cost of Living Index])-MIN([1]!Cost_of_Living[Cost of Living Index]))</f>
        <v>0.84762773722627738</v>
      </c>
    </row>
    <row r="19" spans="1:4">
      <c r="A19" s="36" t="s">
        <v>189</v>
      </c>
      <c r="B19" s="36" t="s">
        <v>1352</v>
      </c>
      <c r="C19" s="37">
        <v>90.4</v>
      </c>
      <c r="D19" s="39">
        <f>1-([1]!Cost_of_Living[[#This Row],[Cost of Living Index]]-MIN([1]!Cost_of_Living[Cost of Living Index]))/(MAX([1]!Cost_of_Living[Cost of Living Index])-MIN([1]!Cost_of_Living[Cost of Living Index]))</f>
        <v>0.80474452554744524</v>
      </c>
    </row>
    <row r="20" spans="1:4">
      <c r="A20" s="36" t="s">
        <v>394</v>
      </c>
      <c r="B20" s="36" t="s">
        <v>1352</v>
      </c>
      <c r="C20" s="37">
        <v>88</v>
      </c>
      <c r="D20" s="39">
        <f>1-([1]!Cost_of_Living[[#This Row],[Cost of Living Index]]-MIN([1]!Cost_of_Living[Cost of Living Index]))/(MAX([1]!Cost_of_Living[Cost of Living Index])-MIN([1]!Cost_of_Living[Cost of Living Index]))</f>
        <v>0.82664233576642332</v>
      </c>
    </row>
    <row r="21" spans="1:4">
      <c r="A21" s="36" t="s">
        <v>2368</v>
      </c>
      <c r="B21" s="36" t="s">
        <v>1352</v>
      </c>
      <c r="C21" s="37">
        <v>87.3</v>
      </c>
      <c r="D21" s="39">
        <f>1-([1]!Cost_of_Living[[#This Row],[Cost of Living Index]]-MIN([1]!Cost_of_Living[Cost of Living Index]))/(MAX([1]!Cost_of_Living[Cost of Living Index])-MIN([1]!Cost_of_Living[Cost of Living Index]))</f>
        <v>0.83302919708029199</v>
      </c>
    </row>
    <row r="22" spans="1:4">
      <c r="A22" s="36" t="s">
        <v>605</v>
      </c>
      <c r="B22" s="36" t="s">
        <v>1352</v>
      </c>
      <c r="C22" s="37">
        <v>85.5</v>
      </c>
      <c r="D22" s="39">
        <f>1-([1]!Cost_of_Living[[#This Row],[Cost of Living Index]]-MIN([1]!Cost_of_Living[Cost of Living Index]))/(MAX([1]!Cost_of_Living[Cost of Living Index])-MIN([1]!Cost_of_Living[Cost of Living Index]))</f>
        <v>0.84945255474452552</v>
      </c>
    </row>
    <row r="23" spans="1:4">
      <c r="A23" s="36" t="s">
        <v>2369</v>
      </c>
      <c r="B23" s="36" t="s">
        <v>1352</v>
      </c>
      <c r="C23" s="37">
        <v>85.4</v>
      </c>
      <c r="D23" s="39">
        <f>1-([1]!Cost_of_Living[[#This Row],[Cost of Living Index]]-MIN([1]!Cost_of_Living[Cost of Living Index]))/(MAX([1]!Cost_of_Living[Cost of Living Index])-MIN([1]!Cost_of_Living[Cost of Living Index]))</f>
        <v>0.85036496350364954</v>
      </c>
    </row>
    <row r="24" spans="1:4">
      <c r="A24" s="36" t="s">
        <v>412</v>
      </c>
      <c r="B24" s="36" t="s">
        <v>1352</v>
      </c>
      <c r="C24" s="37">
        <v>85.2</v>
      </c>
      <c r="D24" s="39">
        <f>1-([1]!Cost_of_Living[[#This Row],[Cost of Living Index]]-MIN([1]!Cost_of_Living[Cost of Living Index]))/(MAX([1]!Cost_of_Living[Cost of Living Index])-MIN([1]!Cost_of_Living[Cost of Living Index]))</f>
        <v>0.8521897810218978</v>
      </c>
    </row>
    <row r="25" spans="1:4">
      <c r="A25" s="36" t="s">
        <v>692</v>
      </c>
      <c r="B25" s="36" t="s">
        <v>1352</v>
      </c>
      <c r="C25" s="37">
        <v>84.2</v>
      </c>
      <c r="D25" s="39">
        <f>1-([1]!Cost_of_Living[[#This Row],[Cost of Living Index]]-MIN([1]!Cost_of_Living[Cost of Living Index]))/(MAX([1]!Cost_of_Living[Cost of Living Index])-MIN([1]!Cost_of_Living[Cost of Living Index]))</f>
        <v>0.86131386861313863</v>
      </c>
    </row>
    <row r="26" spans="1:4">
      <c r="A26" s="36" t="s">
        <v>684</v>
      </c>
      <c r="B26" s="36" t="s">
        <v>1352</v>
      </c>
      <c r="C26" s="37">
        <v>82.3</v>
      </c>
      <c r="D26" s="39">
        <f>1-([1]!Cost_of_Living[[#This Row],[Cost of Living Index]]-MIN([1]!Cost_of_Living[Cost of Living Index]))/(MAX([1]!Cost_of_Living[Cost of Living Index])-MIN([1]!Cost_of_Living[Cost of Living Index]))</f>
        <v>0.8786496350364964</v>
      </c>
    </row>
    <row r="27" spans="1:4">
      <c r="A27" s="36" t="s">
        <v>797</v>
      </c>
      <c r="B27" s="36" t="s">
        <v>1199</v>
      </c>
      <c r="C27" s="37">
        <v>108.5</v>
      </c>
      <c r="D27" s="39">
        <f>1-([1]!Cost_of_Living[[#This Row],[Cost of Living Index]]-MIN([1]!Cost_of_Living[Cost of Living Index]))/(MAX([1]!Cost_of_Living[Cost of Living Index])-MIN([1]!Cost_of_Living[Cost of Living Index]))</f>
        <v>0.63959854014598538</v>
      </c>
    </row>
    <row r="28" spans="1:4">
      <c r="A28" s="36" t="s">
        <v>665</v>
      </c>
      <c r="B28" s="36" t="s">
        <v>1199</v>
      </c>
      <c r="C28" s="37">
        <v>104.6</v>
      </c>
      <c r="D28" s="39">
        <f>1-([1]!Cost_of_Living[[#This Row],[Cost of Living Index]]-MIN([1]!Cost_of_Living[Cost of Living Index]))/(MAX([1]!Cost_of_Living[Cost of Living Index])-MIN([1]!Cost_of_Living[Cost of Living Index]))</f>
        <v>0.67518248175182483</v>
      </c>
    </row>
    <row r="29" spans="1:4">
      <c r="A29" s="36" t="s">
        <v>235</v>
      </c>
      <c r="B29" s="36" t="s">
        <v>1199</v>
      </c>
      <c r="C29" s="37">
        <v>104.3</v>
      </c>
      <c r="D29" s="39">
        <f>1-([1]!Cost_of_Living[[#This Row],[Cost of Living Index]]-MIN([1]!Cost_of_Living[Cost of Living Index]))/(MAX([1]!Cost_of_Living[Cost of Living Index])-MIN([1]!Cost_of_Living[Cost of Living Index]))</f>
        <v>0.6779197080291971</v>
      </c>
    </row>
    <row r="30" spans="1:4">
      <c r="A30" s="36" t="s">
        <v>2370</v>
      </c>
      <c r="B30" s="36" t="s">
        <v>1199</v>
      </c>
      <c r="C30" s="37">
        <v>101.9</v>
      </c>
      <c r="D30" s="39">
        <f>1-([1]!Cost_of_Living[[#This Row],[Cost of Living Index]]-MIN([1]!Cost_of_Living[Cost of Living Index]))/(MAX([1]!Cost_of_Living[Cost of Living Index])-MIN([1]!Cost_of_Living[Cost of Living Index]))</f>
        <v>0.69981751824817517</v>
      </c>
    </row>
    <row r="31" spans="1:4">
      <c r="A31" s="36" t="s">
        <v>2371</v>
      </c>
      <c r="B31" s="36" t="s">
        <v>1199</v>
      </c>
      <c r="C31" s="37">
        <v>98.4</v>
      </c>
      <c r="D31" s="39">
        <f>1-([1]!Cost_of_Living[[#This Row],[Cost of Living Index]]-MIN([1]!Cost_of_Living[Cost of Living Index]))/(MAX([1]!Cost_of_Living[Cost of Living Index])-MIN([1]!Cost_of_Living[Cost of Living Index]))</f>
        <v>0.7317518248175181</v>
      </c>
    </row>
    <row r="32" spans="1:4">
      <c r="A32" s="36" t="s">
        <v>58</v>
      </c>
      <c r="B32" s="36" t="s">
        <v>1199</v>
      </c>
      <c r="C32" s="37">
        <v>97.7</v>
      </c>
      <c r="D32" s="39">
        <f>1-([1]!Cost_of_Living[[#This Row],[Cost of Living Index]]-MIN([1]!Cost_of_Living[Cost of Living Index]))/(MAX([1]!Cost_of_Living[Cost of Living Index])-MIN([1]!Cost_of_Living[Cost of Living Index]))</f>
        <v>0.73813868613138678</v>
      </c>
    </row>
    <row r="33" spans="1:4">
      <c r="A33" s="36" t="s">
        <v>2372</v>
      </c>
      <c r="B33" s="36" t="s">
        <v>1199</v>
      </c>
      <c r="C33" s="37">
        <v>94.5</v>
      </c>
      <c r="D33" s="39">
        <f>1-([1]!Cost_of_Living[[#This Row],[Cost of Living Index]]-MIN([1]!Cost_of_Living[Cost of Living Index]))/(MAX([1]!Cost_of_Living[Cost of Living Index])-MIN([1]!Cost_of_Living[Cost of Living Index]))</f>
        <v>0.76733576642335766</v>
      </c>
    </row>
    <row r="34" spans="1:4">
      <c r="A34" s="36" t="s">
        <v>2373</v>
      </c>
      <c r="B34" s="36" t="s">
        <v>1199</v>
      </c>
      <c r="C34" s="37">
        <v>93.2</v>
      </c>
      <c r="D34" s="39">
        <f>1-([1]!Cost_of_Living[[#This Row],[Cost of Living Index]]-MIN([1]!Cost_of_Living[Cost of Living Index]))/(MAX([1]!Cost_of_Living[Cost of Living Index])-MIN([1]!Cost_of_Living[Cost of Living Index]))</f>
        <v>0.77919708029197077</v>
      </c>
    </row>
    <row r="35" spans="1:4">
      <c r="A35" s="36" t="s">
        <v>198</v>
      </c>
      <c r="B35" s="36" t="s">
        <v>822</v>
      </c>
      <c r="C35" s="37">
        <v>178.6</v>
      </c>
      <c r="D35" s="39">
        <f>1-([1]!Cost_of_Living[[#This Row],[Cost of Living Index]]-MIN([1]!Cost_of_Living[Cost of Living Index]))/(MAX([1]!Cost_of_Living[Cost of Living Index])-MIN([1]!Cost_of_Living[Cost of Living Index]))</f>
        <v>0</v>
      </c>
    </row>
    <row r="36" spans="1:4">
      <c r="A36" s="36" t="s">
        <v>194</v>
      </c>
      <c r="B36" s="36" t="s">
        <v>822</v>
      </c>
      <c r="C36" s="37">
        <v>173.5</v>
      </c>
      <c r="D36" s="39">
        <f>1-([1]!Cost_of_Living[[#This Row],[Cost of Living Index]]-MIN([1]!Cost_of_Living[Cost of Living Index]))/(MAX([1]!Cost_of_Living[Cost of Living Index])-MIN([1]!Cost_of_Living[Cost of Living Index]))</f>
        <v>4.6532846715328424E-2</v>
      </c>
    </row>
    <row r="37" spans="1:4">
      <c r="A37" s="36" t="s">
        <v>772</v>
      </c>
      <c r="B37" s="36" t="s">
        <v>822</v>
      </c>
      <c r="C37" s="37">
        <v>163.9</v>
      </c>
      <c r="D37" s="39">
        <f>1-([1]!Cost_of_Living[[#This Row],[Cost of Living Index]]-MIN([1]!Cost_of_Living[Cost of Living Index]))/(MAX([1]!Cost_of_Living[Cost of Living Index])-MIN([1]!Cost_of_Living[Cost of Living Index]))</f>
        <v>0.13412408759124073</v>
      </c>
    </row>
    <row r="38" spans="1:4">
      <c r="A38" s="36" t="s">
        <v>2374</v>
      </c>
      <c r="B38" s="36" t="s">
        <v>822</v>
      </c>
      <c r="C38" s="37">
        <v>149.6</v>
      </c>
      <c r="D38" s="39">
        <f>1-([1]!Cost_of_Living[[#This Row],[Cost of Living Index]]-MIN([1]!Cost_of_Living[Cost of Living Index]))/(MAX([1]!Cost_of_Living[Cost of Living Index])-MIN([1]!Cost_of_Living[Cost of Living Index]))</f>
        <v>0.26459854014598538</v>
      </c>
    </row>
    <row r="39" spans="1:4">
      <c r="A39" s="36" t="s">
        <v>2375</v>
      </c>
      <c r="B39" s="36" t="s">
        <v>822</v>
      </c>
      <c r="C39" s="37">
        <v>143</v>
      </c>
      <c r="D39" s="39">
        <f>1-([1]!Cost_of_Living[[#This Row],[Cost of Living Index]]-MIN([1]!Cost_of_Living[Cost of Living Index]))/(MAX([1]!Cost_of_Living[Cost of Living Index])-MIN([1]!Cost_of_Living[Cost of Living Index]))</f>
        <v>0.32481751824817517</v>
      </c>
    </row>
    <row r="40" spans="1:4">
      <c r="A40" s="36" t="s">
        <v>2376</v>
      </c>
      <c r="B40" s="36" t="s">
        <v>822</v>
      </c>
      <c r="C40" s="37">
        <v>141.69999999999999</v>
      </c>
      <c r="D40" s="39">
        <f>1-([1]!Cost_of_Living[[#This Row],[Cost of Living Index]]-MIN([1]!Cost_of_Living[Cost of Living Index]))/(MAX([1]!Cost_of_Living[Cost of Living Index])-MIN([1]!Cost_of_Living[Cost of Living Index]))</f>
        <v>0.3366788321167884</v>
      </c>
    </row>
    <row r="41" spans="1:4">
      <c r="A41" s="36" t="s">
        <v>41</v>
      </c>
      <c r="B41" s="36" t="s">
        <v>822</v>
      </c>
      <c r="C41" s="37">
        <v>140.6</v>
      </c>
      <c r="D41" s="39">
        <f>1-([1]!Cost_of_Living[[#This Row],[Cost of Living Index]]-MIN([1]!Cost_of_Living[Cost of Living Index]))/(MAX([1]!Cost_of_Living[Cost of Living Index])-MIN([1]!Cost_of_Living[Cost of Living Index]))</f>
        <v>0.34671532846715325</v>
      </c>
    </row>
    <row r="42" spans="1:4">
      <c r="A42" s="36" t="s">
        <v>2377</v>
      </c>
      <c r="B42" s="36" t="s">
        <v>822</v>
      </c>
      <c r="C42" s="37">
        <v>138.30000000000001</v>
      </c>
      <c r="D42" s="39">
        <f>1-([1]!Cost_of_Living[[#This Row],[Cost of Living Index]]-MIN([1]!Cost_of_Living[Cost of Living Index]))/(MAX([1]!Cost_of_Living[Cost of Living Index])-MIN([1]!Cost_of_Living[Cost of Living Index]))</f>
        <v>0.3677007299270072</v>
      </c>
    </row>
    <row r="43" spans="1:4">
      <c r="A43" s="36" t="s">
        <v>284</v>
      </c>
      <c r="B43" s="36" t="s">
        <v>822</v>
      </c>
      <c r="C43" s="37">
        <v>136.19999999999999</v>
      </c>
      <c r="D43" s="39">
        <f>1-([1]!Cost_of_Living[[#This Row],[Cost of Living Index]]-MIN([1]!Cost_of_Living[Cost of Living Index]))/(MAX([1]!Cost_of_Living[Cost of Living Index])-MIN([1]!Cost_of_Living[Cost of Living Index]))</f>
        <v>0.38686131386861322</v>
      </c>
    </row>
    <row r="44" spans="1:4">
      <c r="A44" s="36" t="s">
        <v>218</v>
      </c>
      <c r="B44" s="36" t="s">
        <v>822</v>
      </c>
      <c r="C44" s="37">
        <v>136.1</v>
      </c>
      <c r="D44" s="39">
        <f>1-([1]!Cost_of_Living[[#This Row],[Cost of Living Index]]-MIN([1]!Cost_of_Living[Cost of Living Index]))/(MAX([1]!Cost_of_Living[Cost of Living Index])-MIN([1]!Cost_of_Living[Cost of Living Index]))</f>
        <v>0.38777372262773724</v>
      </c>
    </row>
    <row r="45" spans="1:4">
      <c r="A45" s="36" t="s">
        <v>2378</v>
      </c>
      <c r="B45" s="36" t="s">
        <v>822</v>
      </c>
      <c r="C45" s="37">
        <v>132.80000000000001</v>
      </c>
      <c r="D45" s="39">
        <f>1-([1]!Cost_of_Living[[#This Row],[Cost of Living Index]]-MIN([1]!Cost_of_Living[Cost of Living Index]))/(MAX([1]!Cost_of_Living[Cost of Living Index])-MIN([1]!Cost_of_Living[Cost of Living Index]))</f>
        <v>0.41788321167883202</v>
      </c>
    </row>
    <row r="46" spans="1:4">
      <c r="A46" s="36" t="s">
        <v>2379</v>
      </c>
      <c r="B46" s="36" t="s">
        <v>822</v>
      </c>
      <c r="C46" s="37">
        <v>132.19999999999999</v>
      </c>
      <c r="D46" s="39">
        <f>1-([1]!Cost_of_Living[[#This Row],[Cost of Living Index]]-MIN([1]!Cost_of_Living[Cost of Living Index]))/(MAX([1]!Cost_of_Living[Cost of Living Index])-MIN([1]!Cost_of_Living[Cost of Living Index]))</f>
        <v>0.42335766423357668</v>
      </c>
    </row>
    <row r="47" spans="1:4">
      <c r="A47" s="36" t="s">
        <v>733</v>
      </c>
      <c r="B47" s="36" t="s">
        <v>822</v>
      </c>
      <c r="C47" s="37">
        <v>128</v>
      </c>
      <c r="D47" s="39">
        <f>1-([1]!Cost_of_Living[[#This Row],[Cost of Living Index]]-MIN([1]!Cost_of_Living[Cost of Living Index]))/(MAX([1]!Cost_of_Living[Cost of Living Index])-MIN([1]!Cost_of_Living[Cost of Living Index]))</f>
        <v>0.46167883211678828</v>
      </c>
    </row>
    <row r="48" spans="1:4">
      <c r="A48" s="36" t="s">
        <v>654</v>
      </c>
      <c r="B48" s="36" t="s">
        <v>822</v>
      </c>
      <c r="C48" s="37">
        <v>125.2</v>
      </c>
      <c r="D48" s="39">
        <f>1-([1]!Cost_of_Living[[#This Row],[Cost of Living Index]]-MIN([1]!Cost_of_Living[Cost of Living Index]))/(MAX([1]!Cost_of_Living[Cost of Living Index])-MIN([1]!Cost_of_Living[Cost of Living Index]))</f>
        <v>0.48722627737226276</v>
      </c>
    </row>
    <row r="49" spans="1:4">
      <c r="A49" s="36" t="s">
        <v>298</v>
      </c>
      <c r="B49" s="36" t="s">
        <v>822</v>
      </c>
      <c r="C49" s="37">
        <v>120.3</v>
      </c>
      <c r="D49" s="39">
        <f>1-([1]!Cost_of_Living[[#This Row],[Cost of Living Index]]-MIN([1]!Cost_of_Living[Cost of Living Index]))/(MAX([1]!Cost_of_Living[Cost of Living Index])-MIN([1]!Cost_of_Living[Cost of Living Index]))</f>
        <v>0.53193430656934304</v>
      </c>
    </row>
    <row r="50" spans="1:4">
      <c r="A50" s="36" t="s">
        <v>2380</v>
      </c>
      <c r="B50" s="36" t="s">
        <v>822</v>
      </c>
      <c r="C50" s="37">
        <v>116.5</v>
      </c>
      <c r="D50" s="39">
        <f>1-([1]!Cost_of_Living[[#This Row],[Cost of Living Index]]-MIN([1]!Cost_of_Living[Cost of Living Index]))/(MAX([1]!Cost_of_Living[Cost of Living Index])-MIN([1]!Cost_of_Living[Cost of Living Index]))</f>
        <v>0.56660583941605835</v>
      </c>
    </row>
    <row r="51" spans="1:4">
      <c r="A51" s="36" t="s">
        <v>631</v>
      </c>
      <c r="B51" s="36" t="s">
        <v>822</v>
      </c>
      <c r="C51" s="37">
        <v>116.1</v>
      </c>
      <c r="D51" s="39">
        <f>1-([1]!Cost_of_Living[[#This Row],[Cost of Living Index]]-MIN([1]!Cost_of_Living[Cost of Living Index]))/(MAX([1]!Cost_of_Living[Cost of Living Index])-MIN([1]!Cost_of_Living[Cost of Living Index]))</f>
        <v>0.57025547445255476</v>
      </c>
    </row>
    <row r="52" spans="1:4">
      <c r="A52" s="36" t="s">
        <v>727</v>
      </c>
      <c r="B52" s="36" t="s">
        <v>822</v>
      </c>
      <c r="C52" s="37">
        <v>113.6</v>
      </c>
      <c r="D52" s="39">
        <f>1-([1]!Cost_of_Living[[#This Row],[Cost of Living Index]]-MIN([1]!Cost_of_Living[Cost of Living Index]))/(MAX([1]!Cost_of_Living[Cost of Living Index])-MIN([1]!Cost_of_Living[Cost of Living Index]))</f>
        <v>0.59306569343065696</v>
      </c>
    </row>
    <row r="53" spans="1:4">
      <c r="A53" s="36" t="s">
        <v>2381</v>
      </c>
      <c r="B53" s="36" t="s">
        <v>822</v>
      </c>
      <c r="C53" s="37">
        <v>112.3</v>
      </c>
      <c r="D53" s="39">
        <f>1-([1]!Cost_of_Living[[#This Row],[Cost of Living Index]]-MIN([1]!Cost_of_Living[Cost of Living Index]))/(MAX([1]!Cost_of_Living[Cost of Living Index])-MIN([1]!Cost_of_Living[Cost of Living Index]))</f>
        <v>0.60492700729927007</v>
      </c>
    </row>
    <row r="54" spans="1:4">
      <c r="A54" s="36" t="s">
        <v>265</v>
      </c>
      <c r="B54" s="36" t="s">
        <v>822</v>
      </c>
      <c r="C54" s="37">
        <v>110.5</v>
      </c>
      <c r="D54" s="39">
        <f>1-([1]!Cost_of_Living[[#This Row],[Cost of Living Index]]-MIN([1]!Cost_of_Living[Cost of Living Index]))/(MAX([1]!Cost_of_Living[Cost of Living Index])-MIN([1]!Cost_of_Living[Cost of Living Index]))</f>
        <v>0.62135036496350371</v>
      </c>
    </row>
    <row r="55" spans="1:4">
      <c r="A55" s="36" t="s">
        <v>2382</v>
      </c>
      <c r="B55" s="36" t="s">
        <v>822</v>
      </c>
      <c r="C55" s="37">
        <v>108.9</v>
      </c>
      <c r="D55" s="39">
        <f>1-([1]!Cost_of_Living[[#This Row],[Cost of Living Index]]-MIN([1]!Cost_of_Living[Cost of Living Index]))/(MAX([1]!Cost_of_Living[Cost of Living Index])-MIN([1]!Cost_of_Living[Cost of Living Index]))</f>
        <v>0.63594890510948898</v>
      </c>
    </row>
    <row r="56" spans="1:4">
      <c r="A56" s="36" t="s">
        <v>2383</v>
      </c>
      <c r="B56" s="36" t="s">
        <v>822</v>
      </c>
      <c r="C56" s="37">
        <v>108.8</v>
      </c>
      <c r="D56" s="39">
        <f>1-([1]!Cost_of_Living[[#This Row],[Cost of Living Index]]-MIN([1]!Cost_of_Living[Cost of Living Index]))/(MAX([1]!Cost_of_Living[Cost of Living Index])-MIN([1]!Cost_of_Living[Cost of Living Index]))</f>
        <v>0.63686131386861322</v>
      </c>
    </row>
    <row r="57" spans="1:4">
      <c r="A57" s="36" t="s">
        <v>720</v>
      </c>
      <c r="B57" s="36" t="s">
        <v>822</v>
      </c>
      <c r="C57" s="37">
        <v>108.7</v>
      </c>
      <c r="D57" s="39">
        <f>1-([1]!Cost_of_Living[[#This Row],[Cost of Living Index]]-MIN([1]!Cost_of_Living[Cost of Living Index]))/(MAX([1]!Cost_of_Living[Cost of Living Index])-MIN([1]!Cost_of_Living[Cost of Living Index]))</f>
        <v>0.63777372262773713</v>
      </c>
    </row>
    <row r="58" spans="1:4">
      <c r="A58" s="36" t="s">
        <v>2384</v>
      </c>
      <c r="B58" s="36" t="s">
        <v>822</v>
      </c>
      <c r="C58" s="37">
        <v>108.7</v>
      </c>
      <c r="D58" s="39">
        <f>1-([1]!Cost_of_Living[[#This Row],[Cost of Living Index]]-MIN([1]!Cost_of_Living[Cost of Living Index]))/(MAX([1]!Cost_of_Living[Cost of Living Index])-MIN([1]!Cost_of_Living[Cost of Living Index]))</f>
        <v>0.63777372262773713</v>
      </c>
    </row>
    <row r="59" spans="1:4">
      <c r="A59" s="36" t="s">
        <v>805</v>
      </c>
      <c r="B59" s="36" t="s">
        <v>822</v>
      </c>
      <c r="C59" s="37">
        <v>108.2</v>
      </c>
      <c r="D59" s="39">
        <f>1-([1]!Cost_of_Living[[#This Row],[Cost of Living Index]]-MIN([1]!Cost_of_Living[Cost of Living Index]))/(MAX([1]!Cost_of_Living[Cost of Living Index])-MIN([1]!Cost_of_Living[Cost of Living Index]))</f>
        <v>0.64233576642335755</v>
      </c>
    </row>
    <row r="60" spans="1:4">
      <c r="A60" s="36" t="s">
        <v>336</v>
      </c>
      <c r="B60" s="36" t="s">
        <v>822</v>
      </c>
      <c r="C60" s="37">
        <v>105.9</v>
      </c>
      <c r="D60" s="39">
        <f>1-([1]!Cost_of_Living[[#This Row],[Cost of Living Index]]-MIN([1]!Cost_of_Living[Cost of Living Index]))/(MAX([1]!Cost_of_Living[Cost of Living Index])-MIN([1]!Cost_of_Living[Cost of Living Index]))</f>
        <v>0.6633211678832116</v>
      </c>
    </row>
    <row r="61" spans="1:4">
      <c r="A61" s="36" t="s">
        <v>2385</v>
      </c>
      <c r="B61" s="36" t="s">
        <v>822</v>
      </c>
      <c r="C61" s="37">
        <v>105.4</v>
      </c>
      <c r="D61" s="39">
        <f>1-([1]!Cost_of_Living[[#This Row],[Cost of Living Index]]-MIN([1]!Cost_of_Living[Cost of Living Index]))/(MAX([1]!Cost_of_Living[Cost of Living Index])-MIN([1]!Cost_of_Living[Cost of Living Index]))</f>
        <v>0.66788321167883202</v>
      </c>
    </row>
    <row r="62" spans="1:4">
      <c r="A62" s="34" t="s">
        <v>2386</v>
      </c>
      <c r="B62" s="34" t="s">
        <v>822</v>
      </c>
      <c r="C62" s="35">
        <v>103.6</v>
      </c>
      <c r="D62" s="39">
        <f>1-([1]!Cost_of_Living[[#This Row],[Cost of Living Index]]-MIN([1]!Cost_of_Living[Cost of Living Index]))/(MAX([1]!Cost_of_Living[Cost of Living Index])-MIN([1]!Cost_of_Living[Cost of Living Index]))</f>
        <v>0.68430656934306566</v>
      </c>
    </row>
    <row r="63" spans="1:4">
      <c r="A63" s="34" t="s">
        <v>525</v>
      </c>
      <c r="B63" s="34" t="s">
        <v>822</v>
      </c>
      <c r="C63" s="35">
        <v>102.9</v>
      </c>
      <c r="D63" s="39">
        <f>1-([1]!Cost_of_Living[[#This Row],[Cost of Living Index]]-MIN([1]!Cost_of_Living[Cost of Living Index]))/(MAX([1]!Cost_of_Living[Cost of Living Index])-MIN([1]!Cost_of_Living[Cost of Living Index]))</f>
        <v>0.69069343065693423</v>
      </c>
    </row>
    <row r="64" spans="1:4">
      <c r="A64" s="34" t="s">
        <v>2387</v>
      </c>
      <c r="B64" s="34" t="s">
        <v>822</v>
      </c>
      <c r="C64" s="35">
        <v>102.3</v>
      </c>
      <c r="D64" s="39">
        <f>1-([1]!Cost_of_Living[[#This Row],[Cost of Living Index]]-MIN([1]!Cost_of_Living[Cost of Living Index]))/(MAX([1]!Cost_of_Living[Cost of Living Index])-MIN([1]!Cost_of_Living[Cost of Living Index]))</f>
        <v>0.69616788321167888</v>
      </c>
    </row>
    <row r="65" spans="1:4">
      <c r="A65" s="34" t="s">
        <v>2388</v>
      </c>
      <c r="B65" s="34" t="s">
        <v>1183</v>
      </c>
      <c r="C65" s="35">
        <v>127.8</v>
      </c>
      <c r="D65" s="39">
        <f>1-([1]!Cost_of_Living[[#This Row],[Cost of Living Index]]-MIN([1]!Cost_of_Living[Cost of Living Index]))/(MAX([1]!Cost_of_Living[Cost of Living Index])-MIN([1]!Cost_of_Living[Cost of Living Index]))</f>
        <v>0.46350364963503654</v>
      </c>
    </row>
    <row r="66" spans="1:4">
      <c r="A66" s="34" t="s">
        <v>54</v>
      </c>
      <c r="B66" s="34" t="s">
        <v>1183</v>
      </c>
      <c r="C66" s="35">
        <v>118.7</v>
      </c>
      <c r="D66" s="39">
        <f>1-([1]!Cost_of_Living[[#This Row],[Cost of Living Index]]-MIN([1]!Cost_of_Living[Cost of Living Index]))/(MAX([1]!Cost_of_Living[Cost of Living Index])-MIN([1]!Cost_of_Living[Cost of Living Index]))</f>
        <v>0.54653284671532842</v>
      </c>
    </row>
    <row r="67" spans="1:4">
      <c r="A67" s="34" t="s">
        <v>210</v>
      </c>
      <c r="B67" s="34" t="s">
        <v>1183</v>
      </c>
      <c r="C67" s="35">
        <v>112.1</v>
      </c>
      <c r="D67" s="39">
        <f>1-([1]!Cost_of_Living[[#This Row],[Cost of Living Index]]-MIN([1]!Cost_of_Living[Cost of Living Index]))/(MAX([1]!Cost_of_Living[Cost of Living Index])-MIN([1]!Cost_of_Living[Cost of Living Index]))</f>
        <v>0.60675182481751833</v>
      </c>
    </row>
    <row r="68" spans="1:4">
      <c r="A68" s="34" t="s">
        <v>98</v>
      </c>
      <c r="B68" s="34" t="s">
        <v>1183</v>
      </c>
      <c r="C68" s="35">
        <v>109.2</v>
      </c>
      <c r="D68" s="39">
        <f>1-([1]!Cost_of_Living[[#This Row],[Cost of Living Index]]-MIN([1]!Cost_of_Living[Cost of Living Index]))/(MAX([1]!Cost_of_Living[Cost of Living Index])-MIN([1]!Cost_of_Living[Cost of Living Index]))</f>
        <v>0.63321167883211671</v>
      </c>
    </row>
    <row r="69" spans="1:4">
      <c r="A69" s="34" t="s">
        <v>398</v>
      </c>
      <c r="B69" s="34" t="s">
        <v>1183</v>
      </c>
      <c r="C69" s="35">
        <v>106.1</v>
      </c>
      <c r="D69" s="39">
        <f>1-([1]!Cost_of_Living[[#This Row],[Cost of Living Index]]-MIN([1]!Cost_of_Living[Cost of Living Index]))/(MAX([1]!Cost_of_Living[Cost of Living Index])-MIN([1]!Cost_of_Living[Cost of Living Index]))</f>
        <v>0.66149635036496357</v>
      </c>
    </row>
    <row r="70" spans="1:4">
      <c r="A70" s="34" t="s">
        <v>383</v>
      </c>
      <c r="B70" s="34" t="s">
        <v>1183</v>
      </c>
      <c r="C70" s="35">
        <v>102.2</v>
      </c>
      <c r="D70" s="39">
        <f>1-([1]!Cost_of_Living[[#This Row],[Cost of Living Index]]-MIN([1]!Cost_of_Living[Cost of Living Index]))/(MAX([1]!Cost_of_Living[Cost of Living Index])-MIN([1]!Cost_of_Living[Cost of Living Index]))</f>
        <v>0.6970802919708029</v>
      </c>
    </row>
    <row r="71" spans="1:4">
      <c r="A71" s="34" t="s">
        <v>582</v>
      </c>
      <c r="B71" s="34" t="s">
        <v>1183</v>
      </c>
      <c r="C71" s="35">
        <v>98.1</v>
      </c>
      <c r="D71" s="39">
        <f>1-([1]!Cost_of_Living[[#This Row],[Cost of Living Index]]-MIN([1]!Cost_of_Living[Cost of Living Index]))/(MAX([1]!Cost_of_Living[Cost of Living Index])-MIN([1]!Cost_of_Living[Cost of Living Index]))</f>
        <v>0.73448905109489049</v>
      </c>
    </row>
    <row r="72" spans="1:4">
      <c r="A72" s="36" t="s">
        <v>2389</v>
      </c>
      <c r="B72" s="36" t="s">
        <v>1183</v>
      </c>
      <c r="C72" s="37">
        <v>92.2</v>
      </c>
      <c r="D72" s="39">
        <f>1-([1]!Cost_of_Living[[#This Row],[Cost of Living Index]]-MIN([1]!Cost_of_Living[Cost of Living Index]))/(MAX([1]!Cost_of_Living[Cost of Living Index])-MIN([1]!Cost_of_Living[Cost of Living Index]))</f>
        <v>0.7883211678832116</v>
      </c>
    </row>
    <row r="73" spans="1:4">
      <c r="A73" s="36" t="s">
        <v>2390</v>
      </c>
      <c r="B73" s="36" t="s">
        <v>831</v>
      </c>
      <c r="C73" s="37">
        <v>119.2</v>
      </c>
      <c r="D73" s="39">
        <f>1-([1]!Cost_of_Living[[#This Row],[Cost of Living Index]]-MIN([1]!Cost_of_Living[Cost of Living Index]))/(MAX([1]!Cost_of_Living[Cost of Living Index])-MIN([1]!Cost_of_Living[Cost of Living Index]))</f>
        <v>0.54197080291970801</v>
      </c>
    </row>
    <row r="74" spans="1:4">
      <c r="A74" s="36" t="s">
        <v>17</v>
      </c>
      <c r="B74" s="36" t="s">
        <v>831</v>
      </c>
      <c r="C74" s="37">
        <v>107.7</v>
      </c>
      <c r="D74" s="39">
        <f>1-([1]!Cost_of_Living[[#This Row],[Cost of Living Index]]-MIN([1]!Cost_of_Living[Cost of Living Index]))/(MAX([1]!Cost_of_Living[Cost of Living Index])-MIN([1]!Cost_of_Living[Cost of Living Index]))</f>
        <v>0.64689781021897808</v>
      </c>
    </row>
    <row r="75" spans="1:4">
      <c r="A75" s="36" t="s">
        <v>432</v>
      </c>
      <c r="B75" s="36" t="s">
        <v>831</v>
      </c>
      <c r="C75" s="37">
        <v>105.9</v>
      </c>
      <c r="D75" s="39">
        <f>1-([1]!Cost_of_Living[[#This Row],[Cost of Living Index]]-MIN([1]!Cost_of_Living[Cost of Living Index]))/(MAX([1]!Cost_of_Living[Cost of Living Index])-MIN([1]!Cost_of_Living[Cost of Living Index]))</f>
        <v>0.6633211678832116</v>
      </c>
    </row>
    <row r="76" spans="1:4">
      <c r="A76" s="36" t="s">
        <v>2391</v>
      </c>
      <c r="B76" s="36" t="s">
        <v>831</v>
      </c>
      <c r="C76" s="37">
        <v>105.2</v>
      </c>
      <c r="D76" s="39">
        <f>1-([1]!Cost_of_Living[[#This Row],[Cost of Living Index]]-MIN([1]!Cost_of_Living[Cost of Living Index]))/(MAX([1]!Cost_of_Living[Cost of Living Index])-MIN([1]!Cost_of_Living[Cost of Living Index]))</f>
        <v>0.66970802919708028</v>
      </c>
    </row>
    <row r="77" spans="1:4">
      <c r="A77" s="36" t="s">
        <v>387</v>
      </c>
      <c r="B77" s="36" t="s">
        <v>831</v>
      </c>
      <c r="C77" s="37">
        <v>104.8</v>
      </c>
      <c r="D77" s="39">
        <f>1-([1]!Cost_of_Living[[#This Row],[Cost of Living Index]]-MIN([1]!Cost_of_Living[Cost of Living Index]))/(MAX([1]!Cost_of_Living[Cost of Living Index])-MIN([1]!Cost_of_Living[Cost of Living Index]))</f>
        <v>0.67335766423357657</v>
      </c>
    </row>
    <row r="78" spans="1:4">
      <c r="A78" s="36" t="s">
        <v>71</v>
      </c>
      <c r="B78" s="36" t="s">
        <v>934</v>
      </c>
      <c r="C78" s="37">
        <v>120.1</v>
      </c>
      <c r="D78" s="39">
        <f>1-([1]!Cost_of_Living[[#This Row],[Cost of Living Index]]-MIN([1]!Cost_of_Living[Cost of Living Index]))/(MAX([1]!Cost_of_Living[Cost of Living Index])-MIN([1]!Cost_of_Living[Cost of Living Index]))</f>
        <v>0.53375912408759119</v>
      </c>
    </row>
    <row r="79" spans="1:4">
      <c r="A79" s="36" t="s">
        <v>550</v>
      </c>
      <c r="B79" s="36" t="s">
        <v>1263</v>
      </c>
      <c r="C79" s="37">
        <v>101.3</v>
      </c>
      <c r="D79" s="39">
        <f>1-([1]!Cost_of_Living[[#This Row],[Cost of Living Index]]-MIN([1]!Cost_of_Living[Cost of Living Index]))/(MAX([1]!Cost_of_Living[Cost of Living Index])-MIN([1]!Cost_of_Living[Cost of Living Index]))</f>
        <v>0.70529197080291972</v>
      </c>
    </row>
    <row r="80" spans="1:4">
      <c r="A80" s="36" t="s">
        <v>2392</v>
      </c>
      <c r="B80" s="36" t="s">
        <v>910</v>
      </c>
      <c r="C80" s="37">
        <v>140</v>
      </c>
      <c r="D80" s="39">
        <f>1-([1]!Cost_of_Living[[#This Row],[Cost of Living Index]]-MIN([1]!Cost_of_Living[Cost of Living Index]))/(MAX([1]!Cost_of_Living[Cost of Living Index])-MIN([1]!Cost_of_Living[Cost of Living Index]))</f>
        <v>0.3521897810218978</v>
      </c>
    </row>
    <row r="81" spans="1:4">
      <c r="A81" s="36" t="s">
        <v>147</v>
      </c>
      <c r="B81" s="36" t="s">
        <v>910</v>
      </c>
      <c r="C81" s="37">
        <v>110.1</v>
      </c>
      <c r="D81" s="39">
        <f>1-([1]!Cost_of_Living[[#This Row],[Cost of Living Index]]-MIN([1]!Cost_of_Living[Cost of Living Index]))/(MAX([1]!Cost_of_Living[Cost of Living Index])-MIN([1]!Cost_of_Living[Cost of Living Index]))</f>
        <v>0.625</v>
      </c>
    </row>
    <row r="82" spans="1:4">
      <c r="A82" s="36" t="s">
        <v>2393</v>
      </c>
      <c r="B82" s="36" t="s">
        <v>910</v>
      </c>
      <c r="C82" s="37">
        <v>109.4</v>
      </c>
      <c r="D82" s="39">
        <f>1-([1]!Cost_of_Living[[#This Row],[Cost of Living Index]]-MIN([1]!Cost_of_Living[Cost of Living Index]))/(MAX([1]!Cost_of_Living[Cost of Living Index])-MIN([1]!Cost_of_Living[Cost of Living Index]))</f>
        <v>0.63138686131386856</v>
      </c>
    </row>
    <row r="83" spans="1:4">
      <c r="A83" s="36" t="s">
        <v>2394</v>
      </c>
      <c r="B83" s="36" t="s">
        <v>910</v>
      </c>
      <c r="C83" s="37">
        <v>104.7</v>
      </c>
      <c r="D83" s="39">
        <f>1-([1]!Cost_of_Living[[#This Row],[Cost of Living Index]]-MIN([1]!Cost_of_Living[Cost of Living Index]))/(MAX([1]!Cost_of_Living[Cost of Living Index])-MIN([1]!Cost_of_Living[Cost of Living Index]))</f>
        <v>0.6742700729927007</v>
      </c>
    </row>
    <row r="84" spans="1:4">
      <c r="A84" s="36" t="s">
        <v>617</v>
      </c>
      <c r="B84" s="36" t="s">
        <v>910</v>
      </c>
      <c r="C84" s="37">
        <v>104.4</v>
      </c>
      <c r="D84" s="39">
        <f>1-([1]!Cost_of_Living[[#This Row],[Cost of Living Index]]-MIN([1]!Cost_of_Living[Cost of Living Index]))/(MAX([1]!Cost_of_Living[Cost of Living Index])-MIN([1]!Cost_of_Living[Cost of Living Index]))</f>
        <v>0.67700729927007286</v>
      </c>
    </row>
    <row r="85" spans="1:4">
      <c r="A85" s="36" t="s">
        <v>695</v>
      </c>
      <c r="B85" s="36" t="s">
        <v>910</v>
      </c>
      <c r="C85" s="37">
        <v>101.9</v>
      </c>
      <c r="D85" s="39">
        <f>1-([1]!Cost_of_Living[[#This Row],[Cost of Living Index]]-MIN([1]!Cost_of_Living[Cost of Living Index]))/(MAX([1]!Cost_of_Living[Cost of Living Index])-MIN([1]!Cost_of_Living[Cost of Living Index]))</f>
        <v>0.69981751824817517</v>
      </c>
    </row>
    <row r="86" spans="1:4">
      <c r="A86" s="36" t="s">
        <v>409</v>
      </c>
      <c r="B86" s="36" t="s">
        <v>910</v>
      </c>
      <c r="C86" s="37">
        <v>101.5</v>
      </c>
      <c r="D86" s="39">
        <f>1-([1]!Cost_of_Living[[#This Row],[Cost of Living Index]]-MIN([1]!Cost_of_Living[Cost of Living Index]))/(MAX([1]!Cost_of_Living[Cost of Living Index])-MIN([1]!Cost_of_Living[Cost of Living Index]))</f>
        <v>0.70346715328467146</v>
      </c>
    </row>
    <row r="87" spans="1:4">
      <c r="A87" s="36" t="s">
        <v>433</v>
      </c>
      <c r="B87" s="36" t="s">
        <v>910</v>
      </c>
      <c r="C87" s="37">
        <v>101.4</v>
      </c>
      <c r="D87" s="39">
        <f>1-([1]!Cost_of_Living[[#This Row],[Cost of Living Index]]-MIN([1]!Cost_of_Living[Cost of Living Index]))/(MAX([1]!Cost_of_Living[Cost of Living Index])-MIN([1]!Cost_of_Living[Cost of Living Index]))</f>
        <v>0.70437956204379559</v>
      </c>
    </row>
    <row r="88" spans="1:4">
      <c r="A88" s="36" t="s">
        <v>527</v>
      </c>
      <c r="B88" s="36" t="s">
        <v>910</v>
      </c>
      <c r="C88" s="37">
        <v>101.4</v>
      </c>
      <c r="D88" s="39">
        <f>1-([1]!Cost_of_Living[[#This Row],[Cost of Living Index]]-MIN([1]!Cost_of_Living[Cost of Living Index]))/(MAX([1]!Cost_of_Living[Cost of Living Index])-MIN([1]!Cost_of_Living[Cost of Living Index]))</f>
        <v>0.70437956204379559</v>
      </c>
    </row>
    <row r="89" spans="1:4">
      <c r="A89" s="36" t="s">
        <v>2395</v>
      </c>
      <c r="B89" s="36" t="s">
        <v>910</v>
      </c>
      <c r="C89" s="37">
        <v>101.1</v>
      </c>
      <c r="D89" s="39">
        <f>1-([1]!Cost_of_Living[[#This Row],[Cost of Living Index]]-MIN([1]!Cost_of_Living[Cost of Living Index]))/(MAX([1]!Cost_of_Living[Cost of Living Index])-MIN([1]!Cost_of_Living[Cost of Living Index]))</f>
        <v>0.70711678832116798</v>
      </c>
    </row>
    <row r="90" spans="1:4">
      <c r="A90" s="36" t="s">
        <v>2396</v>
      </c>
      <c r="B90" s="36" t="s">
        <v>910</v>
      </c>
      <c r="C90" s="37">
        <v>100.7</v>
      </c>
      <c r="D90" s="39">
        <f>1-([1]!Cost_of_Living[[#This Row],[Cost of Living Index]]-MIN([1]!Cost_of_Living[Cost of Living Index]))/(MAX([1]!Cost_of_Living[Cost of Living Index])-MIN([1]!Cost_of_Living[Cost of Living Index]))</f>
        <v>0.71076642335766427</v>
      </c>
    </row>
    <row r="91" spans="1:4">
      <c r="A91" s="36" t="s">
        <v>2397</v>
      </c>
      <c r="B91" s="36" t="s">
        <v>910</v>
      </c>
      <c r="C91" s="37">
        <v>100.3</v>
      </c>
      <c r="D91" s="39">
        <f>1-([1]!Cost_of_Living[[#This Row],[Cost of Living Index]]-MIN([1]!Cost_of_Living[Cost of Living Index]))/(MAX([1]!Cost_of_Living[Cost of Living Index])-MIN([1]!Cost_of_Living[Cost of Living Index]))</f>
        <v>0.71441605839416056</v>
      </c>
    </row>
    <row r="92" spans="1:4">
      <c r="A92" s="36" t="s">
        <v>591</v>
      </c>
      <c r="B92" s="36" t="s">
        <v>910</v>
      </c>
      <c r="C92" s="37">
        <v>99.6</v>
      </c>
      <c r="D92" s="39">
        <f>1-([1]!Cost_of_Living[[#This Row],[Cost of Living Index]]-MIN([1]!Cost_of_Living[Cost of Living Index]))/(MAX([1]!Cost_of_Living[Cost of Living Index])-MIN([1]!Cost_of_Living[Cost of Living Index]))</f>
        <v>0.72080291970802923</v>
      </c>
    </row>
    <row r="93" spans="1:4">
      <c r="A93" s="36" t="s">
        <v>359</v>
      </c>
      <c r="B93" s="36" t="s">
        <v>910</v>
      </c>
      <c r="C93" s="37">
        <v>99.3</v>
      </c>
      <c r="D93" s="39">
        <f>1-([1]!Cost_of_Living[[#This Row],[Cost of Living Index]]-MIN([1]!Cost_of_Living[Cost of Living Index]))/(MAX([1]!Cost_of_Living[Cost of Living Index])-MIN([1]!Cost_of_Living[Cost of Living Index]))</f>
        <v>0.7235401459854014</v>
      </c>
    </row>
    <row r="94" spans="1:4">
      <c r="A94" s="36" t="s">
        <v>327</v>
      </c>
      <c r="B94" s="36" t="s">
        <v>910</v>
      </c>
      <c r="C94" s="37">
        <v>99</v>
      </c>
      <c r="D94" s="39">
        <f>1-([1]!Cost_of_Living[[#This Row],[Cost of Living Index]]-MIN([1]!Cost_of_Living[Cost of Living Index]))/(MAX([1]!Cost_of_Living[Cost of Living Index])-MIN([1]!Cost_of_Living[Cost of Living Index]))</f>
        <v>0.72627737226277378</v>
      </c>
    </row>
    <row r="95" spans="1:4">
      <c r="A95" s="36" t="s">
        <v>2398</v>
      </c>
      <c r="B95" s="36" t="s">
        <v>910</v>
      </c>
      <c r="C95" s="37">
        <v>98.9</v>
      </c>
      <c r="D95" s="39">
        <f>1-([1]!Cost_of_Living[[#This Row],[Cost of Living Index]]-MIN([1]!Cost_of_Living[Cost of Living Index]))/(MAX([1]!Cost_of_Living[Cost of Living Index])-MIN([1]!Cost_of_Living[Cost of Living Index]))</f>
        <v>0.72718978102189769</v>
      </c>
    </row>
    <row r="96" spans="1:4">
      <c r="A96" s="36" t="s">
        <v>704</v>
      </c>
      <c r="B96" s="36" t="s">
        <v>910</v>
      </c>
      <c r="C96" s="37">
        <v>97.9</v>
      </c>
      <c r="D96" s="39">
        <f>1-([1]!Cost_of_Living[[#This Row],[Cost of Living Index]]-MIN([1]!Cost_of_Living[Cost of Living Index]))/(MAX([1]!Cost_of_Living[Cost of Living Index])-MIN([1]!Cost_of_Living[Cost of Living Index]))</f>
        <v>0.73631386861313863</v>
      </c>
    </row>
    <row r="97" spans="1:4">
      <c r="A97" s="36" t="s">
        <v>37</v>
      </c>
      <c r="B97" s="36" t="s">
        <v>910</v>
      </c>
      <c r="C97" s="37">
        <v>97.3</v>
      </c>
      <c r="D97" s="39">
        <f>1-([1]!Cost_of_Living[[#This Row],[Cost of Living Index]]-MIN([1]!Cost_of_Living[Cost of Living Index]))/(MAX([1]!Cost_of_Living[Cost of Living Index])-MIN([1]!Cost_of_Living[Cost of Living Index]))</f>
        <v>0.74178832116788329</v>
      </c>
    </row>
    <row r="98" spans="1:4">
      <c r="A98" s="36" t="s">
        <v>606</v>
      </c>
      <c r="B98" s="36" t="s">
        <v>910</v>
      </c>
      <c r="C98" s="37">
        <v>96.4</v>
      </c>
      <c r="D98" s="39">
        <f>1-([1]!Cost_of_Living[[#This Row],[Cost of Living Index]]-MIN([1]!Cost_of_Living[Cost of Living Index]))/(MAX([1]!Cost_of_Living[Cost of Living Index])-MIN([1]!Cost_of_Living[Cost of Living Index]))</f>
        <v>0.75</v>
      </c>
    </row>
    <row r="99" spans="1:4">
      <c r="A99" s="36" t="s">
        <v>446</v>
      </c>
      <c r="B99" s="36" t="s">
        <v>910</v>
      </c>
      <c r="C99" s="37">
        <v>96.4</v>
      </c>
      <c r="D99" s="39">
        <f>1-([1]!Cost_of_Living[[#This Row],[Cost of Living Index]]-MIN([1]!Cost_of_Living[Cost of Living Index]))/(MAX([1]!Cost_of_Living[Cost of Living Index])-MIN([1]!Cost_of_Living[Cost of Living Index]))</f>
        <v>0.75</v>
      </c>
    </row>
    <row r="100" spans="1:4">
      <c r="A100" s="36" t="s">
        <v>2399</v>
      </c>
      <c r="B100" s="36" t="s">
        <v>910</v>
      </c>
      <c r="C100" s="37">
        <v>95.5</v>
      </c>
      <c r="D100" s="39">
        <f>1-([1]!Cost_of_Living[[#This Row],[Cost of Living Index]]-MIN([1]!Cost_of_Living[Cost of Living Index]))/(MAX([1]!Cost_of_Living[Cost of Living Index])-MIN([1]!Cost_of_Living[Cost of Living Index]))</f>
        <v>0.75821167883211671</v>
      </c>
    </row>
    <row r="101" spans="1:4">
      <c r="A101" s="36" t="s">
        <v>693</v>
      </c>
      <c r="B101" s="36" t="s">
        <v>910</v>
      </c>
      <c r="C101" s="37">
        <v>94.5</v>
      </c>
      <c r="D101" s="39">
        <f>1-([1]!Cost_of_Living[[#This Row],[Cost of Living Index]]-MIN([1]!Cost_of_Living[Cost of Living Index]))/(MAX([1]!Cost_of_Living[Cost of Living Index])-MIN([1]!Cost_of_Living[Cost of Living Index]))</f>
        <v>0.76733576642335766</v>
      </c>
    </row>
    <row r="102" spans="1:4">
      <c r="A102" s="36" t="s">
        <v>723</v>
      </c>
      <c r="B102" s="36" t="s">
        <v>910</v>
      </c>
      <c r="C102" s="37">
        <v>93.6</v>
      </c>
      <c r="D102" s="39">
        <f>1-([1]!Cost_of_Living[[#This Row],[Cost of Living Index]]-MIN([1]!Cost_of_Living[Cost of Living Index]))/(MAX([1]!Cost_of_Living[Cost of Living Index])-MIN([1]!Cost_of_Living[Cost of Living Index]))</f>
        <v>0.77554744525547448</v>
      </c>
    </row>
    <row r="103" spans="1:4">
      <c r="A103" s="36" t="s">
        <v>718</v>
      </c>
      <c r="B103" s="36" t="s">
        <v>910</v>
      </c>
      <c r="C103" s="37">
        <v>93.2</v>
      </c>
      <c r="D103" s="39">
        <f>1-([1]!Cost_of_Living[[#This Row],[Cost of Living Index]]-MIN([1]!Cost_of_Living[Cost of Living Index]))/(MAX([1]!Cost_of_Living[Cost of Living Index])-MIN([1]!Cost_of_Living[Cost of Living Index]))</f>
        <v>0.77919708029197077</v>
      </c>
    </row>
    <row r="104" spans="1:4">
      <c r="A104" s="36" t="s">
        <v>2400</v>
      </c>
      <c r="B104" s="36" t="s">
        <v>910</v>
      </c>
      <c r="C104" s="37">
        <v>93.1</v>
      </c>
      <c r="D104" s="39">
        <f>1-([1]!Cost_of_Living[[#This Row],[Cost of Living Index]]-MIN([1]!Cost_of_Living[Cost of Living Index]))/(MAX([1]!Cost_of_Living[Cost of Living Index])-MIN([1]!Cost_of_Living[Cost of Living Index]))</f>
        <v>0.7801094890510949</v>
      </c>
    </row>
    <row r="105" spans="1:4">
      <c r="A105" s="36" t="s">
        <v>85</v>
      </c>
      <c r="B105" s="36" t="s">
        <v>939</v>
      </c>
      <c r="C105" s="37">
        <v>100.3</v>
      </c>
      <c r="D105" s="39">
        <f>1-([1]!Cost_of_Living[[#This Row],[Cost of Living Index]]-MIN([1]!Cost_of_Living[Cost of Living Index]))/(MAX([1]!Cost_of_Living[Cost of Living Index])-MIN([1]!Cost_of_Living[Cost of Living Index]))</f>
        <v>0.71441605839416056</v>
      </c>
    </row>
    <row r="106" spans="1:4">
      <c r="A106" s="36" t="s">
        <v>2401</v>
      </c>
      <c r="B106" s="36" t="s">
        <v>939</v>
      </c>
      <c r="C106" s="37">
        <v>97.4</v>
      </c>
      <c r="D106" s="39">
        <f>1-([1]!Cost_of_Living[[#This Row],[Cost of Living Index]]-MIN([1]!Cost_of_Living[Cost of Living Index]))/(MAX([1]!Cost_of_Living[Cost of Living Index])-MIN([1]!Cost_of_Living[Cost of Living Index]))</f>
        <v>0.74087591240875905</v>
      </c>
    </row>
    <row r="107" spans="1:4">
      <c r="A107" s="36" t="s">
        <v>565</v>
      </c>
      <c r="B107" s="36" t="s">
        <v>939</v>
      </c>
      <c r="C107" s="37">
        <v>97.3</v>
      </c>
      <c r="D107" s="39">
        <f>1-([1]!Cost_of_Living[[#This Row],[Cost of Living Index]]-MIN([1]!Cost_of_Living[Cost of Living Index]))/(MAX([1]!Cost_of_Living[Cost of Living Index])-MIN([1]!Cost_of_Living[Cost of Living Index]))</f>
        <v>0.74178832116788329</v>
      </c>
    </row>
    <row r="108" spans="1:4">
      <c r="A108" s="36" t="s">
        <v>37</v>
      </c>
      <c r="B108" s="36" t="s">
        <v>939</v>
      </c>
      <c r="C108" s="37">
        <v>97</v>
      </c>
      <c r="D108" s="39">
        <f>1-([1]!Cost_of_Living[[#This Row],[Cost of Living Index]]-MIN([1]!Cost_of_Living[Cost of Living Index]))/(MAX([1]!Cost_of_Living[Cost of Living Index])-MIN([1]!Cost_of_Living[Cost of Living Index]))</f>
        <v>0.74452554744525545</v>
      </c>
    </row>
    <row r="109" spans="1:4">
      <c r="A109" s="36" t="s">
        <v>87</v>
      </c>
      <c r="B109" s="36" t="s">
        <v>939</v>
      </c>
      <c r="C109" s="37">
        <v>95</v>
      </c>
      <c r="D109" s="39">
        <f>1-([1]!Cost_of_Living[[#This Row],[Cost of Living Index]]-MIN([1]!Cost_of_Living[Cost of Living Index]))/(MAX([1]!Cost_of_Living[Cost of Living Index])-MIN([1]!Cost_of_Living[Cost of Living Index]))</f>
        <v>0.76277372262773724</v>
      </c>
    </row>
    <row r="110" spans="1:4">
      <c r="A110" s="36" t="s">
        <v>344</v>
      </c>
      <c r="B110" s="36" t="s">
        <v>939</v>
      </c>
      <c r="C110" s="37">
        <v>94.4</v>
      </c>
      <c r="D110" s="39">
        <f>1-([1]!Cost_of_Living[[#This Row],[Cost of Living Index]]-MIN([1]!Cost_of_Living[Cost of Living Index]))/(MAX([1]!Cost_of_Living[Cost of Living Index])-MIN([1]!Cost_of_Living[Cost of Living Index]))</f>
        <v>0.76824817518248167</v>
      </c>
    </row>
    <row r="111" spans="1:4">
      <c r="A111" s="36" t="s">
        <v>377</v>
      </c>
      <c r="B111" s="36" t="s">
        <v>939</v>
      </c>
      <c r="C111" s="37">
        <v>91.6</v>
      </c>
      <c r="D111" s="39">
        <f>1-([1]!Cost_of_Living[[#This Row],[Cost of Living Index]]-MIN([1]!Cost_of_Living[Cost of Living Index]))/(MAX([1]!Cost_of_Living[Cost of Living Index])-MIN([1]!Cost_of_Living[Cost of Living Index]))</f>
        <v>0.79379562043795626</v>
      </c>
    </row>
    <row r="112" spans="1:4">
      <c r="A112" s="36" t="s">
        <v>806</v>
      </c>
      <c r="B112" s="36" t="s">
        <v>939</v>
      </c>
      <c r="C112" s="37">
        <v>91.1</v>
      </c>
      <c r="D112" s="39">
        <f>1-([1]!Cost_of_Living[[#This Row],[Cost of Living Index]]-MIN([1]!Cost_of_Living[Cost of Living Index]))/(MAX([1]!Cost_of_Living[Cost of Living Index])-MIN([1]!Cost_of_Living[Cost of Living Index]))</f>
        <v>0.79835766423357668</v>
      </c>
    </row>
    <row r="113" spans="1:4">
      <c r="A113" s="36" t="s">
        <v>2402</v>
      </c>
      <c r="B113" s="36" t="s">
        <v>939</v>
      </c>
      <c r="C113" s="37">
        <v>90.8</v>
      </c>
      <c r="D113" s="39">
        <f>1-([1]!Cost_of_Living[[#This Row],[Cost of Living Index]]-MIN([1]!Cost_of_Living[Cost of Living Index]))/(MAX([1]!Cost_of_Living[Cost of Living Index])-MIN([1]!Cost_of_Living[Cost of Living Index]))</f>
        <v>0.80109489051094895</v>
      </c>
    </row>
    <row r="114" spans="1:4">
      <c r="A114" s="36" t="s">
        <v>2403</v>
      </c>
      <c r="B114" s="36" t="s">
        <v>939</v>
      </c>
      <c r="C114" s="37">
        <v>90.5</v>
      </c>
      <c r="D114" s="39">
        <f>1-([1]!Cost_of_Living[[#This Row],[Cost of Living Index]]-MIN([1]!Cost_of_Living[Cost of Living Index]))/(MAX([1]!Cost_of_Living[Cost of Living Index])-MIN([1]!Cost_of_Living[Cost of Living Index]))</f>
        <v>0.80383211678832112</v>
      </c>
    </row>
    <row r="115" spans="1:4">
      <c r="A115" s="36" t="s">
        <v>688</v>
      </c>
      <c r="B115" s="36" t="s">
        <v>939</v>
      </c>
      <c r="C115" s="37">
        <v>89.6</v>
      </c>
      <c r="D115" s="39">
        <f>1-([1]!Cost_of_Living[[#This Row],[Cost of Living Index]]-MIN([1]!Cost_of_Living[Cost of Living Index]))/(MAX([1]!Cost_of_Living[Cost of Living Index])-MIN([1]!Cost_of_Living[Cost of Living Index]))</f>
        <v>0.81204379562043805</v>
      </c>
    </row>
    <row r="116" spans="1:4">
      <c r="A116" s="36" t="s">
        <v>478</v>
      </c>
      <c r="B116" s="36" t="s">
        <v>939</v>
      </c>
      <c r="C116" s="37">
        <v>89.2</v>
      </c>
      <c r="D116" s="39">
        <f>1-([1]!Cost_of_Living[[#This Row],[Cost of Living Index]]-MIN([1]!Cost_of_Living[Cost of Living Index]))/(MAX([1]!Cost_of_Living[Cost of Living Index])-MIN([1]!Cost_of_Living[Cost of Living Index]))</f>
        <v>0.81569343065693434</v>
      </c>
    </row>
    <row r="117" spans="1:4">
      <c r="A117" s="36" t="s">
        <v>670</v>
      </c>
      <c r="B117" s="36" t="s">
        <v>939</v>
      </c>
      <c r="C117" s="37">
        <v>89.1</v>
      </c>
      <c r="D117" s="39">
        <f>1-([1]!Cost_of_Living[[#This Row],[Cost of Living Index]]-MIN([1]!Cost_of_Living[Cost of Living Index]))/(MAX([1]!Cost_of_Living[Cost of Living Index])-MIN([1]!Cost_of_Living[Cost of Living Index]))</f>
        <v>0.81660583941605847</v>
      </c>
    </row>
    <row r="118" spans="1:4">
      <c r="A118" s="36" t="s">
        <v>544</v>
      </c>
      <c r="B118" s="36" t="s">
        <v>939</v>
      </c>
      <c r="C118" s="37">
        <v>88.5</v>
      </c>
      <c r="D118" s="39">
        <f>1-([1]!Cost_of_Living[[#This Row],[Cost of Living Index]]-MIN([1]!Cost_of_Living[Cost of Living Index]))/(MAX([1]!Cost_of_Living[Cost of Living Index])-MIN([1]!Cost_of_Living[Cost of Living Index]))</f>
        <v>0.8220802919708029</v>
      </c>
    </row>
    <row r="119" spans="1:4">
      <c r="A119" s="36" t="s">
        <v>184</v>
      </c>
      <c r="B119" s="36" t="s">
        <v>939</v>
      </c>
      <c r="C119" s="37">
        <v>87.3</v>
      </c>
      <c r="D119" s="39">
        <f>1-([1]!Cost_of_Living[[#This Row],[Cost of Living Index]]-MIN([1]!Cost_of_Living[Cost of Living Index]))/(MAX([1]!Cost_of_Living[Cost of Living Index])-MIN([1]!Cost_of_Living[Cost of Living Index]))</f>
        <v>0.83302919708029199</v>
      </c>
    </row>
    <row r="120" spans="1:4">
      <c r="A120" s="36" t="s">
        <v>655</v>
      </c>
      <c r="B120" s="36" t="s">
        <v>939</v>
      </c>
      <c r="C120" s="37">
        <v>87.2</v>
      </c>
      <c r="D120" s="39">
        <f>1-([1]!Cost_of_Living[[#This Row],[Cost of Living Index]]-MIN([1]!Cost_of_Living[Cost of Living Index]))/(MAX([1]!Cost_of_Living[Cost of Living Index])-MIN([1]!Cost_of_Living[Cost of Living Index]))</f>
        <v>0.83394160583941601</v>
      </c>
    </row>
    <row r="121" spans="1:4">
      <c r="A121" s="36" t="s">
        <v>708</v>
      </c>
      <c r="B121" s="36" t="s">
        <v>939</v>
      </c>
      <c r="C121" s="37">
        <v>86</v>
      </c>
      <c r="D121" s="39">
        <f>1-([1]!Cost_of_Living[[#This Row],[Cost of Living Index]]-MIN([1]!Cost_of_Living[Cost of Living Index]))/(MAX([1]!Cost_of_Living[Cost of Living Index])-MIN([1]!Cost_of_Living[Cost of Living Index]))</f>
        <v>0.8448905109489051</v>
      </c>
    </row>
    <row r="122" spans="1:4">
      <c r="A122" s="36" t="s">
        <v>2404</v>
      </c>
      <c r="B122" s="36" t="s">
        <v>1395</v>
      </c>
      <c r="C122" s="37">
        <v>164.9</v>
      </c>
      <c r="D122" s="39">
        <f>1-([1]!Cost_of_Living[[#This Row],[Cost of Living Index]]-MIN([1]!Cost_of_Living[Cost of Living Index]))/(MAX([1]!Cost_of_Living[Cost of Living Index])-MIN([1]!Cost_of_Living[Cost of Living Index]))</f>
        <v>0.12499999999999989</v>
      </c>
    </row>
    <row r="123" spans="1:4">
      <c r="A123" s="36" t="s">
        <v>2405</v>
      </c>
      <c r="B123" s="36" t="s">
        <v>1395</v>
      </c>
      <c r="C123" s="37">
        <v>158.5</v>
      </c>
      <c r="D123" s="39">
        <f>1-([1]!Cost_of_Living[[#This Row],[Cost of Living Index]]-MIN([1]!Cost_of_Living[Cost of Living Index]))/(MAX([1]!Cost_of_Living[Cost of Living Index])-MIN([1]!Cost_of_Living[Cost of Living Index]))</f>
        <v>0.18339416058394153</v>
      </c>
    </row>
    <row r="124" spans="1:4">
      <c r="A124" s="36" t="s">
        <v>450</v>
      </c>
      <c r="B124" s="36" t="s">
        <v>1395</v>
      </c>
      <c r="C124" s="37">
        <v>158</v>
      </c>
      <c r="D124" s="39">
        <f>1-([1]!Cost_of_Living[[#This Row],[Cost of Living Index]]-MIN([1]!Cost_of_Living[Cost of Living Index]))/(MAX([1]!Cost_of_Living[Cost of Living Index])-MIN([1]!Cost_of_Living[Cost of Living Index]))</f>
        <v>0.18795620437956195</v>
      </c>
    </row>
    <row r="125" spans="1:4">
      <c r="A125" s="36" t="s">
        <v>641</v>
      </c>
      <c r="B125" s="36" t="s">
        <v>1395</v>
      </c>
      <c r="C125" s="37">
        <v>136.9</v>
      </c>
      <c r="D125" s="39">
        <f>1-([1]!Cost_of_Living[[#This Row],[Cost of Living Index]]-MIN([1]!Cost_of_Living[Cost of Living Index]))/(MAX([1]!Cost_of_Living[Cost of Living Index])-MIN([1]!Cost_of_Living[Cost of Living Index]))</f>
        <v>0.38047445255474444</v>
      </c>
    </row>
    <row r="126" spans="1:4">
      <c r="A126" s="36" t="s">
        <v>769</v>
      </c>
      <c r="B126" s="36" t="s">
        <v>1104</v>
      </c>
      <c r="C126" s="37">
        <v>93.5</v>
      </c>
      <c r="D126" s="39">
        <f>1-([1]!Cost_of_Living[[#This Row],[Cost of Living Index]]-MIN([1]!Cost_of_Living[Cost of Living Index]))/(MAX([1]!Cost_of_Living[Cost of Living Index])-MIN([1]!Cost_of_Living[Cost of Living Index]))</f>
        <v>0.77645985401459849</v>
      </c>
    </row>
    <row r="127" spans="1:4">
      <c r="A127" s="36" t="s">
        <v>440</v>
      </c>
      <c r="B127" s="36" t="s">
        <v>1104</v>
      </c>
      <c r="C127" s="37">
        <v>91.7</v>
      </c>
      <c r="D127" s="39">
        <f>1-([1]!Cost_of_Living[[#This Row],[Cost of Living Index]]-MIN([1]!Cost_of_Living[Cost of Living Index]))/(MAX([1]!Cost_of_Living[Cost of Living Index])-MIN([1]!Cost_of_Living[Cost of Living Index]))</f>
        <v>0.79288321167883202</v>
      </c>
    </row>
    <row r="128" spans="1:4">
      <c r="A128" s="36" t="s">
        <v>96</v>
      </c>
      <c r="B128" s="36" t="s">
        <v>1104</v>
      </c>
      <c r="C128" s="37">
        <v>91.5</v>
      </c>
      <c r="D128" s="39">
        <f>1-([1]!Cost_of_Living[[#This Row],[Cost of Living Index]]-MIN([1]!Cost_of_Living[Cost of Living Index]))/(MAX([1]!Cost_of_Living[Cost of Living Index])-MIN([1]!Cost_of_Living[Cost of Living Index]))</f>
        <v>0.79470802919708028</v>
      </c>
    </row>
    <row r="129" spans="1:4">
      <c r="A129" s="36" t="s">
        <v>664</v>
      </c>
      <c r="B129" s="36" t="s">
        <v>1104</v>
      </c>
      <c r="C129" s="37">
        <v>89.6</v>
      </c>
      <c r="D129" s="39">
        <f>1-([1]!Cost_of_Living[[#This Row],[Cost of Living Index]]-MIN([1]!Cost_of_Living[Cost of Living Index]))/(MAX([1]!Cost_of_Living[Cost of Living Index])-MIN([1]!Cost_of_Living[Cost of Living Index]))</f>
        <v>0.81204379562043805</v>
      </c>
    </row>
    <row r="130" spans="1:4">
      <c r="A130" s="36" t="s">
        <v>646</v>
      </c>
      <c r="B130" s="36" t="s">
        <v>1104</v>
      </c>
      <c r="C130" s="37">
        <v>88.1</v>
      </c>
      <c r="D130" s="39">
        <f>1-([1]!Cost_of_Living[[#This Row],[Cost of Living Index]]-MIN([1]!Cost_of_Living[Cost of Living Index]))/(MAX([1]!Cost_of_Living[Cost of Living Index])-MIN([1]!Cost_of_Living[Cost of Living Index]))</f>
        <v>0.8257299270072993</v>
      </c>
    </row>
    <row r="131" spans="1:4">
      <c r="A131" s="36" t="s">
        <v>726</v>
      </c>
      <c r="B131" s="36" t="s">
        <v>1104</v>
      </c>
      <c r="C131" s="37">
        <v>87.6</v>
      </c>
      <c r="D131" s="39">
        <f>1-([1]!Cost_of_Living[[#This Row],[Cost of Living Index]]-MIN([1]!Cost_of_Living[Cost of Living Index]))/(MAX([1]!Cost_of_Living[Cost of Living Index])-MIN([1]!Cost_of_Living[Cost of Living Index]))</f>
        <v>0.83029197080291972</v>
      </c>
    </row>
    <row r="132" spans="1:4">
      <c r="A132" s="36" t="s">
        <v>619</v>
      </c>
      <c r="B132" s="36" t="s">
        <v>1104</v>
      </c>
      <c r="C132" s="37">
        <v>87.2</v>
      </c>
      <c r="D132" s="39">
        <f>1-([1]!Cost_of_Living[[#This Row],[Cost of Living Index]]-MIN([1]!Cost_of_Living[Cost of Living Index]))/(MAX([1]!Cost_of_Living[Cost of Living Index])-MIN([1]!Cost_of_Living[Cost of Living Index]))</f>
        <v>0.83394160583941601</v>
      </c>
    </row>
    <row r="133" spans="1:4">
      <c r="A133" s="36" t="s">
        <v>661</v>
      </c>
      <c r="B133" s="36" t="s">
        <v>1104</v>
      </c>
      <c r="C133" s="37">
        <v>87.1</v>
      </c>
      <c r="D133" s="39">
        <f>1-([1]!Cost_of_Living[[#This Row],[Cost of Living Index]]-MIN([1]!Cost_of_Living[Cost of Living Index]))/(MAX([1]!Cost_of_Living[Cost of Living Index])-MIN([1]!Cost_of_Living[Cost of Living Index]))</f>
        <v>0.83485401459854014</v>
      </c>
    </row>
    <row r="134" spans="1:4">
      <c r="A134" s="36" t="s">
        <v>2406</v>
      </c>
      <c r="B134" s="36" t="s">
        <v>1720</v>
      </c>
      <c r="C134" s="37">
        <v>103.3</v>
      </c>
      <c r="D134" s="39">
        <f>1-([1]!Cost_of_Living[[#This Row],[Cost of Living Index]]-MIN([1]!Cost_of_Living[Cost of Living Index]))/(MAX([1]!Cost_of_Living[Cost of Living Index])-MIN([1]!Cost_of_Living[Cost of Living Index]))</f>
        <v>0.68704379562043805</v>
      </c>
    </row>
    <row r="135" spans="1:4">
      <c r="A135" s="36" t="s">
        <v>2407</v>
      </c>
      <c r="B135" s="36" t="s">
        <v>1720</v>
      </c>
      <c r="C135" s="37">
        <v>100.3</v>
      </c>
      <c r="D135" s="39">
        <f>1-([1]!Cost_of_Living[[#This Row],[Cost of Living Index]]-MIN([1]!Cost_of_Living[Cost of Living Index]))/(MAX([1]!Cost_of_Living[Cost of Living Index])-MIN([1]!Cost_of_Living[Cost of Living Index]))</f>
        <v>0.71441605839416056</v>
      </c>
    </row>
    <row r="136" spans="1:4">
      <c r="A136" s="36" t="s">
        <v>400</v>
      </c>
      <c r="B136" s="36" t="s">
        <v>1720</v>
      </c>
      <c r="C136" s="37">
        <v>92.5</v>
      </c>
      <c r="D136" s="39">
        <f>1-([1]!Cost_of_Living[[#This Row],[Cost of Living Index]]-MIN([1]!Cost_of_Living[Cost of Living Index]))/(MAX([1]!Cost_of_Living[Cost of Living Index])-MIN([1]!Cost_of_Living[Cost of Living Index]))</f>
        <v>0.78558394160583944</v>
      </c>
    </row>
    <row r="137" spans="1:4">
      <c r="A137" s="36" t="s">
        <v>2408</v>
      </c>
      <c r="B137" s="36" t="s">
        <v>1720</v>
      </c>
      <c r="C137" s="37">
        <v>91.7</v>
      </c>
      <c r="D137" s="39">
        <f>1-([1]!Cost_of_Living[[#This Row],[Cost of Living Index]]-MIN([1]!Cost_of_Living[Cost of Living Index]))/(MAX([1]!Cost_of_Living[Cost of Living Index])-MIN([1]!Cost_of_Living[Cost of Living Index]))</f>
        <v>0.79288321167883202</v>
      </c>
    </row>
    <row r="138" spans="1:4">
      <c r="A138" s="36" t="s">
        <v>2409</v>
      </c>
      <c r="B138" s="36" t="s">
        <v>1720</v>
      </c>
      <c r="C138" s="37">
        <v>91.2</v>
      </c>
      <c r="D138" s="39">
        <f>1-([1]!Cost_of_Living[[#This Row],[Cost of Living Index]]-MIN([1]!Cost_of_Living[Cost of Living Index]))/(MAX([1]!Cost_of_Living[Cost of Living Index])-MIN([1]!Cost_of_Living[Cost of Living Index]))</f>
        <v>0.79744525547445255</v>
      </c>
    </row>
    <row r="139" spans="1:4">
      <c r="A139" s="36" t="s">
        <v>804</v>
      </c>
      <c r="B139" s="36" t="s">
        <v>1720</v>
      </c>
      <c r="C139" s="37">
        <v>90.8</v>
      </c>
      <c r="D139" s="39">
        <f>1-([1]!Cost_of_Living[[#This Row],[Cost of Living Index]]-MIN([1]!Cost_of_Living[Cost of Living Index]))/(MAX([1]!Cost_of_Living[Cost of Living Index])-MIN([1]!Cost_of_Living[Cost of Living Index]))</f>
        <v>0.80109489051094895</v>
      </c>
    </row>
    <row r="140" spans="1:4">
      <c r="A140" s="36" t="s">
        <v>25</v>
      </c>
      <c r="B140" s="36" t="s">
        <v>858</v>
      </c>
      <c r="C140" s="37">
        <v>100.1</v>
      </c>
      <c r="D140" s="39">
        <f>1-([1]!Cost_of_Living[[#This Row],[Cost of Living Index]]-MIN([1]!Cost_of_Living[Cost of Living Index]))/(MAX([1]!Cost_of_Living[Cost of Living Index])-MIN([1]!Cost_of_Living[Cost of Living Index]))</f>
        <v>0.71624087591240881</v>
      </c>
    </row>
    <row r="141" spans="1:4">
      <c r="A141" s="36" t="s">
        <v>2410</v>
      </c>
      <c r="B141" s="36" t="s">
        <v>858</v>
      </c>
      <c r="C141" s="37">
        <v>91</v>
      </c>
      <c r="D141" s="39">
        <f>1-([1]!Cost_of_Living[[#This Row],[Cost of Living Index]]-MIN([1]!Cost_of_Living[Cost of Living Index]))/(MAX([1]!Cost_of_Living[Cost of Living Index])-MIN([1]!Cost_of_Living[Cost of Living Index]))</f>
        <v>0.7992700729927007</v>
      </c>
    </row>
    <row r="142" spans="1:4">
      <c r="A142" s="36" t="s">
        <v>68</v>
      </c>
      <c r="B142" s="36" t="s">
        <v>858</v>
      </c>
      <c r="C142" s="37">
        <v>89</v>
      </c>
      <c r="D142" s="39">
        <f>1-([1]!Cost_of_Living[[#This Row],[Cost of Living Index]]-MIN([1]!Cost_of_Living[Cost of Living Index]))/(MAX([1]!Cost_of_Living[Cost of Living Index])-MIN([1]!Cost_of_Living[Cost of Living Index]))</f>
        <v>0.81751824817518248</v>
      </c>
    </row>
    <row r="143" spans="1:4">
      <c r="A143" s="36" t="s">
        <v>755</v>
      </c>
      <c r="B143" s="36" t="s">
        <v>858</v>
      </c>
      <c r="C143" s="37">
        <v>89</v>
      </c>
      <c r="D143" s="39">
        <f>1-([1]!Cost_of_Living[[#This Row],[Cost of Living Index]]-MIN([1]!Cost_of_Living[Cost of Living Index]))/(MAX([1]!Cost_of_Living[Cost of Living Index])-MIN([1]!Cost_of_Living[Cost of Living Index]))</f>
        <v>0.81751824817518248</v>
      </c>
    </row>
    <row r="144" spans="1:4">
      <c r="A144" s="36" t="s">
        <v>585</v>
      </c>
      <c r="B144" s="36" t="s">
        <v>858</v>
      </c>
      <c r="C144" s="37">
        <v>87.5</v>
      </c>
      <c r="D144" s="39">
        <f>1-([1]!Cost_of_Living[[#This Row],[Cost of Living Index]]-MIN([1]!Cost_of_Living[Cost of Living Index]))/(MAX([1]!Cost_of_Living[Cost of Living Index])-MIN([1]!Cost_of_Living[Cost of Living Index]))</f>
        <v>0.83120437956204385</v>
      </c>
    </row>
    <row r="145" spans="1:4">
      <c r="A145" s="36" t="s">
        <v>689</v>
      </c>
      <c r="B145" s="36" t="s">
        <v>858</v>
      </c>
      <c r="C145" s="37">
        <v>87.3</v>
      </c>
      <c r="D145" s="39">
        <f>1-([1]!Cost_of_Living[[#This Row],[Cost of Living Index]]-MIN([1]!Cost_of_Living[Cost of Living Index]))/(MAX([1]!Cost_of_Living[Cost of Living Index])-MIN([1]!Cost_of_Living[Cost of Living Index]))</f>
        <v>0.83302919708029199</v>
      </c>
    </row>
    <row r="146" spans="1:4">
      <c r="A146" s="36" t="s">
        <v>736</v>
      </c>
      <c r="B146" s="36" t="s">
        <v>858</v>
      </c>
      <c r="C146" s="37">
        <v>87.2</v>
      </c>
      <c r="D146" s="39">
        <f>1-([1]!Cost_of_Living[[#This Row],[Cost of Living Index]]-MIN([1]!Cost_of_Living[Cost of Living Index]))/(MAX([1]!Cost_of_Living[Cost of Living Index])-MIN([1]!Cost_of_Living[Cost of Living Index]))</f>
        <v>0.83394160583941601</v>
      </c>
    </row>
    <row r="147" spans="1:4">
      <c r="A147" s="36" t="s">
        <v>406</v>
      </c>
      <c r="B147" s="36" t="s">
        <v>858</v>
      </c>
      <c r="C147" s="37">
        <v>86.7</v>
      </c>
      <c r="D147" s="39">
        <f>1-([1]!Cost_of_Living[[#This Row],[Cost of Living Index]]-MIN([1]!Cost_of_Living[Cost of Living Index]))/(MAX([1]!Cost_of_Living[Cost of Living Index])-MIN([1]!Cost_of_Living[Cost of Living Index]))</f>
        <v>0.83850364963503643</v>
      </c>
    </row>
    <row r="148" spans="1:4">
      <c r="A148" s="36" t="s">
        <v>2411</v>
      </c>
      <c r="B148" s="36" t="s">
        <v>858</v>
      </c>
      <c r="C148" s="37">
        <v>86.6</v>
      </c>
      <c r="D148" s="39">
        <f>1-([1]!Cost_of_Living[[#This Row],[Cost of Living Index]]-MIN([1]!Cost_of_Living[Cost of Living Index]))/(MAX([1]!Cost_of_Living[Cost of Living Index])-MIN([1]!Cost_of_Living[Cost of Living Index]))</f>
        <v>0.83941605839416067</v>
      </c>
    </row>
    <row r="149" spans="1:4">
      <c r="A149" s="36" t="s">
        <v>512</v>
      </c>
      <c r="B149" s="36" t="s">
        <v>858</v>
      </c>
      <c r="C149" s="37">
        <v>84.9</v>
      </c>
      <c r="D149" s="39">
        <f>1-([1]!Cost_of_Living[[#This Row],[Cost of Living Index]]-MIN([1]!Cost_of_Living[Cost of Living Index]))/(MAX([1]!Cost_of_Living[Cost of Living Index])-MIN([1]!Cost_of_Living[Cost of Living Index]))</f>
        <v>0.85492700729927007</v>
      </c>
    </row>
    <row r="150" spans="1:4">
      <c r="A150" s="36" t="s">
        <v>569</v>
      </c>
      <c r="B150" s="36" t="s">
        <v>858</v>
      </c>
      <c r="C150" s="37">
        <v>83.9</v>
      </c>
      <c r="D150" s="39">
        <f>1-([1]!Cost_of_Living[[#This Row],[Cost of Living Index]]-MIN([1]!Cost_of_Living[Cost of Living Index]))/(MAX([1]!Cost_of_Living[Cost of Living Index])-MIN([1]!Cost_of_Living[Cost of Living Index]))</f>
        <v>0.86405109489051091</v>
      </c>
    </row>
    <row r="151" spans="1:4">
      <c r="A151" s="36" t="s">
        <v>801</v>
      </c>
      <c r="B151" s="36" t="s">
        <v>858</v>
      </c>
      <c r="C151" s="37">
        <v>83.5</v>
      </c>
      <c r="D151" s="39">
        <f>1-([1]!Cost_of_Living[[#This Row],[Cost of Living Index]]-MIN([1]!Cost_of_Living[Cost of Living Index]))/(MAX([1]!Cost_of_Living[Cost of Living Index])-MIN([1]!Cost_of_Living[Cost of Living Index]))</f>
        <v>0.86770072992700731</v>
      </c>
    </row>
    <row r="152" spans="1:4">
      <c r="A152" s="36" t="s">
        <v>68</v>
      </c>
      <c r="B152" s="36" t="s">
        <v>971</v>
      </c>
      <c r="C152" s="37">
        <v>92.4</v>
      </c>
      <c r="D152" s="39">
        <f>1-([1]!Cost_of_Living[[#This Row],[Cost of Living Index]]-MIN([1]!Cost_of_Living[Cost of Living Index]))/(MAX([1]!Cost_of_Living[Cost of Living Index])-MIN([1]!Cost_of_Living[Cost of Living Index]))</f>
        <v>0.78649635036496346</v>
      </c>
    </row>
    <row r="153" spans="1:4">
      <c r="A153" s="36" t="s">
        <v>2412</v>
      </c>
      <c r="B153" s="36" t="s">
        <v>971</v>
      </c>
      <c r="C153" s="37">
        <v>92.3</v>
      </c>
      <c r="D153" s="39">
        <f>1-([1]!Cost_of_Living[[#This Row],[Cost of Living Index]]-MIN([1]!Cost_of_Living[Cost of Living Index]))/(MAX([1]!Cost_of_Living[Cost of Living Index])-MIN([1]!Cost_of_Living[Cost of Living Index]))</f>
        <v>0.78740875912408759</v>
      </c>
    </row>
    <row r="154" spans="1:4">
      <c r="A154" s="36" t="s">
        <v>228</v>
      </c>
      <c r="B154" s="36" t="s">
        <v>971</v>
      </c>
      <c r="C154" s="37">
        <v>90.2</v>
      </c>
      <c r="D154" s="39">
        <f>1-([1]!Cost_of_Living[[#This Row],[Cost of Living Index]]-MIN([1]!Cost_of_Living[Cost of Living Index]))/(MAX([1]!Cost_of_Living[Cost of Living Index])-MIN([1]!Cost_of_Living[Cost of Living Index]))</f>
        <v>0.80656934306569339</v>
      </c>
    </row>
    <row r="155" spans="1:4">
      <c r="A155" s="36" t="s">
        <v>544</v>
      </c>
      <c r="B155" s="36" t="s">
        <v>971</v>
      </c>
      <c r="C155" s="37">
        <v>89.1</v>
      </c>
      <c r="D155" s="39">
        <f>1-([1]!Cost_of_Living[[#This Row],[Cost of Living Index]]-MIN([1]!Cost_of_Living[Cost of Living Index]))/(MAX([1]!Cost_of_Living[Cost of Living Index])-MIN([1]!Cost_of_Living[Cost of Living Index]))</f>
        <v>0.81660583941605847</v>
      </c>
    </row>
    <row r="156" spans="1:4">
      <c r="A156" s="36" t="s">
        <v>414</v>
      </c>
      <c r="B156" s="36" t="s">
        <v>971</v>
      </c>
      <c r="C156" s="37">
        <v>88.7</v>
      </c>
      <c r="D156" s="39">
        <f>1-([1]!Cost_of_Living[[#This Row],[Cost of Living Index]]-MIN([1]!Cost_of_Living[Cost of Living Index]))/(MAX([1]!Cost_of_Living[Cost of Living Index])-MIN([1]!Cost_of_Living[Cost of Living Index]))</f>
        <v>0.82025547445255476</v>
      </c>
    </row>
    <row r="157" spans="1:4">
      <c r="A157" s="36" t="s">
        <v>2413</v>
      </c>
      <c r="B157" s="36" t="s">
        <v>971</v>
      </c>
      <c r="C157" s="37">
        <v>88.5</v>
      </c>
      <c r="D157" s="39">
        <f>1-([1]!Cost_of_Living[[#This Row],[Cost of Living Index]]-MIN([1]!Cost_of_Living[Cost of Living Index]))/(MAX([1]!Cost_of_Living[Cost of Living Index])-MIN([1]!Cost_of_Living[Cost of Living Index]))</f>
        <v>0.8220802919708029</v>
      </c>
    </row>
    <row r="158" spans="1:4">
      <c r="A158" s="36" t="s">
        <v>2414</v>
      </c>
      <c r="B158" s="36" t="s">
        <v>971</v>
      </c>
      <c r="C158" s="37">
        <v>87.8</v>
      </c>
      <c r="D158" s="39">
        <f>1-([1]!Cost_of_Living[[#This Row],[Cost of Living Index]]-MIN([1]!Cost_of_Living[Cost of Living Index]))/(MAX([1]!Cost_of_Living[Cost of Living Index])-MIN([1]!Cost_of_Living[Cost of Living Index]))</f>
        <v>0.82846715328467158</v>
      </c>
    </row>
    <row r="159" spans="1:4">
      <c r="A159" s="36" t="s">
        <v>401</v>
      </c>
      <c r="B159" s="36" t="s">
        <v>971</v>
      </c>
      <c r="C159" s="37">
        <v>87.2</v>
      </c>
      <c r="D159" s="39">
        <f>1-([1]!Cost_of_Living[[#This Row],[Cost of Living Index]]-MIN([1]!Cost_of_Living[Cost of Living Index]))/(MAX([1]!Cost_of_Living[Cost of Living Index])-MIN([1]!Cost_of_Living[Cost of Living Index]))</f>
        <v>0.83394160583941601</v>
      </c>
    </row>
    <row r="160" spans="1:4">
      <c r="A160" s="36" t="s">
        <v>2415</v>
      </c>
      <c r="B160" s="36" t="s">
        <v>971</v>
      </c>
      <c r="C160" s="37">
        <v>87.2</v>
      </c>
      <c r="D160" s="39">
        <f>1-([1]!Cost_of_Living[[#This Row],[Cost of Living Index]]-MIN([1]!Cost_of_Living[Cost of Living Index]))/(MAX([1]!Cost_of_Living[Cost of Living Index])-MIN([1]!Cost_of_Living[Cost of Living Index]))</f>
        <v>0.83394160583941601</v>
      </c>
    </row>
    <row r="161" spans="1:4">
      <c r="A161" s="36" t="s">
        <v>481</v>
      </c>
      <c r="B161" s="36" t="s">
        <v>971</v>
      </c>
      <c r="C161" s="37">
        <v>86.8</v>
      </c>
      <c r="D161" s="39">
        <f>1-([1]!Cost_of_Living[[#This Row],[Cost of Living Index]]-MIN([1]!Cost_of_Living[Cost of Living Index]))/(MAX([1]!Cost_of_Living[Cost of Living Index])-MIN([1]!Cost_of_Living[Cost of Living Index]))</f>
        <v>0.83759124087591241</v>
      </c>
    </row>
    <row r="162" spans="1:4">
      <c r="A162" s="36" t="s">
        <v>697</v>
      </c>
      <c r="B162" s="36" t="s">
        <v>971</v>
      </c>
      <c r="C162" s="37">
        <v>84.9</v>
      </c>
      <c r="D162" s="39">
        <f>1-([1]!Cost_of_Living[[#This Row],[Cost of Living Index]]-MIN([1]!Cost_of_Living[Cost of Living Index]))/(MAX([1]!Cost_of_Living[Cost of Living Index])-MIN([1]!Cost_of_Living[Cost of Living Index]))</f>
        <v>0.85492700729927007</v>
      </c>
    </row>
    <row r="163" spans="1:4">
      <c r="A163" s="36" t="s">
        <v>357</v>
      </c>
      <c r="B163" s="36" t="s">
        <v>971</v>
      </c>
      <c r="C163" s="37">
        <v>84.7</v>
      </c>
      <c r="D163" s="39">
        <f>1-([1]!Cost_of_Living[[#This Row],[Cost of Living Index]]-MIN([1]!Cost_of_Living[Cost of Living Index]))/(MAX([1]!Cost_of_Living[Cost of Living Index])-MIN([1]!Cost_of_Living[Cost of Living Index]))</f>
        <v>0.85675182481751821</v>
      </c>
    </row>
    <row r="164" spans="1:4">
      <c r="A164" s="36" t="s">
        <v>165</v>
      </c>
      <c r="B164" s="36" t="s">
        <v>971</v>
      </c>
      <c r="C164" s="37">
        <v>84.2</v>
      </c>
      <c r="D164" s="39">
        <f>1-([1]!Cost_of_Living[[#This Row],[Cost of Living Index]]-MIN([1]!Cost_of_Living[Cost of Living Index]))/(MAX([1]!Cost_of_Living[Cost of Living Index])-MIN([1]!Cost_of_Living[Cost of Living Index]))</f>
        <v>0.86131386861313863</v>
      </c>
    </row>
    <row r="165" spans="1:4">
      <c r="A165" s="36" t="s">
        <v>289</v>
      </c>
      <c r="B165" s="36" t="s">
        <v>971</v>
      </c>
      <c r="C165" s="37">
        <v>83.7</v>
      </c>
      <c r="D165" s="39">
        <f>1-([1]!Cost_of_Living[[#This Row],[Cost of Living Index]]-MIN([1]!Cost_of_Living[Cost of Living Index]))/(MAX([1]!Cost_of_Living[Cost of Living Index])-MIN([1]!Cost_of_Living[Cost of Living Index]))</f>
        <v>0.86587591240875905</v>
      </c>
    </row>
    <row r="166" spans="1:4">
      <c r="A166" s="36" t="s">
        <v>528</v>
      </c>
      <c r="B166" s="36" t="s">
        <v>971</v>
      </c>
      <c r="C166" s="37">
        <v>81.8</v>
      </c>
      <c r="D166" s="39">
        <f>1-([1]!Cost_of_Living[[#This Row],[Cost of Living Index]]-MIN([1]!Cost_of_Living[Cost of Living Index]))/(MAX([1]!Cost_of_Living[Cost of Living Index])-MIN([1]!Cost_of_Living[Cost of Living Index]))</f>
        <v>0.88321167883211682</v>
      </c>
    </row>
    <row r="167" spans="1:4">
      <c r="A167" s="36" t="s">
        <v>776</v>
      </c>
      <c r="B167" s="36" t="s">
        <v>1428</v>
      </c>
      <c r="C167" s="37">
        <v>91.6</v>
      </c>
      <c r="D167" s="39">
        <f>1-([1]!Cost_of_Living[[#This Row],[Cost of Living Index]]-MIN([1]!Cost_of_Living[Cost of Living Index]))/(MAX([1]!Cost_of_Living[Cost of Living Index])-MIN([1]!Cost_of_Living[Cost of Living Index]))</f>
        <v>0.79379562043795626</v>
      </c>
    </row>
    <row r="168" spans="1:4">
      <c r="A168" s="36" t="s">
        <v>728</v>
      </c>
      <c r="B168" s="36" t="s">
        <v>1428</v>
      </c>
      <c r="C168" s="37">
        <v>89.6</v>
      </c>
      <c r="D168" s="39">
        <f>1-([1]!Cost_of_Living[[#This Row],[Cost of Living Index]]-MIN([1]!Cost_of_Living[Cost of Living Index]))/(MAX([1]!Cost_of_Living[Cost of Living Index])-MIN([1]!Cost_of_Living[Cost of Living Index]))</f>
        <v>0.81204379562043805</v>
      </c>
    </row>
    <row r="169" spans="1:4">
      <c r="A169" s="36" t="s">
        <v>341</v>
      </c>
      <c r="B169" s="36" t="s">
        <v>1428</v>
      </c>
      <c r="C169" s="37">
        <v>86.8</v>
      </c>
      <c r="D169" s="39">
        <f>1-([1]!Cost_of_Living[[#This Row],[Cost of Living Index]]-MIN([1]!Cost_of_Living[Cost of Living Index]))/(MAX([1]!Cost_of_Living[Cost of Living Index])-MIN([1]!Cost_of_Living[Cost of Living Index]))</f>
        <v>0.83759124087591241</v>
      </c>
    </row>
    <row r="170" spans="1:4">
      <c r="A170" s="36" t="s">
        <v>549</v>
      </c>
      <c r="B170" s="36" t="s">
        <v>1428</v>
      </c>
      <c r="C170" s="37">
        <v>85.6</v>
      </c>
      <c r="D170" s="39">
        <f>1-([1]!Cost_of_Living[[#This Row],[Cost of Living Index]]-MIN([1]!Cost_of_Living[Cost of Living Index]))/(MAX([1]!Cost_of_Living[Cost of Living Index])-MIN([1]!Cost_of_Living[Cost of Living Index]))</f>
        <v>0.84854014598540151</v>
      </c>
    </row>
    <row r="171" spans="1:4">
      <c r="A171" s="36" t="s">
        <v>2416</v>
      </c>
      <c r="B171" s="36" t="s">
        <v>1428</v>
      </c>
      <c r="C171" s="37">
        <v>84</v>
      </c>
      <c r="D171" s="39">
        <f>1-([1]!Cost_of_Living[[#This Row],[Cost of Living Index]]-MIN([1]!Cost_of_Living[Cost of Living Index]))/(MAX([1]!Cost_of_Living[Cost of Living Index])-MIN([1]!Cost_of_Living[Cost of Living Index]))</f>
        <v>0.86313868613138689</v>
      </c>
    </row>
    <row r="172" spans="1:4">
      <c r="A172" s="36" t="s">
        <v>518</v>
      </c>
      <c r="B172" s="36" t="s">
        <v>1358</v>
      </c>
      <c r="C172" s="37">
        <v>91.6</v>
      </c>
      <c r="D172" s="39">
        <f>1-([1]!Cost_of_Living[[#This Row],[Cost of Living Index]]-MIN([1]!Cost_of_Living[Cost of Living Index]))/(MAX([1]!Cost_of_Living[Cost of Living Index])-MIN([1]!Cost_of_Living[Cost of Living Index]))</f>
        <v>0.79379562043795626</v>
      </c>
    </row>
    <row r="173" spans="1:4">
      <c r="A173" s="36" t="s">
        <v>125</v>
      </c>
      <c r="B173" s="36" t="s">
        <v>1358</v>
      </c>
      <c r="C173" s="37">
        <v>91.1</v>
      </c>
      <c r="D173" s="39">
        <f>1-([1]!Cost_of_Living[[#This Row],[Cost of Living Index]]-MIN([1]!Cost_of_Living[Cost of Living Index]))/(MAX([1]!Cost_of_Living[Cost of Living Index])-MIN([1]!Cost_of_Living[Cost of Living Index]))</f>
        <v>0.79835766423357668</v>
      </c>
    </row>
    <row r="174" spans="1:4">
      <c r="A174" s="36" t="s">
        <v>165</v>
      </c>
      <c r="B174" s="36" t="s">
        <v>1358</v>
      </c>
      <c r="C174" s="37">
        <v>90.8</v>
      </c>
      <c r="D174" s="39">
        <f>1-([1]!Cost_of_Living[[#This Row],[Cost of Living Index]]-MIN([1]!Cost_of_Living[Cost of Living Index]))/(MAX([1]!Cost_of_Living[Cost of Living Index])-MIN([1]!Cost_of_Living[Cost of Living Index]))</f>
        <v>0.80109489051094895</v>
      </c>
    </row>
    <row r="175" spans="1:4">
      <c r="A175" s="36" t="s">
        <v>516</v>
      </c>
      <c r="B175" s="36" t="s">
        <v>1358</v>
      </c>
      <c r="C175" s="37">
        <v>88.1</v>
      </c>
      <c r="D175" s="39">
        <f>1-([1]!Cost_of_Living[[#This Row],[Cost of Living Index]]-MIN([1]!Cost_of_Living[Cost of Living Index]))/(MAX([1]!Cost_of_Living[Cost of Living Index])-MIN([1]!Cost_of_Living[Cost of Living Index]))</f>
        <v>0.8257299270072993</v>
      </c>
    </row>
    <row r="176" spans="1:4">
      <c r="A176" s="36" t="s">
        <v>599</v>
      </c>
      <c r="B176" s="36" t="s">
        <v>1358</v>
      </c>
      <c r="C176" s="37">
        <v>88.1</v>
      </c>
      <c r="D176" s="39">
        <f>1-([1]!Cost_of_Living[[#This Row],[Cost of Living Index]]-MIN([1]!Cost_of_Living[Cost of Living Index]))/(MAX([1]!Cost_of_Living[Cost of Living Index])-MIN([1]!Cost_of_Living[Cost of Living Index]))</f>
        <v>0.8257299270072993</v>
      </c>
    </row>
    <row r="177" spans="1:4">
      <c r="A177" s="36" t="s">
        <v>296</v>
      </c>
      <c r="B177" s="36" t="s">
        <v>1358</v>
      </c>
      <c r="C177" s="37">
        <v>87</v>
      </c>
      <c r="D177" s="39">
        <f>1-([1]!Cost_of_Living[[#This Row],[Cost of Living Index]]-MIN([1]!Cost_of_Living[Cost of Living Index]))/(MAX([1]!Cost_of_Living[Cost of Living Index])-MIN([1]!Cost_of_Living[Cost of Living Index]))</f>
        <v>0.83576642335766427</v>
      </c>
    </row>
    <row r="178" spans="1:4">
      <c r="A178" s="36" t="s">
        <v>716</v>
      </c>
      <c r="B178" s="36" t="s">
        <v>1358</v>
      </c>
      <c r="C178" s="37">
        <v>86.6</v>
      </c>
      <c r="D178" s="39">
        <f>1-([1]!Cost_of_Living[[#This Row],[Cost of Living Index]]-MIN([1]!Cost_of_Living[Cost of Living Index]))/(MAX([1]!Cost_of_Living[Cost of Living Index])-MIN([1]!Cost_of_Living[Cost of Living Index]))</f>
        <v>0.83941605839416067</v>
      </c>
    </row>
    <row r="179" spans="1:4">
      <c r="A179" s="36" t="s">
        <v>2417</v>
      </c>
      <c r="B179" s="36" t="s">
        <v>1358</v>
      </c>
      <c r="C179" s="37">
        <v>85.7</v>
      </c>
      <c r="D179" s="39">
        <f>1-([1]!Cost_of_Living[[#This Row],[Cost of Living Index]]-MIN([1]!Cost_of_Living[Cost of Living Index]))/(MAX([1]!Cost_of_Living[Cost of Living Index])-MIN([1]!Cost_of_Living[Cost of Living Index]))</f>
        <v>0.84762773722627738</v>
      </c>
    </row>
    <row r="180" spans="1:4">
      <c r="A180" s="36" t="s">
        <v>2418</v>
      </c>
      <c r="B180" s="36" t="s">
        <v>1358</v>
      </c>
      <c r="C180" s="37">
        <v>84.6</v>
      </c>
      <c r="D180" s="39">
        <f>1-([1]!Cost_of_Living[[#This Row],[Cost of Living Index]]-MIN([1]!Cost_of_Living[Cost of Living Index]))/(MAX([1]!Cost_of_Living[Cost of Living Index])-MIN([1]!Cost_of_Living[Cost of Living Index]))</f>
        <v>0.85766423357664234</v>
      </c>
    </row>
    <row r="181" spans="1:4">
      <c r="A181" s="36" t="s">
        <v>177</v>
      </c>
      <c r="B181" s="36" t="s">
        <v>1303</v>
      </c>
      <c r="C181" s="37">
        <v>92.4</v>
      </c>
      <c r="D181" s="39">
        <f>1-([1]!Cost_of_Living[[#This Row],[Cost of Living Index]]-MIN([1]!Cost_of_Living[Cost of Living Index]))/(MAX([1]!Cost_of_Living[Cost of Living Index])-MIN([1]!Cost_of_Living[Cost of Living Index]))</f>
        <v>0.78649635036496346</v>
      </c>
    </row>
    <row r="182" spans="1:4">
      <c r="A182" s="36" t="s">
        <v>145</v>
      </c>
      <c r="B182" s="36" t="s">
        <v>1303</v>
      </c>
      <c r="C182" s="37">
        <v>91.1</v>
      </c>
      <c r="D182" s="39">
        <f>1-([1]!Cost_of_Living[[#This Row],[Cost of Living Index]]-MIN([1]!Cost_of_Living[Cost of Living Index]))/(MAX([1]!Cost_of_Living[Cost of Living Index])-MIN([1]!Cost_of_Living[Cost of Living Index]))</f>
        <v>0.79835766423357668</v>
      </c>
    </row>
    <row r="183" spans="1:4">
      <c r="A183" s="36" t="s">
        <v>2419</v>
      </c>
      <c r="B183" s="36" t="s">
        <v>1303</v>
      </c>
      <c r="C183" s="37">
        <v>89.9</v>
      </c>
      <c r="D183" s="39">
        <f>1-([1]!Cost_of_Living[[#This Row],[Cost of Living Index]]-MIN([1]!Cost_of_Living[Cost of Living Index]))/(MAX([1]!Cost_of_Living[Cost of Living Index])-MIN([1]!Cost_of_Living[Cost of Living Index]))</f>
        <v>0.80930656934306566</v>
      </c>
    </row>
    <row r="184" spans="1:4">
      <c r="A184" s="36" t="s">
        <v>414</v>
      </c>
      <c r="B184" s="36" t="s">
        <v>1303</v>
      </c>
      <c r="C184" s="37">
        <v>89.6</v>
      </c>
      <c r="D184" s="39">
        <f>1-([1]!Cost_of_Living[[#This Row],[Cost of Living Index]]-MIN([1]!Cost_of_Living[Cost of Living Index]))/(MAX([1]!Cost_of_Living[Cost of Living Index])-MIN([1]!Cost_of_Living[Cost of Living Index]))</f>
        <v>0.81204379562043805</v>
      </c>
    </row>
    <row r="185" spans="1:4">
      <c r="A185" s="36" t="s">
        <v>625</v>
      </c>
      <c r="B185" s="36" t="s">
        <v>1303</v>
      </c>
      <c r="C185" s="37">
        <v>89.4</v>
      </c>
      <c r="D185" s="39">
        <f>1-([1]!Cost_of_Living[[#This Row],[Cost of Living Index]]-MIN([1]!Cost_of_Living[Cost of Living Index]))/(MAX([1]!Cost_of_Living[Cost of Living Index])-MIN([1]!Cost_of_Living[Cost of Living Index]))</f>
        <v>0.81386861313868608</v>
      </c>
    </row>
    <row r="186" spans="1:4">
      <c r="A186" s="36" t="s">
        <v>495</v>
      </c>
      <c r="B186" s="36" t="s">
        <v>1303</v>
      </c>
      <c r="C186" s="37">
        <v>89</v>
      </c>
      <c r="D186" s="39">
        <f>1-([1]!Cost_of_Living[[#This Row],[Cost of Living Index]]-MIN([1]!Cost_of_Living[Cost of Living Index]))/(MAX([1]!Cost_of_Living[Cost of Living Index])-MIN([1]!Cost_of_Living[Cost of Living Index]))</f>
        <v>0.81751824817518248</v>
      </c>
    </row>
    <row r="187" spans="1:4">
      <c r="A187" s="36" t="s">
        <v>556</v>
      </c>
      <c r="B187" s="36" t="s">
        <v>1303</v>
      </c>
      <c r="C187" s="37">
        <v>86.5</v>
      </c>
      <c r="D187" s="39">
        <f>1-([1]!Cost_of_Living[[#This Row],[Cost of Living Index]]-MIN([1]!Cost_of_Living[Cost of Living Index]))/(MAX([1]!Cost_of_Living[Cost of Living Index])-MIN([1]!Cost_of_Living[Cost of Living Index]))</f>
        <v>0.84032846715328469</v>
      </c>
    </row>
    <row r="188" spans="1:4">
      <c r="A188" s="36" t="s">
        <v>698</v>
      </c>
      <c r="B188" s="36" t="s">
        <v>1303</v>
      </c>
      <c r="C188" s="37">
        <v>86.2</v>
      </c>
      <c r="D188" s="39">
        <f>1-([1]!Cost_of_Living[[#This Row],[Cost of Living Index]]-MIN([1]!Cost_of_Living[Cost of Living Index]))/(MAX([1]!Cost_of_Living[Cost of Living Index])-MIN([1]!Cost_of_Living[Cost of Living Index]))</f>
        <v>0.84306569343065685</v>
      </c>
    </row>
    <row r="189" spans="1:4">
      <c r="A189" s="36" t="s">
        <v>2420</v>
      </c>
      <c r="B189" s="36" t="s">
        <v>1303</v>
      </c>
      <c r="C189" s="37">
        <v>86.1</v>
      </c>
      <c r="D189" s="39">
        <f>1-([1]!Cost_of_Living[[#This Row],[Cost of Living Index]]-MIN([1]!Cost_of_Living[Cost of Living Index]))/(MAX([1]!Cost_of_Living[Cost of Living Index])-MIN([1]!Cost_of_Living[Cost of Living Index]))</f>
        <v>0.84397810218978109</v>
      </c>
    </row>
    <row r="190" spans="1:4">
      <c r="A190" s="36" t="s">
        <v>627</v>
      </c>
      <c r="B190" s="36" t="s">
        <v>1303</v>
      </c>
      <c r="C190" s="37">
        <v>85.8</v>
      </c>
      <c r="D190" s="39">
        <f>1-([1]!Cost_of_Living[[#This Row],[Cost of Living Index]]-MIN([1]!Cost_of_Living[Cost of Living Index]))/(MAX([1]!Cost_of_Living[Cost of Living Index])-MIN([1]!Cost_of_Living[Cost of Living Index]))</f>
        <v>0.84671532846715336</v>
      </c>
    </row>
    <row r="191" spans="1:4">
      <c r="A191" s="36" t="s">
        <v>256</v>
      </c>
      <c r="B191" s="36" t="s">
        <v>827</v>
      </c>
      <c r="C191" s="37">
        <v>132.6</v>
      </c>
      <c r="D191" s="39">
        <f>1-([1]!Cost_of_Living[[#This Row],[Cost of Living Index]]-MIN([1]!Cost_of_Living[Cost of Living Index]))/(MAX([1]!Cost_of_Living[Cost of Living Index])-MIN([1]!Cost_of_Living[Cost of Living Index]))</f>
        <v>0.41970802919708028</v>
      </c>
    </row>
    <row r="192" spans="1:4">
      <c r="A192" s="36" t="s">
        <v>2421</v>
      </c>
      <c r="B192" s="36" t="s">
        <v>827</v>
      </c>
      <c r="C192" s="37">
        <v>122.4</v>
      </c>
      <c r="D192" s="39">
        <f>1-([1]!Cost_of_Living[[#This Row],[Cost of Living Index]]-MIN([1]!Cost_of_Living[Cost of Living Index]))/(MAX([1]!Cost_of_Living[Cost of Living Index])-MIN([1]!Cost_of_Living[Cost of Living Index]))</f>
        <v>0.51277372262773713</v>
      </c>
    </row>
    <row r="193" spans="1:4">
      <c r="A193" s="36" t="s">
        <v>261</v>
      </c>
      <c r="B193" s="36" t="s">
        <v>827</v>
      </c>
      <c r="C193" s="37">
        <v>113.2</v>
      </c>
      <c r="D193" s="39">
        <f>1-([1]!Cost_of_Living[[#This Row],[Cost of Living Index]]-MIN([1]!Cost_of_Living[Cost of Living Index]))/(MAX([1]!Cost_of_Living[Cost of Living Index])-MIN([1]!Cost_of_Living[Cost of Living Index]))</f>
        <v>0.59671532846715325</v>
      </c>
    </row>
    <row r="194" spans="1:4">
      <c r="A194" s="36" t="s">
        <v>585</v>
      </c>
      <c r="B194" s="36" t="s">
        <v>827</v>
      </c>
      <c r="C194" s="37">
        <v>106.5</v>
      </c>
      <c r="D194" s="39">
        <f>1-([1]!Cost_of_Living[[#This Row],[Cost of Living Index]]-MIN([1]!Cost_of_Living[Cost of Living Index]))/(MAX([1]!Cost_of_Living[Cost of Living Index])-MIN([1]!Cost_of_Living[Cost of Living Index]))</f>
        <v>0.65784671532846706</v>
      </c>
    </row>
    <row r="195" spans="1:4">
      <c r="A195" s="36" t="s">
        <v>2422</v>
      </c>
      <c r="B195" s="36" t="s">
        <v>827</v>
      </c>
      <c r="C195" s="37">
        <v>106.4</v>
      </c>
      <c r="D195" s="39">
        <f>1-([1]!Cost_of_Living[[#This Row],[Cost of Living Index]]-MIN([1]!Cost_of_Living[Cost of Living Index]))/(MAX([1]!Cost_of_Living[Cost of Living Index])-MIN([1]!Cost_of_Living[Cost of Living Index]))</f>
        <v>0.65875912408759119</v>
      </c>
    </row>
    <row r="196" spans="1:4">
      <c r="A196" s="36" t="s">
        <v>2423</v>
      </c>
      <c r="B196" s="36" t="s">
        <v>827</v>
      </c>
      <c r="C196" s="37">
        <v>106.2</v>
      </c>
      <c r="D196" s="39">
        <f>1-([1]!Cost_of_Living[[#This Row],[Cost of Living Index]]-MIN([1]!Cost_of_Living[Cost of Living Index]))/(MAX([1]!Cost_of_Living[Cost of Living Index])-MIN([1]!Cost_of_Living[Cost of Living Index]))</f>
        <v>0.66058394160583944</v>
      </c>
    </row>
    <row r="197" spans="1:4">
      <c r="A197" s="36" t="s">
        <v>191</v>
      </c>
      <c r="B197" s="36" t="s">
        <v>862</v>
      </c>
      <c r="C197" s="37">
        <v>107</v>
      </c>
      <c r="D197" s="39">
        <f>1-([1]!Cost_of_Living[[#This Row],[Cost of Living Index]]-MIN([1]!Cost_of_Living[Cost of Living Index]))/(MAX([1]!Cost_of_Living[Cost of Living Index])-MIN([1]!Cost_of_Living[Cost of Living Index]))</f>
        <v>0.65328467153284664</v>
      </c>
    </row>
    <row r="198" spans="1:4">
      <c r="A198" s="36" t="s">
        <v>666</v>
      </c>
      <c r="B198" s="36" t="s">
        <v>862</v>
      </c>
      <c r="C198" s="37">
        <v>104.8</v>
      </c>
      <c r="D198" s="39">
        <f>1-([1]!Cost_of_Living[[#This Row],[Cost of Living Index]]-MIN([1]!Cost_of_Living[Cost of Living Index]))/(MAX([1]!Cost_of_Living[Cost of Living Index])-MIN([1]!Cost_of_Living[Cost of Living Index]))</f>
        <v>0.67335766423357657</v>
      </c>
    </row>
    <row r="199" spans="1:4">
      <c r="A199" s="36" t="s">
        <v>490</v>
      </c>
      <c r="B199" s="36" t="s">
        <v>862</v>
      </c>
      <c r="C199" s="37">
        <v>103.2</v>
      </c>
      <c r="D199" s="39">
        <f>1-([1]!Cost_of_Living[[#This Row],[Cost of Living Index]]-MIN([1]!Cost_of_Living[Cost of Living Index]))/(MAX([1]!Cost_of_Living[Cost of Living Index])-MIN([1]!Cost_of_Living[Cost of Living Index]))</f>
        <v>0.68795620437956195</v>
      </c>
    </row>
    <row r="200" spans="1:4">
      <c r="A200" s="36" t="s">
        <v>2424</v>
      </c>
      <c r="B200" s="36" t="s">
        <v>862</v>
      </c>
      <c r="C200" s="37">
        <v>99.7</v>
      </c>
      <c r="D200" s="39">
        <f>1-([1]!Cost_of_Living[[#This Row],[Cost of Living Index]]-MIN([1]!Cost_of_Living[Cost of Living Index]))/(MAX([1]!Cost_of_Living[Cost of Living Index])-MIN([1]!Cost_of_Living[Cost of Living Index]))</f>
        <v>0.7198905109489051</v>
      </c>
    </row>
    <row r="201" spans="1:4">
      <c r="A201" s="36" t="s">
        <v>2425</v>
      </c>
      <c r="B201" s="36" t="s">
        <v>862</v>
      </c>
      <c r="C201" s="37">
        <v>90.9</v>
      </c>
      <c r="D201" s="39">
        <f>1-([1]!Cost_of_Living[[#This Row],[Cost of Living Index]]-MIN([1]!Cost_of_Living[Cost of Living Index]))/(MAX([1]!Cost_of_Living[Cost of Living Index])-MIN([1]!Cost_of_Living[Cost of Living Index]))</f>
        <v>0.80018248175182471</v>
      </c>
    </row>
    <row r="202" spans="1:4">
      <c r="A202" s="36" t="s">
        <v>172</v>
      </c>
      <c r="B202" s="36" t="s">
        <v>906</v>
      </c>
      <c r="C202" s="37">
        <v>113</v>
      </c>
      <c r="D202" s="39">
        <f>1-([1]!Cost_of_Living[[#This Row],[Cost of Living Index]]-MIN([1]!Cost_of_Living[Cost of Living Index]))/(MAX([1]!Cost_of_Living[Cost of Living Index])-MIN([1]!Cost_of_Living[Cost of Living Index]))</f>
        <v>0.5985401459854014</v>
      </c>
    </row>
    <row r="203" spans="1:4">
      <c r="A203" s="36" t="s">
        <v>377</v>
      </c>
      <c r="B203" s="36" t="s">
        <v>906</v>
      </c>
      <c r="C203" s="37">
        <v>100</v>
      </c>
      <c r="D203" s="39">
        <f>1-([1]!Cost_of_Living[[#This Row],[Cost of Living Index]]-MIN([1]!Cost_of_Living[Cost of Living Index]))/(MAX([1]!Cost_of_Living[Cost of Living Index])-MIN([1]!Cost_of_Living[Cost of Living Index]))</f>
        <v>0.71715328467153283</v>
      </c>
    </row>
    <row r="204" spans="1:4">
      <c r="A204" s="36" t="s">
        <v>400</v>
      </c>
      <c r="B204" s="36" t="s">
        <v>906</v>
      </c>
      <c r="C204" s="37">
        <v>99.7</v>
      </c>
      <c r="D204" s="39">
        <f>1-([1]!Cost_of_Living[[#This Row],[Cost of Living Index]]-MIN([1]!Cost_of_Living[Cost of Living Index]))/(MAX([1]!Cost_of_Living[Cost of Living Index])-MIN([1]!Cost_of_Living[Cost of Living Index]))</f>
        <v>0.7198905109489051</v>
      </c>
    </row>
    <row r="205" spans="1:4">
      <c r="A205" s="36" t="s">
        <v>632</v>
      </c>
      <c r="B205" s="36" t="s">
        <v>906</v>
      </c>
      <c r="C205" s="37">
        <v>98</v>
      </c>
      <c r="D205" s="39">
        <f>1-([1]!Cost_of_Living[[#This Row],[Cost of Living Index]]-MIN([1]!Cost_of_Living[Cost of Living Index]))/(MAX([1]!Cost_of_Living[Cost of Living Index])-MIN([1]!Cost_of_Living[Cost of Living Index]))</f>
        <v>0.73540145985401462</v>
      </c>
    </row>
    <row r="206" spans="1:4">
      <c r="A206" s="36" t="s">
        <v>2426</v>
      </c>
      <c r="B206" s="36" t="s">
        <v>922</v>
      </c>
      <c r="C206" s="37">
        <v>99.6</v>
      </c>
      <c r="D206" s="39">
        <f>1-([1]!Cost_of_Living[[#This Row],[Cost of Living Index]]-MIN([1]!Cost_of_Living[Cost of Living Index]))/(MAX([1]!Cost_of_Living[Cost of Living Index])-MIN([1]!Cost_of_Living[Cost of Living Index]))</f>
        <v>0.72080291970802923</v>
      </c>
    </row>
    <row r="207" spans="1:4">
      <c r="A207" s="36" t="s">
        <v>705</v>
      </c>
      <c r="B207" s="36" t="s">
        <v>922</v>
      </c>
      <c r="C207" s="37">
        <v>99.3</v>
      </c>
      <c r="D207" s="39">
        <f>1-([1]!Cost_of_Living[[#This Row],[Cost of Living Index]]-MIN([1]!Cost_of_Living[Cost of Living Index]))/(MAX([1]!Cost_of_Living[Cost of Living Index])-MIN([1]!Cost_of_Living[Cost of Living Index]))</f>
        <v>0.7235401459854014</v>
      </c>
    </row>
    <row r="208" spans="1:4">
      <c r="A208" s="36" t="s">
        <v>467</v>
      </c>
      <c r="B208" s="36" t="s">
        <v>922</v>
      </c>
      <c r="C208" s="37">
        <v>96.2</v>
      </c>
      <c r="D208" s="39">
        <f>1-([1]!Cost_of_Living[[#This Row],[Cost of Living Index]]-MIN([1]!Cost_of_Living[Cost of Living Index]))/(MAX([1]!Cost_of_Living[Cost of Living Index])-MIN([1]!Cost_of_Living[Cost of Living Index]))</f>
        <v>0.75182481751824815</v>
      </c>
    </row>
    <row r="209" spans="1:4">
      <c r="A209" s="36" t="s">
        <v>310</v>
      </c>
      <c r="B209" s="36" t="s">
        <v>922</v>
      </c>
      <c r="C209" s="37">
        <v>93.7</v>
      </c>
      <c r="D209" s="39">
        <f>1-([1]!Cost_of_Living[[#This Row],[Cost of Living Index]]-MIN([1]!Cost_of_Living[Cost of Living Index]))/(MAX([1]!Cost_of_Living[Cost of Living Index])-MIN([1]!Cost_of_Living[Cost of Living Index]))</f>
        <v>0.77463503649635035</v>
      </c>
    </row>
    <row r="210" spans="1:4">
      <c r="A210" s="36" t="s">
        <v>182</v>
      </c>
      <c r="B210" s="36" t="s">
        <v>922</v>
      </c>
      <c r="C210" s="37">
        <v>93.2</v>
      </c>
      <c r="D210" s="39">
        <f>1-([1]!Cost_of_Living[[#This Row],[Cost of Living Index]]-MIN([1]!Cost_of_Living[Cost of Living Index]))/(MAX([1]!Cost_of_Living[Cost of Living Index])-MIN([1]!Cost_of_Living[Cost of Living Index]))</f>
        <v>0.77919708029197077</v>
      </c>
    </row>
    <row r="211" spans="1:4">
      <c r="A211" s="36" t="s">
        <v>397</v>
      </c>
      <c r="B211" s="36" t="s">
        <v>922</v>
      </c>
      <c r="C211" s="37">
        <v>91.3</v>
      </c>
      <c r="D211" s="39">
        <f>1-([1]!Cost_of_Living[[#This Row],[Cost of Living Index]]-MIN([1]!Cost_of_Living[Cost of Living Index]))/(MAX([1]!Cost_of_Living[Cost of Living Index])-MIN([1]!Cost_of_Living[Cost of Living Index]))</f>
        <v>0.79653284671532854</v>
      </c>
    </row>
    <row r="212" spans="1:4">
      <c r="A212" s="36" t="s">
        <v>675</v>
      </c>
      <c r="B212" s="36" t="s">
        <v>922</v>
      </c>
      <c r="C212" s="37">
        <v>90.5</v>
      </c>
      <c r="D212" s="39">
        <f>1-([1]!Cost_of_Living[[#This Row],[Cost of Living Index]]-MIN([1]!Cost_of_Living[Cost of Living Index]))/(MAX([1]!Cost_of_Living[Cost of Living Index])-MIN([1]!Cost_of_Living[Cost of Living Index]))</f>
        <v>0.80383211678832112</v>
      </c>
    </row>
    <row r="213" spans="1:4">
      <c r="A213" s="36" t="s">
        <v>556</v>
      </c>
      <c r="B213" s="36" t="s">
        <v>922</v>
      </c>
      <c r="C213" s="37">
        <v>90.5</v>
      </c>
      <c r="D213" s="39">
        <f>1-([1]!Cost_of_Living[[#This Row],[Cost of Living Index]]-MIN([1]!Cost_of_Living[Cost of Living Index]))/(MAX([1]!Cost_of_Living[Cost of Living Index])-MIN([1]!Cost_of_Living[Cost of Living Index]))</f>
        <v>0.80383211678832112</v>
      </c>
    </row>
    <row r="214" spans="1:4">
      <c r="A214" s="36" t="s">
        <v>2427</v>
      </c>
      <c r="B214" s="36" t="s">
        <v>922</v>
      </c>
      <c r="C214" s="37">
        <v>89.7</v>
      </c>
      <c r="D214" s="39">
        <f>1-([1]!Cost_of_Living[[#This Row],[Cost of Living Index]]-MIN([1]!Cost_of_Living[Cost of Living Index]))/(MAX([1]!Cost_of_Living[Cost of Living Index])-MIN([1]!Cost_of_Living[Cost of Living Index]))</f>
        <v>0.81113138686131381</v>
      </c>
    </row>
    <row r="215" spans="1:4">
      <c r="A215" s="36" t="s">
        <v>242</v>
      </c>
      <c r="B215" s="36" t="s">
        <v>922</v>
      </c>
      <c r="C215" s="37">
        <v>89.3</v>
      </c>
      <c r="D215" s="39">
        <f>1-([1]!Cost_of_Living[[#This Row],[Cost of Living Index]]-MIN([1]!Cost_of_Living[Cost of Living Index]))/(MAX([1]!Cost_of_Living[Cost of Living Index])-MIN([1]!Cost_of_Living[Cost of Living Index]))</f>
        <v>0.81478102189781021</v>
      </c>
    </row>
    <row r="216" spans="1:4">
      <c r="A216" s="36" t="s">
        <v>732</v>
      </c>
      <c r="B216" s="36" t="s">
        <v>922</v>
      </c>
      <c r="C216" s="37">
        <v>88.7</v>
      </c>
      <c r="D216" s="39">
        <f>1-([1]!Cost_of_Living[[#This Row],[Cost of Living Index]]-MIN([1]!Cost_of_Living[Cost of Living Index]))/(MAX([1]!Cost_of_Living[Cost of Living Index])-MIN([1]!Cost_of_Living[Cost of Living Index]))</f>
        <v>0.82025547445255476</v>
      </c>
    </row>
    <row r="217" spans="1:4">
      <c r="A217" s="36" t="s">
        <v>2428</v>
      </c>
      <c r="B217" s="36" t="s">
        <v>922</v>
      </c>
      <c r="C217" s="37">
        <v>87.7</v>
      </c>
      <c r="D217" s="39">
        <f>1-([1]!Cost_of_Living[[#This Row],[Cost of Living Index]]-MIN([1]!Cost_of_Living[Cost of Living Index]))/(MAX([1]!Cost_of_Living[Cost of Living Index])-MIN([1]!Cost_of_Living[Cost of Living Index]))</f>
        <v>0.82937956204379559</v>
      </c>
    </row>
    <row r="218" spans="1:4">
      <c r="A218" s="36" t="s">
        <v>430</v>
      </c>
      <c r="B218" s="36" t="s">
        <v>922</v>
      </c>
      <c r="C218" s="37">
        <v>87.4</v>
      </c>
      <c r="D218" s="39">
        <f>1-([1]!Cost_of_Living[[#This Row],[Cost of Living Index]]-MIN([1]!Cost_of_Living[Cost of Living Index]))/(MAX([1]!Cost_of_Living[Cost of Living Index])-MIN([1]!Cost_of_Living[Cost of Living Index]))</f>
        <v>0.83211678832116776</v>
      </c>
    </row>
    <row r="219" spans="1:4">
      <c r="A219" s="36" t="s">
        <v>700</v>
      </c>
      <c r="B219" s="36" t="s">
        <v>922</v>
      </c>
      <c r="C219" s="37">
        <v>87</v>
      </c>
      <c r="D219" s="39">
        <f>1-([1]!Cost_of_Living[[#This Row],[Cost of Living Index]]-MIN([1]!Cost_of_Living[Cost of Living Index]))/(MAX([1]!Cost_of_Living[Cost of Living Index])-MIN([1]!Cost_of_Living[Cost of Living Index]))</f>
        <v>0.83576642335766427</v>
      </c>
    </row>
    <row r="220" spans="1:4">
      <c r="A220" s="36" t="s">
        <v>325</v>
      </c>
      <c r="B220" s="36" t="s">
        <v>922</v>
      </c>
      <c r="C220" s="37">
        <v>86.8</v>
      </c>
      <c r="D220" s="39">
        <f>1-([1]!Cost_of_Living[[#This Row],[Cost of Living Index]]-MIN([1]!Cost_of_Living[Cost of Living Index]))/(MAX([1]!Cost_of_Living[Cost of Living Index])-MIN([1]!Cost_of_Living[Cost of Living Index]))</f>
        <v>0.83759124087591241</v>
      </c>
    </row>
    <row r="221" spans="1:4">
      <c r="A221" s="36" t="s">
        <v>2429</v>
      </c>
      <c r="B221" s="36" t="s">
        <v>922</v>
      </c>
      <c r="C221" s="37">
        <v>85.9</v>
      </c>
      <c r="D221" s="39">
        <f>1-([1]!Cost_of_Living[[#This Row],[Cost of Living Index]]-MIN([1]!Cost_of_Living[Cost of Living Index]))/(MAX([1]!Cost_of_Living[Cost of Living Index])-MIN([1]!Cost_of_Living[Cost of Living Index]))</f>
        <v>0.84580291970802912</v>
      </c>
    </row>
    <row r="222" spans="1:4">
      <c r="A222" s="36" t="s">
        <v>2430</v>
      </c>
      <c r="B222" s="36" t="s">
        <v>1082</v>
      </c>
      <c r="C222" s="37">
        <v>93.2</v>
      </c>
      <c r="D222" s="39">
        <f>1-([1]!Cost_of_Living[[#This Row],[Cost of Living Index]]-MIN([1]!Cost_of_Living[Cost of Living Index]))/(MAX([1]!Cost_of_Living[Cost of Living Index])-MIN([1]!Cost_of_Living[Cost of Living Index]))</f>
        <v>0.77919708029197077</v>
      </c>
    </row>
    <row r="223" spans="1:4">
      <c r="A223" s="36" t="s">
        <v>232</v>
      </c>
      <c r="B223" s="36" t="s">
        <v>926</v>
      </c>
      <c r="C223" s="37">
        <v>91.6</v>
      </c>
      <c r="D223" s="39">
        <f>1-([1]!Cost_of_Living[[#This Row],[Cost of Living Index]]-MIN([1]!Cost_of_Living[Cost of Living Index]))/(MAX([1]!Cost_of_Living[Cost of Living Index])-MIN([1]!Cost_of_Living[Cost of Living Index]))</f>
        <v>0.79379562043795626</v>
      </c>
    </row>
    <row r="224" spans="1:4">
      <c r="A224" s="36" t="s">
        <v>131</v>
      </c>
      <c r="B224" s="36" t="s">
        <v>926</v>
      </c>
      <c r="C224" s="37">
        <v>89.8</v>
      </c>
      <c r="D224" s="39">
        <f>1-([1]!Cost_of_Living[[#This Row],[Cost of Living Index]]-MIN([1]!Cost_of_Living[Cost of Living Index]))/(MAX([1]!Cost_of_Living[Cost of Living Index])-MIN([1]!Cost_of_Living[Cost of Living Index]))</f>
        <v>0.81021897810218979</v>
      </c>
    </row>
    <row r="225" spans="1:4">
      <c r="A225" s="36" t="s">
        <v>74</v>
      </c>
      <c r="B225" s="36" t="s">
        <v>926</v>
      </c>
      <c r="C225" s="37">
        <v>89.6</v>
      </c>
      <c r="D225" s="39">
        <f>1-([1]!Cost_of_Living[[#This Row],[Cost of Living Index]]-MIN([1]!Cost_of_Living[Cost of Living Index]))/(MAX([1]!Cost_of_Living[Cost of Living Index])-MIN([1]!Cost_of_Living[Cost of Living Index]))</f>
        <v>0.81204379562043805</v>
      </c>
    </row>
    <row r="226" spans="1:4">
      <c r="A226" s="36" t="s">
        <v>2431</v>
      </c>
      <c r="B226" s="36" t="s">
        <v>926</v>
      </c>
      <c r="C226" s="37">
        <v>89.5</v>
      </c>
      <c r="D226" s="39">
        <f>1-([1]!Cost_of_Living[[#This Row],[Cost of Living Index]]-MIN([1]!Cost_of_Living[Cost of Living Index]))/(MAX([1]!Cost_of_Living[Cost of Living Index])-MIN([1]!Cost_of_Living[Cost of Living Index]))</f>
        <v>0.81295620437956206</v>
      </c>
    </row>
    <row r="227" spans="1:4">
      <c r="A227" s="36" t="s">
        <v>501</v>
      </c>
      <c r="B227" s="36" t="s">
        <v>926</v>
      </c>
      <c r="C227" s="37">
        <v>88.1</v>
      </c>
      <c r="D227" s="39">
        <f>1-([1]!Cost_of_Living[[#This Row],[Cost of Living Index]]-MIN([1]!Cost_of_Living[Cost of Living Index]))/(MAX([1]!Cost_of_Living[Cost of Living Index])-MIN([1]!Cost_of_Living[Cost of Living Index]))</f>
        <v>0.8257299270072993</v>
      </c>
    </row>
    <row r="228" spans="1:4">
      <c r="A228" s="36" t="s">
        <v>585</v>
      </c>
      <c r="B228" s="36" t="s">
        <v>926</v>
      </c>
      <c r="C228" s="37">
        <v>86.7</v>
      </c>
      <c r="D228" s="39">
        <f>1-([1]!Cost_of_Living[[#This Row],[Cost of Living Index]]-MIN([1]!Cost_of_Living[Cost of Living Index]))/(MAX([1]!Cost_of_Living[Cost of Living Index])-MIN([1]!Cost_of_Living[Cost of Living Index]))</f>
        <v>0.83850364963503643</v>
      </c>
    </row>
    <row r="229" spans="1:4">
      <c r="A229" s="36" t="s">
        <v>546</v>
      </c>
      <c r="B229" s="36" t="s">
        <v>926</v>
      </c>
      <c r="C229" s="37">
        <v>86.3</v>
      </c>
      <c r="D229" s="39">
        <f>1-([1]!Cost_of_Living[[#This Row],[Cost of Living Index]]-MIN([1]!Cost_of_Living[Cost of Living Index]))/(MAX([1]!Cost_of_Living[Cost of Living Index])-MIN([1]!Cost_of_Living[Cost of Living Index]))</f>
        <v>0.84215328467153283</v>
      </c>
    </row>
    <row r="230" spans="1:4">
      <c r="A230" s="36" t="s">
        <v>645</v>
      </c>
      <c r="B230" s="36" t="s">
        <v>926</v>
      </c>
      <c r="C230" s="37">
        <v>85.5</v>
      </c>
      <c r="D230" s="39">
        <f>1-([1]!Cost_of_Living[[#This Row],[Cost of Living Index]]-MIN([1]!Cost_of_Living[Cost of Living Index]))/(MAX([1]!Cost_of_Living[Cost of Living Index])-MIN([1]!Cost_of_Living[Cost of Living Index]))</f>
        <v>0.84945255474452552</v>
      </c>
    </row>
    <row r="231" spans="1:4">
      <c r="A231" s="36" t="s">
        <v>735</v>
      </c>
      <c r="B231" s="36" t="s">
        <v>926</v>
      </c>
      <c r="C231" s="37">
        <v>85.4</v>
      </c>
      <c r="D231" s="39">
        <f>1-([1]!Cost_of_Living[[#This Row],[Cost of Living Index]]-MIN([1]!Cost_of_Living[Cost of Living Index]))/(MAX([1]!Cost_of_Living[Cost of Living Index])-MIN([1]!Cost_of_Living[Cost of Living Index]))</f>
        <v>0.85036496350364954</v>
      </c>
    </row>
    <row r="232" spans="1:4">
      <c r="A232" s="36" t="s">
        <v>678</v>
      </c>
      <c r="B232" s="36" t="s">
        <v>926</v>
      </c>
      <c r="C232" s="37">
        <v>85.2</v>
      </c>
      <c r="D232" s="39">
        <f>1-([1]!Cost_of_Living[[#This Row],[Cost of Living Index]]-MIN([1]!Cost_of_Living[Cost of Living Index]))/(MAX([1]!Cost_of_Living[Cost of Living Index])-MIN([1]!Cost_of_Living[Cost of Living Index]))</f>
        <v>0.8521897810218978</v>
      </c>
    </row>
    <row r="233" spans="1:4">
      <c r="A233" s="36" t="s">
        <v>430</v>
      </c>
      <c r="B233" s="36" t="s">
        <v>1531</v>
      </c>
      <c r="C233" s="37">
        <v>87.8</v>
      </c>
      <c r="D233" s="39">
        <f>1-([1]!Cost_of_Living[[#This Row],[Cost of Living Index]]-MIN([1]!Cost_of_Living[Cost of Living Index]))/(MAX([1]!Cost_of_Living[Cost of Living Index])-MIN([1]!Cost_of_Living[Cost of Living Index]))</f>
        <v>0.82846715328467158</v>
      </c>
    </row>
    <row r="234" spans="1:4">
      <c r="A234" s="36" t="s">
        <v>2432</v>
      </c>
      <c r="B234" s="36" t="s">
        <v>1531</v>
      </c>
      <c r="C234" s="37">
        <v>87.2</v>
      </c>
      <c r="D234" s="39">
        <f>1-([1]!Cost_of_Living[[#This Row],[Cost of Living Index]]-MIN([1]!Cost_of_Living[Cost of Living Index]))/(MAX([1]!Cost_of_Living[Cost of Living Index])-MIN([1]!Cost_of_Living[Cost of Living Index]))</f>
        <v>0.83394160583941601</v>
      </c>
    </row>
    <row r="235" spans="1:4">
      <c r="A235" s="36" t="s">
        <v>2433</v>
      </c>
      <c r="B235" s="36" t="s">
        <v>1531</v>
      </c>
      <c r="C235" s="37">
        <v>86.8</v>
      </c>
      <c r="D235" s="39">
        <f>1-([1]!Cost_of_Living[[#This Row],[Cost of Living Index]]-MIN([1]!Cost_of_Living[Cost of Living Index]))/(MAX([1]!Cost_of_Living[Cost of Living Index])-MIN([1]!Cost_of_Living[Cost of Living Index]))</f>
        <v>0.83759124087591241</v>
      </c>
    </row>
    <row r="236" spans="1:4">
      <c r="A236" s="36" t="s">
        <v>306</v>
      </c>
      <c r="B236" s="36" t="s">
        <v>1531</v>
      </c>
      <c r="C236" s="37">
        <v>86.1</v>
      </c>
      <c r="D236" s="39">
        <f>1-([1]!Cost_of_Living[[#This Row],[Cost of Living Index]]-MIN([1]!Cost_of_Living[Cost of Living Index]))/(MAX([1]!Cost_of_Living[Cost of Living Index])-MIN([1]!Cost_of_Living[Cost of Living Index]))</f>
        <v>0.84397810218978109</v>
      </c>
    </row>
    <row r="237" spans="1:4">
      <c r="A237" s="36" t="s">
        <v>636</v>
      </c>
      <c r="B237" s="36" t="s">
        <v>1531</v>
      </c>
      <c r="C237" s="37">
        <v>85.9</v>
      </c>
      <c r="D237" s="39">
        <f>1-([1]!Cost_of_Living[[#This Row],[Cost of Living Index]]-MIN([1]!Cost_of_Living[Cost of Living Index]))/(MAX([1]!Cost_of_Living[Cost of Living Index])-MIN([1]!Cost_of_Living[Cost of Living Index]))</f>
        <v>0.84580291970802912</v>
      </c>
    </row>
    <row r="238" spans="1:4">
      <c r="A238" s="36" t="s">
        <v>2434</v>
      </c>
      <c r="B238" s="36" t="s">
        <v>1531</v>
      </c>
      <c r="C238" s="37">
        <v>82</v>
      </c>
      <c r="D238" s="39">
        <f>1-([1]!Cost_of_Living[[#This Row],[Cost of Living Index]]-MIN([1]!Cost_of_Living[Cost of Living Index]))/(MAX([1]!Cost_of_Living[Cost of Living Index])-MIN([1]!Cost_of_Living[Cost of Living Index]))</f>
        <v>0.88138686131386856</v>
      </c>
    </row>
    <row r="239" spans="1:4">
      <c r="A239" s="36" t="s">
        <v>222</v>
      </c>
      <c r="B239" s="36" t="s">
        <v>1707</v>
      </c>
      <c r="C239" s="37">
        <v>125.3</v>
      </c>
      <c r="D239" s="39">
        <f>1-([1]!Cost_of_Living[[#This Row],[Cost of Living Index]]-MIN([1]!Cost_of_Living[Cost of Living Index]))/(MAX([1]!Cost_of_Living[Cost of Living Index])-MIN([1]!Cost_of_Living[Cost of Living Index]))</f>
        <v>0.48631386861313863</v>
      </c>
    </row>
    <row r="240" spans="1:4">
      <c r="A240" s="36" t="s">
        <v>2435</v>
      </c>
      <c r="B240" s="36" t="s">
        <v>1707</v>
      </c>
      <c r="C240" s="37">
        <v>112.7</v>
      </c>
      <c r="D240" s="39">
        <f>1-([1]!Cost_of_Living[[#This Row],[Cost of Living Index]]-MIN([1]!Cost_of_Living[Cost of Living Index]))/(MAX([1]!Cost_of_Living[Cost of Living Index])-MIN([1]!Cost_of_Living[Cost of Living Index]))</f>
        <v>0.60127737226277367</v>
      </c>
    </row>
    <row r="241" spans="1:4">
      <c r="A241" s="36" t="s">
        <v>647</v>
      </c>
      <c r="B241" s="36" t="s">
        <v>1707</v>
      </c>
      <c r="C241" s="37">
        <v>104.2</v>
      </c>
      <c r="D241" s="39">
        <f>1-([1]!Cost_of_Living[[#This Row],[Cost of Living Index]]-MIN([1]!Cost_of_Living[Cost of Living Index]))/(MAX([1]!Cost_of_Living[Cost of Living Index])-MIN([1]!Cost_of_Living[Cost of Living Index]))</f>
        <v>0.67883211678832112</v>
      </c>
    </row>
    <row r="242" spans="1:4">
      <c r="A242" s="36" t="s">
        <v>250</v>
      </c>
      <c r="B242" s="36" t="s">
        <v>1707</v>
      </c>
      <c r="C242" s="37">
        <v>103.4</v>
      </c>
      <c r="D242" s="39">
        <f>1-([1]!Cost_of_Living[[#This Row],[Cost of Living Index]]-MIN([1]!Cost_of_Living[Cost of Living Index]))/(MAX([1]!Cost_of_Living[Cost of Living Index])-MIN([1]!Cost_of_Living[Cost of Living Index]))</f>
        <v>0.68613138686131381</v>
      </c>
    </row>
    <row r="243" spans="1:4">
      <c r="A243" s="36" t="s">
        <v>614</v>
      </c>
      <c r="B243" s="36" t="s">
        <v>1707</v>
      </c>
      <c r="C243" s="37">
        <v>95.7</v>
      </c>
      <c r="D243" s="39">
        <f>1-([1]!Cost_of_Living[[#This Row],[Cost of Living Index]]-MIN([1]!Cost_of_Living[Cost of Living Index]))/(MAX([1]!Cost_of_Living[Cost of Living Index])-MIN([1]!Cost_of_Living[Cost of Living Index]))</f>
        <v>0.75638686131386856</v>
      </c>
    </row>
    <row r="244" spans="1:4">
      <c r="A244" s="36" t="s">
        <v>707</v>
      </c>
      <c r="B244" s="36" t="s">
        <v>1707</v>
      </c>
      <c r="C244" s="37">
        <v>91.1</v>
      </c>
      <c r="D244" s="39">
        <f>1-([1]!Cost_of_Living[[#This Row],[Cost of Living Index]]-MIN([1]!Cost_of_Living[Cost of Living Index]))/(MAX([1]!Cost_of_Living[Cost of Living Index])-MIN([1]!Cost_of_Living[Cost of Living Index]))</f>
        <v>0.79835766423357668</v>
      </c>
    </row>
    <row r="245" spans="1:4">
      <c r="A245" s="36" t="s">
        <v>502</v>
      </c>
      <c r="B245" s="36" t="s">
        <v>889</v>
      </c>
      <c r="C245" s="37">
        <v>103.3</v>
      </c>
      <c r="D245" s="39">
        <f>1-([1]!Cost_of_Living[[#This Row],[Cost of Living Index]]-MIN([1]!Cost_of_Living[Cost of Living Index]))/(MAX([1]!Cost_of_Living[Cost of Living Index])-MIN([1]!Cost_of_Living[Cost of Living Index]))</f>
        <v>0.68704379562043805</v>
      </c>
    </row>
    <row r="246" spans="1:4">
      <c r="A246" s="36" t="s">
        <v>2436</v>
      </c>
      <c r="B246" s="36" t="s">
        <v>889</v>
      </c>
      <c r="C246" s="37">
        <v>102.2</v>
      </c>
      <c r="D246" s="39">
        <f>1-([1]!Cost_of_Living[[#This Row],[Cost of Living Index]]-MIN([1]!Cost_of_Living[Cost of Living Index]))/(MAX([1]!Cost_of_Living[Cost of Living Index])-MIN([1]!Cost_of_Living[Cost of Living Index]))</f>
        <v>0.6970802919708029</v>
      </c>
    </row>
    <row r="247" spans="1:4">
      <c r="A247" s="36" t="s">
        <v>47</v>
      </c>
      <c r="B247" s="36" t="s">
        <v>889</v>
      </c>
      <c r="C247" s="37">
        <v>99.8</v>
      </c>
      <c r="D247" s="39">
        <f>1-([1]!Cost_of_Living[[#This Row],[Cost of Living Index]]-MIN([1]!Cost_of_Living[Cost of Living Index]))/(MAX([1]!Cost_of_Living[Cost of Living Index])-MIN([1]!Cost_of_Living[Cost of Living Index]))</f>
        <v>0.71897810218978098</v>
      </c>
    </row>
    <row r="248" spans="1:4">
      <c r="A248" s="36" t="s">
        <v>64</v>
      </c>
      <c r="B248" s="36" t="s">
        <v>889</v>
      </c>
      <c r="C248" s="37">
        <v>99.7</v>
      </c>
      <c r="D248" s="39">
        <f>1-([1]!Cost_of_Living[[#This Row],[Cost of Living Index]]-MIN([1]!Cost_of_Living[Cost of Living Index]))/(MAX([1]!Cost_of_Living[Cost of Living Index])-MIN([1]!Cost_of_Living[Cost of Living Index]))</f>
        <v>0.7198905109489051</v>
      </c>
    </row>
    <row r="249" spans="1:4">
      <c r="A249" s="36" t="s">
        <v>334</v>
      </c>
      <c r="B249" s="36" t="s">
        <v>889</v>
      </c>
      <c r="C249" s="37">
        <v>99</v>
      </c>
      <c r="D249" s="39">
        <f>1-([1]!Cost_of_Living[[#This Row],[Cost of Living Index]]-MIN([1]!Cost_of_Living[Cost of Living Index]))/(MAX([1]!Cost_of_Living[Cost of Living Index])-MIN([1]!Cost_of_Living[Cost of Living Index]))</f>
        <v>0.72627737226277378</v>
      </c>
    </row>
    <row r="250" spans="1:4">
      <c r="A250" s="36" t="s">
        <v>195</v>
      </c>
      <c r="B250" s="36" t="s">
        <v>889</v>
      </c>
      <c r="C250" s="37">
        <v>97.9</v>
      </c>
      <c r="D250" s="39">
        <f>1-([1]!Cost_of_Living[[#This Row],[Cost of Living Index]]-MIN([1]!Cost_of_Living[Cost of Living Index]))/(MAX([1]!Cost_of_Living[Cost of Living Index])-MIN([1]!Cost_of_Living[Cost of Living Index]))</f>
        <v>0.73631386861313863</v>
      </c>
    </row>
    <row r="251" spans="1:4">
      <c r="A251" s="36" t="s">
        <v>158</v>
      </c>
      <c r="B251" s="36" t="s">
        <v>889</v>
      </c>
      <c r="C251" s="37">
        <v>91.8</v>
      </c>
      <c r="D251" s="39">
        <f>1-([1]!Cost_of_Living[[#This Row],[Cost of Living Index]]-MIN([1]!Cost_of_Living[Cost of Living Index]))/(MAX([1]!Cost_of_Living[Cost of Living Index])-MIN([1]!Cost_of_Living[Cost of Living Index]))</f>
        <v>0.79197080291970801</v>
      </c>
    </row>
    <row r="252" spans="1:4">
      <c r="A252" s="36" t="s">
        <v>327</v>
      </c>
      <c r="B252" s="36" t="s">
        <v>889</v>
      </c>
      <c r="C252" s="37">
        <v>91.7</v>
      </c>
      <c r="D252" s="39">
        <f>1-([1]!Cost_of_Living[[#This Row],[Cost of Living Index]]-MIN([1]!Cost_of_Living[Cost of Living Index]))/(MAX([1]!Cost_of_Living[Cost of Living Index])-MIN([1]!Cost_of_Living[Cost of Living Index]))</f>
        <v>0.79288321167883202</v>
      </c>
    </row>
    <row r="253" spans="1:4">
      <c r="A253" s="36" t="s">
        <v>2437</v>
      </c>
      <c r="B253" s="36" t="s">
        <v>889</v>
      </c>
      <c r="C253" s="37">
        <v>91.4</v>
      </c>
      <c r="D253" s="39">
        <f>1-([1]!Cost_of_Living[[#This Row],[Cost of Living Index]]-MIN([1]!Cost_of_Living[Cost of Living Index]))/(MAX([1]!Cost_of_Living[Cost of Living Index])-MIN([1]!Cost_of_Living[Cost of Living Index]))</f>
        <v>0.7956204379562043</v>
      </c>
    </row>
    <row r="254" spans="1:4">
      <c r="A254" s="36" t="s">
        <v>237</v>
      </c>
      <c r="B254" s="36" t="s">
        <v>889</v>
      </c>
      <c r="C254" s="37">
        <v>91.2</v>
      </c>
      <c r="D254" s="39">
        <f>1-([1]!Cost_of_Living[[#This Row],[Cost of Living Index]]-MIN([1]!Cost_of_Living[Cost of Living Index]))/(MAX([1]!Cost_of_Living[Cost of Living Index])-MIN([1]!Cost_of_Living[Cost of Living Index]))</f>
        <v>0.79744525547445255</v>
      </c>
    </row>
    <row r="255" spans="1:4">
      <c r="A255" s="36" t="s">
        <v>673</v>
      </c>
      <c r="B255" s="36" t="s">
        <v>889</v>
      </c>
      <c r="C255" s="37">
        <v>91.1</v>
      </c>
      <c r="D255" s="39">
        <f>1-([1]!Cost_of_Living[[#This Row],[Cost of Living Index]]-MIN([1]!Cost_of_Living[Cost of Living Index]))/(MAX([1]!Cost_of_Living[Cost of Living Index])-MIN([1]!Cost_of_Living[Cost of Living Index]))</f>
        <v>0.79835766423357668</v>
      </c>
    </row>
    <row r="256" spans="1:4">
      <c r="A256" s="36" t="s">
        <v>258</v>
      </c>
      <c r="B256" s="36" t="s">
        <v>889</v>
      </c>
      <c r="C256" s="37">
        <v>91</v>
      </c>
      <c r="D256" s="39">
        <f>1-([1]!Cost_of_Living[[#This Row],[Cost of Living Index]]-MIN([1]!Cost_of_Living[Cost of Living Index]))/(MAX([1]!Cost_of_Living[Cost of Living Index])-MIN([1]!Cost_of_Living[Cost of Living Index]))</f>
        <v>0.7992700729927007</v>
      </c>
    </row>
    <row r="257" spans="1:4">
      <c r="A257" s="36" t="s">
        <v>2438</v>
      </c>
      <c r="B257" s="36" t="s">
        <v>889</v>
      </c>
      <c r="C257" s="37">
        <v>90.5</v>
      </c>
      <c r="D257" s="39">
        <f>1-([1]!Cost_of_Living[[#This Row],[Cost of Living Index]]-MIN([1]!Cost_of_Living[Cost of Living Index]))/(MAX([1]!Cost_of_Living[Cost of Living Index])-MIN([1]!Cost_of_Living[Cost of Living Index]))</f>
        <v>0.80383211678832112</v>
      </c>
    </row>
    <row r="258" spans="1:4">
      <c r="A258" s="36" t="s">
        <v>2439</v>
      </c>
      <c r="B258" s="36" t="s">
        <v>889</v>
      </c>
      <c r="C258" s="37">
        <v>90.2</v>
      </c>
      <c r="D258" s="39">
        <f>1-([1]!Cost_of_Living[[#This Row],[Cost of Living Index]]-MIN([1]!Cost_of_Living[Cost of Living Index]))/(MAX([1]!Cost_of_Living[Cost of Living Index])-MIN([1]!Cost_of_Living[Cost of Living Index]))</f>
        <v>0.80656934306569339</v>
      </c>
    </row>
    <row r="259" spans="1:4">
      <c r="A259" s="36" t="s">
        <v>268</v>
      </c>
      <c r="B259" s="36" t="s">
        <v>889</v>
      </c>
      <c r="C259" s="37">
        <v>89.8</v>
      </c>
      <c r="D259" s="39">
        <f>1-([1]!Cost_of_Living[[#This Row],[Cost of Living Index]]-MIN([1]!Cost_of_Living[Cost of Living Index]))/(MAX([1]!Cost_of_Living[Cost of Living Index])-MIN([1]!Cost_of_Living[Cost of Living Index]))</f>
        <v>0.81021897810218979</v>
      </c>
    </row>
    <row r="260" spans="1:4">
      <c r="A260" s="36" t="s">
        <v>643</v>
      </c>
      <c r="B260" s="36" t="s">
        <v>889</v>
      </c>
      <c r="C260" s="37">
        <v>89.8</v>
      </c>
      <c r="D260" s="39">
        <f>1-([1]!Cost_of_Living[[#This Row],[Cost of Living Index]]-MIN([1]!Cost_of_Living[Cost of Living Index]))/(MAX([1]!Cost_of_Living[Cost of Living Index])-MIN([1]!Cost_of_Living[Cost of Living Index]))</f>
        <v>0.81021897810218979</v>
      </c>
    </row>
    <row r="261" spans="1:4">
      <c r="A261" s="36" t="s">
        <v>189</v>
      </c>
      <c r="B261" s="36" t="s">
        <v>889</v>
      </c>
      <c r="C261" s="37">
        <v>89.5</v>
      </c>
      <c r="D261" s="39">
        <f>1-([1]!Cost_of_Living[[#This Row],[Cost of Living Index]]-MIN([1]!Cost_of_Living[Cost of Living Index]))/(MAX([1]!Cost_of_Living[Cost of Living Index])-MIN([1]!Cost_of_Living[Cost of Living Index]))</f>
        <v>0.81295620437956206</v>
      </c>
    </row>
    <row r="262" spans="1:4">
      <c r="A262" s="36" t="s">
        <v>712</v>
      </c>
      <c r="B262" s="36" t="s">
        <v>889</v>
      </c>
      <c r="C262" s="37">
        <v>89.4</v>
      </c>
      <c r="D262" s="39">
        <f>1-([1]!Cost_of_Living[[#This Row],[Cost of Living Index]]-MIN([1]!Cost_of_Living[Cost of Living Index]))/(MAX([1]!Cost_of_Living[Cost of Living Index])-MIN([1]!Cost_of_Living[Cost of Living Index]))</f>
        <v>0.81386861313868608</v>
      </c>
    </row>
    <row r="263" spans="1:4">
      <c r="A263" s="36" t="s">
        <v>2440</v>
      </c>
      <c r="B263" s="36" t="s">
        <v>889</v>
      </c>
      <c r="C263" s="37">
        <v>89</v>
      </c>
      <c r="D263" s="39">
        <f>1-([1]!Cost_of_Living[[#This Row],[Cost of Living Index]]-MIN([1]!Cost_of_Living[Cost of Living Index]))/(MAX([1]!Cost_of_Living[Cost of Living Index])-MIN([1]!Cost_of_Living[Cost of Living Index]))</f>
        <v>0.81751824817518248</v>
      </c>
    </row>
    <row r="264" spans="1:4">
      <c r="A264" s="36" t="s">
        <v>2441</v>
      </c>
      <c r="B264" s="36" t="s">
        <v>889</v>
      </c>
      <c r="C264" s="37">
        <v>88.5</v>
      </c>
      <c r="D264" s="39">
        <f>1-([1]!Cost_of_Living[[#This Row],[Cost of Living Index]]-MIN([1]!Cost_of_Living[Cost of Living Index]))/(MAX([1]!Cost_of_Living[Cost of Living Index])-MIN([1]!Cost_of_Living[Cost of Living Index]))</f>
        <v>0.8220802919708029</v>
      </c>
    </row>
    <row r="265" spans="1:4">
      <c r="A265" s="36" t="s">
        <v>2442</v>
      </c>
      <c r="B265" s="36" t="s">
        <v>889</v>
      </c>
      <c r="C265" s="37">
        <v>88.3</v>
      </c>
      <c r="D265" s="39">
        <f>1-([1]!Cost_of_Living[[#This Row],[Cost of Living Index]]-MIN([1]!Cost_of_Living[Cost of Living Index]))/(MAX([1]!Cost_of_Living[Cost of Living Index])-MIN([1]!Cost_of_Living[Cost of Living Index]))</f>
        <v>0.82390510948905105</v>
      </c>
    </row>
    <row r="266" spans="1:4">
      <c r="A266" s="36" t="s">
        <v>2443</v>
      </c>
      <c r="B266" s="36" t="s">
        <v>889</v>
      </c>
      <c r="C266" s="37">
        <v>88.1</v>
      </c>
      <c r="D266" s="39">
        <f>1-([1]!Cost_of_Living[[#This Row],[Cost of Living Index]]-MIN([1]!Cost_of_Living[Cost of Living Index]))/(MAX([1]!Cost_of_Living[Cost of Living Index])-MIN([1]!Cost_of_Living[Cost of Living Index]))</f>
        <v>0.8257299270072993</v>
      </c>
    </row>
    <row r="267" spans="1:4">
      <c r="A267" s="36" t="s">
        <v>702</v>
      </c>
      <c r="B267" s="36" t="s">
        <v>889</v>
      </c>
      <c r="C267" s="37">
        <v>86.3</v>
      </c>
      <c r="D267" s="39">
        <f>1-([1]!Cost_of_Living[[#This Row],[Cost of Living Index]]-MIN([1]!Cost_of_Living[Cost of Living Index]))/(MAX([1]!Cost_of_Living[Cost of Living Index])-MIN([1]!Cost_of_Living[Cost of Living Index]))</f>
        <v>0.84215328467153283</v>
      </c>
    </row>
    <row r="268" spans="1:4">
      <c r="A268" s="36" t="s">
        <v>2444</v>
      </c>
      <c r="B268" s="36" t="s">
        <v>889</v>
      </c>
      <c r="C268" s="37">
        <v>83.4</v>
      </c>
      <c r="D268" s="39">
        <f>1-([1]!Cost_of_Living[[#This Row],[Cost of Living Index]]-MIN([1]!Cost_of_Living[Cost of Living Index]))/(MAX([1]!Cost_of_Living[Cost of Living Index])-MIN([1]!Cost_of_Living[Cost of Living Index]))</f>
        <v>0.86861313868613133</v>
      </c>
    </row>
    <row r="269" spans="1:4">
      <c r="A269" s="36" t="s">
        <v>2445</v>
      </c>
      <c r="B269" s="36" t="s">
        <v>889</v>
      </c>
      <c r="C269" s="37">
        <v>83.1</v>
      </c>
      <c r="D269" s="39">
        <f>1-([1]!Cost_of_Living[[#This Row],[Cost of Living Index]]-MIN([1]!Cost_of_Living[Cost of Living Index]))/(MAX([1]!Cost_of_Living[Cost of Living Index])-MIN([1]!Cost_of_Living[Cost of Living Index]))</f>
        <v>0.87135036496350371</v>
      </c>
    </row>
    <row r="270" spans="1:4">
      <c r="A270" s="36" t="s">
        <v>657</v>
      </c>
      <c r="B270" s="36" t="s">
        <v>1582</v>
      </c>
      <c r="C270" s="37">
        <v>93.1</v>
      </c>
      <c r="D270" s="39">
        <f>1-([1]!Cost_of_Living[[#This Row],[Cost of Living Index]]-MIN([1]!Cost_of_Living[Cost of Living Index]))/(MAX([1]!Cost_of_Living[Cost of Living Index])-MIN([1]!Cost_of_Living[Cost of Living Index]))</f>
        <v>0.7801094890510949</v>
      </c>
    </row>
    <row r="271" spans="1:4">
      <c r="A271" s="36" t="s">
        <v>288</v>
      </c>
      <c r="B271" s="36" t="s">
        <v>1582</v>
      </c>
      <c r="C271" s="37">
        <v>91.4</v>
      </c>
      <c r="D271" s="39">
        <f>1-([1]!Cost_of_Living[[#This Row],[Cost of Living Index]]-MIN([1]!Cost_of_Living[Cost of Living Index]))/(MAX([1]!Cost_of_Living[Cost of Living Index])-MIN([1]!Cost_of_Living[Cost of Living Index]))</f>
        <v>0.7956204379562043</v>
      </c>
    </row>
    <row r="272" spans="1:4">
      <c r="A272" s="36" t="s">
        <v>278</v>
      </c>
      <c r="B272" s="36" t="s">
        <v>1582</v>
      </c>
      <c r="C272" s="37">
        <v>90.7</v>
      </c>
      <c r="D272" s="39">
        <f>1-([1]!Cost_of_Living[[#This Row],[Cost of Living Index]]-MIN([1]!Cost_of_Living[Cost of Living Index]))/(MAX([1]!Cost_of_Living[Cost of Living Index])-MIN([1]!Cost_of_Living[Cost of Living Index]))</f>
        <v>0.80200729927007297</v>
      </c>
    </row>
    <row r="273" spans="1:4">
      <c r="A273" s="36" t="s">
        <v>669</v>
      </c>
      <c r="B273" s="36" t="s">
        <v>1582</v>
      </c>
      <c r="C273" s="37">
        <v>90.7</v>
      </c>
      <c r="D273" s="39">
        <f>1-([1]!Cost_of_Living[[#This Row],[Cost of Living Index]]-MIN([1]!Cost_of_Living[Cost of Living Index]))/(MAX([1]!Cost_of_Living[Cost of Living Index])-MIN([1]!Cost_of_Living[Cost of Living Index]))</f>
        <v>0.80200729927007297</v>
      </c>
    </row>
    <row r="274" spans="1:4">
      <c r="A274" s="36" t="s">
        <v>78</v>
      </c>
      <c r="B274" s="36" t="s">
        <v>1416</v>
      </c>
      <c r="C274" s="37">
        <v>94.7</v>
      </c>
      <c r="D274" s="39">
        <f>1-([1]!Cost_of_Living[[#This Row],[Cost of Living Index]]-MIN([1]!Cost_of_Living[Cost of Living Index]))/(MAX([1]!Cost_of_Living[Cost of Living Index])-MIN([1]!Cost_of_Living[Cost of Living Index]))</f>
        <v>0.76551094890510951</v>
      </c>
    </row>
    <row r="275" spans="1:4">
      <c r="A275" s="36" t="s">
        <v>312</v>
      </c>
      <c r="B275" s="36" t="s">
        <v>1416</v>
      </c>
      <c r="C275" s="37">
        <v>92.9</v>
      </c>
      <c r="D275" s="39">
        <f>1-([1]!Cost_of_Living[[#This Row],[Cost of Living Index]]-MIN([1]!Cost_of_Living[Cost of Living Index]))/(MAX([1]!Cost_of_Living[Cost of Living Index])-MIN([1]!Cost_of_Living[Cost of Living Index]))</f>
        <v>0.78193430656934304</v>
      </c>
    </row>
    <row r="276" spans="1:4">
      <c r="A276" s="36" t="s">
        <v>2446</v>
      </c>
      <c r="B276" s="36" t="s">
        <v>1416</v>
      </c>
      <c r="C276" s="37">
        <v>88.8</v>
      </c>
      <c r="D276" s="39">
        <f>1-([1]!Cost_of_Living[[#This Row],[Cost of Living Index]]-MIN([1]!Cost_of_Living[Cost of Living Index]))/(MAX([1]!Cost_of_Living[Cost of Living Index])-MIN([1]!Cost_of_Living[Cost of Living Index]))</f>
        <v>0.81934306569343063</v>
      </c>
    </row>
    <row r="277" spans="1:4">
      <c r="A277" s="36" t="s">
        <v>185</v>
      </c>
      <c r="B277" s="36" t="s">
        <v>876</v>
      </c>
      <c r="C277" s="37">
        <v>109.6</v>
      </c>
      <c r="D277" s="39">
        <f>1-([1]!Cost_of_Living[[#This Row],[Cost of Living Index]]-MIN([1]!Cost_of_Living[Cost of Living Index]))/(MAX([1]!Cost_of_Living[Cost of Living Index])-MIN([1]!Cost_of_Living[Cost of Living Index]))</f>
        <v>0.62956204379562042</v>
      </c>
    </row>
    <row r="278" spans="1:4">
      <c r="A278" s="36" t="s">
        <v>731</v>
      </c>
      <c r="B278" s="36" t="s">
        <v>876</v>
      </c>
      <c r="C278" s="37">
        <v>108.3</v>
      </c>
      <c r="D278" s="39">
        <f>1-([1]!Cost_of_Living[[#This Row],[Cost of Living Index]]-MIN([1]!Cost_of_Living[Cost of Living Index]))/(MAX([1]!Cost_of_Living[Cost of Living Index])-MIN([1]!Cost_of_Living[Cost of Living Index]))</f>
        <v>0.64142335766423364</v>
      </c>
    </row>
    <row r="279" spans="1:4">
      <c r="A279" s="36" t="s">
        <v>368</v>
      </c>
      <c r="B279" s="36" t="s">
        <v>876</v>
      </c>
      <c r="C279" s="37">
        <v>102.3</v>
      </c>
      <c r="D279" s="39">
        <f>1-([1]!Cost_of_Living[[#This Row],[Cost of Living Index]]-MIN([1]!Cost_of_Living[Cost of Living Index]))/(MAX([1]!Cost_of_Living[Cost of Living Index])-MIN([1]!Cost_of_Living[Cost of Living Index]))</f>
        <v>0.69616788321167888</v>
      </c>
    </row>
    <row r="280" spans="1:4">
      <c r="A280" s="36" t="s">
        <v>607</v>
      </c>
      <c r="B280" s="36" t="s">
        <v>876</v>
      </c>
      <c r="C280" s="37">
        <v>102.1</v>
      </c>
      <c r="D280" s="39">
        <f>1-([1]!Cost_of_Living[[#This Row],[Cost of Living Index]]-MIN([1]!Cost_of_Living[Cost of Living Index]))/(MAX([1]!Cost_of_Living[Cost of Living Index])-MIN([1]!Cost_of_Living[Cost of Living Index]))</f>
        <v>0.69799270072992703</v>
      </c>
    </row>
    <row r="281" spans="1:4">
      <c r="A281" s="36" t="s">
        <v>2447</v>
      </c>
      <c r="B281" s="36" t="s">
        <v>816</v>
      </c>
      <c r="C281" s="37">
        <v>109.5</v>
      </c>
      <c r="D281" s="39">
        <f>1-([1]!Cost_of_Living[[#This Row],[Cost of Living Index]]-MIN([1]!Cost_of_Living[Cost of Living Index]))/(MAX([1]!Cost_of_Living[Cost of Living Index])-MIN([1]!Cost_of_Living[Cost of Living Index]))</f>
        <v>0.63047445255474455</v>
      </c>
    </row>
    <row r="282" spans="1:4">
      <c r="A282" s="36" t="s">
        <v>644</v>
      </c>
      <c r="B282" s="36" t="s">
        <v>816</v>
      </c>
      <c r="C282" s="37">
        <v>104.3</v>
      </c>
      <c r="D282" s="39">
        <f>1-([1]!Cost_of_Living[[#This Row],[Cost of Living Index]]-MIN([1]!Cost_of_Living[Cost of Living Index]))/(MAX([1]!Cost_of_Living[Cost of Living Index])-MIN([1]!Cost_of_Living[Cost of Living Index]))</f>
        <v>0.6779197080291971</v>
      </c>
    </row>
    <row r="283" spans="1:4">
      <c r="A283" s="36" t="s">
        <v>2448</v>
      </c>
      <c r="B283" s="36" t="s">
        <v>816</v>
      </c>
      <c r="C283" s="37">
        <v>102</v>
      </c>
      <c r="D283" s="39">
        <f>1-([1]!Cost_of_Living[[#This Row],[Cost of Living Index]]-MIN([1]!Cost_of_Living[Cost of Living Index]))/(MAX([1]!Cost_of_Living[Cost of Living Index])-MIN([1]!Cost_of_Living[Cost of Living Index]))</f>
        <v>0.69890510948905105</v>
      </c>
    </row>
    <row r="284" spans="1:4">
      <c r="A284" s="36" t="s">
        <v>2449</v>
      </c>
      <c r="B284" s="36" t="s">
        <v>816</v>
      </c>
      <c r="C284" s="37">
        <v>97.8</v>
      </c>
      <c r="D284" s="39">
        <f>1-([1]!Cost_of_Living[[#This Row],[Cost of Living Index]]-MIN([1]!Cost_of_Living[Cost of Living Index]))/(MAX([1]!Cost_of_Living[Cost of Living Index])-MIN([1]!Cost_of_Living[Cost of Living Index]))</f>
        <v>0.73722627737226276</v>
      </c>
    </row>
    <row r="285" spans="1:4">
      <c r="A285" s="36" t="s">
        <v>734</v>
      </c>
      <c r="B285" s="36" t="s">
        <v>1678</v>
      </c>
      <c r="C285" s="37">
        <v>105.1</v>
      </c>
      <c r="D285" s="39">
        <f>1-([1]!Cost_of_Living[[#This Row],[Cost of Living Index]]-MIN([1]!Cost_of_Living[Cost of Living Index]))/(MAX([1]!Cost_of_Living[Cost of Living Index])-MIN([1]!Cost_of_Living[Cost of Living Index]))</f>
        <v>0.67062043795620441</v>
      </c>
    </row>
    <row r="286" spans="1:4">
      <c r="A286" s="36" t="s">
        <v>779</v>
      </c>
      <c r="B286" s="36" t="s">
        <v>1678</v>
      </c>
      <c r="C286" s="37">
        <v>92.9</v>
      </c>
      <c r="D286" s="39">
        <f>1-([1]!Cost_of_Living[[#This Row],[Cost of Living Index]]-MIN([1]!Cost_of_Living[Cost of Living Index]))/(MAX([1]!Cost_of_Living[Cost of Living Index])-MIN([1]!Cost_of_Living[Cost of Living Index]))</f>
        <v>0.78193430656934304</v>
      </c>
    </row>
    <row r="287" spans="1:4">
      <c r="A287" s="36" t="s">
        <v>2450</v>
      </c>
      <c r="B287" s="36" t="s">
        <v>1678</v>
      </c>
      <c r="C287" s="37">
        <v>90</v>
      </c>
      <c r="D287" s="39">
        <f>1-([1]!Cost_of_Living[[#This Row],[Cost of Living Index]]-MIN([1]!Cost_of_Living[Cost of Living Index]))/(MAX([1]!Cost_of_Living[Cost of Living Index])-MIN([1]!Cost_of_Living[Cost of Living Index]))</f>
        <v>0.80839416058394153</v>
      </c>
    </row>
    <row r="288" spans="1:4">
      <c r="A288" s="36" t="s">
        <v>220</v>
      </c>
      <c r="B288" s="36" t="s">
        <v>1678</v>
      </c>
      <c r="C288" s="37">
        <v>88.8</v>
      </c>
      <c r="D288" s="39">
        <f>1-([1]!Cost_of_Living[[#This Row],[Cost of Living Index]]-MIN([1]!Cost_of_Living[Cost of Living Index]))/(MAX([1]!Cost_of_Living[Cost of Living Index])-MIN([1]!Cost_of_Living[Cost of Living Index]))</f>
        <v>0.81934306569343063</v>
      </c>
    </row>
    <row r="289" spans="1:4">
      <c r="A289" s="36" t="s">
        <v>735</v>
      </c>
      <c r="B289" s="36" t="s">
        <v>1678</v>
      </c>
      <c r="C289" s="37">
        <v>88.4</v>
      </c>
      <c r="D289" s="39">
        <f>1-([1]!Cost_of_Living[[#This Row],[Cost of Living Index]]-MIN([1]!Cost_of_Living[Cost of Living Index]))/(MAX([1]!Cost_of_Living[Cost of Living Index])-MIN([1]!Cost_of_Living[Cost of Living Index]))</f>
        <v>0.82299270072992692</v>
      </c>
    </row>
    <row r="290" spans="1:4">
      <c r="A290" s="36" t="s">
        <v>730</v>
      </c>
      <c r="B290" s="36" t="s">
        <v>1678</v>
      </c>
      <c r="C290" s="37">
        <v>87.7</v>
      </c>
      <c r="D290" s="39">
        <f>1-([1]!Cost_of_Living[[#This Row],[Cost of Living Index]]-MIN([1]!Cost_of_Living[Cost of Living Index]))/(MAX([1]!Cost_of_Living[Cost of Living Index])-MIN([1]!Cost_of_Living[Cost of Living Index]))</f>
        <v>0.82937956204379559</v>
      </c>
    </row>
    <row r="291" spans="1:4">
      <c r="A291" s="36" t="s">
        <v>2451</v>
      </c>
      <c r="B291" s="36" t="s">
        <v>1678</v>
      </c>
      <c r="C291" s="37">
        <v>86.3</v>
      </c>
      <c r="D291" s="39">
        <f>1-([1]!Cost_of_Living[[#This Row],[Cost of Living Index]]-MIN([1]!Cost_of_Living[Cost of Living Index]))/(MAX([1]!Cost_of_Living[Cost of Living Index])-MIN([1]!Cost_of_Living[Cost of Living Index]))</f>
        <v>0.84215328467153283</v>
      </c>
    </row>
    <row r="292" spans="1:4">
      <c r="A292" s="36" t="s">
        <v>2452</v>
      </c>
      <c r="B292" s="36" t="s">
        <v>1678</v>
      </c>
      <c r="C292" s="37">
        <v>85.8</v>
      </c>
      <c r="D292" s="39">
        <f>1-([1]!Cost_of_Living[[#This Row],[Cost of Living Index]]-MIN([1]!Cost_of_Living[Cost of Living Index]))/(MAX([1]!Cost_of_Living[Cost of Living Index])-MIN([1]!Cost_of_Living[Cost of Living Index]))</f>
        <v>0.84671532846715336</v>
      </c>
    </row>
    <row r="293" spans="1:4">
      <c r="A293" s="36" t="s">
        <v>206</v>
      </c>
      <c r="B293" s="36" t="s">
        <v>1379</v>
      </c>
      <c r="C293" s="37">
        <v>107.4</v>
      </c>
      <c r="D293" s="39">
        <f>1-([1]!Cost_of_Living[[#This Row],[Cost of Living Index]]-MIN([1]!Cost_of_Living[Cost of Living Index]))/(MAX([1]!Cost_of_Living[Cost of Living Index])-MIN([1]!Cost_of_Living[Cost of Living Index]))</f>
        <v>0.64963503649635035</v>
      </c>
    </row>
    <row r="294" spans="1:4">
      <c r="A294" s="36" t="s">
        <v>703</v>
      </c>
      <c r="B294" s="36" t="s">
        <v>1379</v>
      </c>
      <c r="C294" s="37">
        <v>103</v>
      </c>
      <c r="D294" s="39">
        <f>1-([1]!Cost_of_Living[[#This Row],[Cost of Living Index]]-MIN([1]!Cost_of_Living[Cost of Living Index]))/(MAX([1]!Cost_of_Living[Cost of Living Index])-MIN([1]!Cost_of_Living[Cost of Living Index]))</f>
        <v>0.68978102189781021</v>
      </c>
    </row>
    <row r="295" spans="1:4">
      <c r="A295" s="36" t="s">
        <v>213</v>
      </c>
      <c r="B295" s="36" t="s">
        <v>1379</v>
      </c>
      <c r="C295" s="37">
        <v>100.7</v>
      </c>
      <c r="D295" s="39">
        <f>1-([1]!Cost_of_Living[[#This Row],[Cost of Living Index]]-MIN([1]!Cost_of_Living[Cost of Living Index]))/(MAX([1]!Cost_of_Living[Cost of Living Index])-MIN([1]!Cost_of_Living[Cost of Living Index]))</f>
        <v>0.71076642335766427</v>
      </c>
    </row>
    <row r="296" spans="1:4">
      <c r="A296" s="36" t="s">
        <v>740</v>
      </c>
      <c r="B296" s="36" t="s">
        <v>840</v>
      </c>
      <c r="C296" s="37">
        <v>128</v>
      </c>
      <c r="D296" s="39">
        <f>1-([1]!Cost_of_Living[[#This Row],[Cost of Living Index]]-MIN([1]!Cost_of_Living[Cost of Living Index]))/(MAX([1]!Cost_of_Living[Cost of Living Index])-MIN([1]!Cost_of_Living[Cost of Living Index]))</f>
        <v>0.46167883211678828</v>
      </c>
    </row>
    <row r="297" spans="1:4">
      <c r="A297" s="36" t="s">
        <v>795</v>
      </c>
      <c r="B297" s="36" t="s">
        <v>840</v>
      </c>
      <c r="C297" s="37">
        <v>106.1</v>
      </c>
      <c r="D297" s="39">
        <f>1-([1]!Cost_of_Living[[#This Row],[Cost of Living Index]]-MIN([1]!Cost_of_Living[Cost of Living Index]))/(MAX([1]!Cost_of_Living[Cost of Living Index])-MIN([1]!Cost_of_Living[Cost of Living Index]))</f>
        <v>0.66149635036496357</v>
      </c>
    </row>
    <row r="298" spans="1:4">
      <c r="A298" s="36" t="s">
        <v>9</v>
      </c>
      <c r="B298" s="36" t="s">
        <v>840</v>
      </c>
      <c r="C298" s="37">
        <v>101.7</v>
      </c>
      <c r="D298" s="39">
        <f>1-([1]!Cost_of_Living[[#This Row],[Cost of Living Index]]-MIN([1]!Cost_of_Living[Cost of Living Index]))/(MAX([1]!Cost_of_Living[Cost of Living Index])-MIN([1]!Cost_of_Living[Cost of Living Index]))</f>
        <v>0.70164233576642332</v>
      </c>
    </row>
    <row r="299" spans="1:4">
      <c r="A299" s="36" t="s">
        <v>184</v>
      </c>
      <c r="B299" s="36" t="s">
        <v>840</v>
      </c>
      <c r="C299" s="37">
        <v>100.1</v>
      </c>
      <c r="D299" s="39">
        <f>1-([1]!Cost_of_Living[[#This Row],[Cost of Living Index]]-MIN([1]!Cost_of_Living[Cost of Living Index]))/(MAX([1]!Cost_of_Living[Cost of Living Index])-MIN([1]!Cost_of_Living[Cost of Living Index]))</f>
        <v>0.71624087591240881</v>
      </c>
    </row>
    <row r="300" spans="1:4">
      <c r="A300" s="36" t="s">
        <v>2453</v>
      </c>
      <c r="B300" s="36" t="s">
        <v>840</v>
      </c>
      <c r="C300" s="37">
        <v>98.6</v>
      </c>
      <c r="D300" s="39">
        <f>1-([1]!Cost_of_Living[[#This Row],[Cost of Living Index]]-MIN([1]!Cost_of_Living[Cost of Living Index]))/(MAX([1]!Cost_of_Living[Cost of Living Index])-MIN([1]!Cost_of_Living[Cost of Living Index]))</f>
        <v>0.72992700729927007</v>
      </c>
    </row>
    <row r="301" spans="1:4">
      <c r="A301" s="36" t="s">
        <v>552</v>
      </c>
      <c r="B301" s="36" t="s">
        <v>840</v>
      </c>
      <c r="C301" s="37">
        <v>97.3</v>
      </c>
      <c r="D301" s="39">
        <f>1-([1]!Cost_of_Living[[#This Row],[Cost of Living Index]]-MIN([1]!Cost_of_Living[Cost of Living Index]))/(MAX([1]!Cost_of_Living[Cost of Living Index])-MIN([1]!Cost_of_Living[Cost of Living Index]))</f>
        <v>0.74178832116788329</v>
      </c>
    </row>
    <row r="302" spans="1:4">
      <c r="A302" s="36" t="s">
        <v>89</v>
      </c>
      <c r="B302" s="36" t="s">
        <v>840</v>
      </c>
      <c r="C302" s="37">
        <v>96.6</v>
      </c>
      <c r="D302" s="39">
        <f>1-([1]!Cost_of_Living[[#This Row],[Cost of Living Index]]-MIN([1]!Cost_of_Living[Cost of Living Index]))/(MAX([1]!Cost_of_Living[Cost of Living Index])-MIN([1]!Cost_of_Living[Cost of Living Index]))</f>
        <v>0.74817518248175185</v>
      </c>
    </row>
    <row r="303" spans="1:4">
      <c r="A303" s="36" t="s">
        <v>711</v>
      </c>
      <c r="B303" s="36" t="s">
        <v>840</v>
      </c>
      <c r="C303" s="37">
        <v>96.4</v>
      </c>
      <c r="D303" s="39">
        <f>1-([1]!Cost_of_Living[[#This Row],[Cost of Living Index]]-MIN([1]!Cost_of_Living[Cost of Living Index]))/(MAX([1]!Cost_of_Living[Cost of Living Index])-MIN([1]!Cost_of_Living[Cost of Living Index]))</f>
        <v>0.75</v>
      </c>
    </row>
    <row r="304" spans="1:4">
      <c r="A304" s="36" t="s">
        <v>112</v>
      </c>
      <c r="B304" s="36" t="s">
        <v>840</v>
      </c>
      <c r="C304" s="37">
        <v>95.1</v>
      </c>
      <c r="D304" s="39">
        <f>1-([1]!Cost_of_Living[[#This Row],[Cost of Living Index]]-MIN([1]!Cost_of_Living[Cost of Living Index]))/(MAX([1]!Cost_of_Living[Cost of Living Index])-MIN([1]!Cost_of_Living[Cost of Living Index]))</f>
        <v>0.76186131386861322</v>
      </c>
    </row>
    <row r="305" spans="1:4">
      <c r="A305" s="36" t="s">
        <v>571</v>
      </c>
      <c r="B305" s="36" t="s">
        <v>840</v>
      </c>
      <c r="C305" s="37">
        <v>94.1</v>
      </c>
      <c r="D305" s="39">
        <f>1-([1]!Cost_of_Living[[#This Row],[Cost of Living Index]]-MIN([1]!Cost_of_Living[Cost of Living Index]))/(MAX([1]!Cost_of_Living[Cost of Living Index])-MIN([1]!Cost_of_Living[Cost of Living Index]))</f>
        <v>0.77098540145985406</v>
      </c>
    </row>
    <row r="306" spans="1:4">
      <c r="A306" s="36" t="s">
        <v>174</v>
      </c>
      <c r="B306" s="36" t="s">
        <v>840</v>
      </c>
      <c r="C306" s="37">
        <v>93.7</v>
      </c>
      <c r="D306" s="39">
        <f>1-([1]!Cost_of_Living[[#This Row],[Cost of Living Index]]-MIN([1]!Cost_of_Living[Cost of Living Index]))/(MAX([1]!Cost_of_Living[Cost of Living Index])-MIN([1]!Cost_of_Living[Cost of Living Index]))</f>
        <v>0.77463503649635035</v>
      </c>
    </row>
    <row r="307" spans="1:4">
      <c r="A307" s="36" t="s">
        <v>2454</v>
      </c>
      <c r="B307" s="36" t="s">
        <v>840</v>
      </c>
      <c r="C307" s="37">
        <v>93.7</v>
      </c>
      <c r="D307" s="39">
        <f>1-([1]!Cost_of_Living[[#This Row],[Cost of Living Index]]-MIN([1]!Cost_of_Living[Cost of Living Index]))/(MAX([1]!Cost_of_Living[Cost of Living Index])-MIN([1]!Cost_of_Living[Cost of Living Index]))</f>
        <v>0.77463503649635035</v>
      </c>
    </row>
    <row r="308" spans="1:4">
      <c r="A308" s="36" t="s">
        <v>2455</v>
      </c>
      <c r="B308" s="36" t="s">
        <v>840</v>
      </c>
      <c r="C308" s="37">
        <v>93.3</v>
      </c>
      <c r="D308" s="39">
        <f>1-([1]!Cost_of_Living[[#This Row],[Cost of Living Index]]-MIN([1]!Cost_of_Living[Cost of Living Index]))/(MAX([1]!Cost_of_Living[Cost of Living Index])-MIN([1]!Cost_of_Living[Cost of Living Index]))</f>
        <v>0.77828467153284675</v>
      </c>
    </row>
    <row r="309" spans="1:4">
      <c r="A309" s="36" t="s">
        <v>671</v>
      </c>
      <c r="B309" s="36" t="s">
        <v>840</v>
      </c>
      <c r="C309" s="37">
        <v>92.5</v>
      </c>
      <c r="D309" s="39">
        <f>1-([1]!Cost_of_Living[[#This Row],[Cost of Living Index]]-MIN([1]!Cost_of_Living[Cost of Living Index]))/(MAX([1]!Cost_of_Living[Cost of Living Index])-MIN([1]!Cost_of_Living[Cost of Living Index]))</f>
        <v>0.78558394160583944</v>
      </c>
    </row>
    <row r="310" spans="1:4">
      <c r="A310" s="36" t="s">
        <v>694</v>
      </c>
      <c r="B310" s="36" t="s">
        <v>840</v>
      </c>
      <c r="C310" s="37">
        <v>91.3</v>
      </c>
      <c r="D310" s="39">
        <f>1-([1]!Cost_of_Living[[#This Row],[Cost of Living Index]]-MIN([1]!Cost_of_Living[Cost of Living Index]))/(MAX([1]!Cost_of_Living[Cost of Living Index])-MIN([1]!Cost_of_Living[Cost of Living Index]))</f>
        <v>0.79653284671532854</v>
      </c>
    </row>
    <row r="311" spans="1:4">
      <c r="A311" s="36" t="s">
        <v>2456</v>
      </c>
      <c r="B311" s="36" t="s">
        <v>840</v>
      </c>
      <c r="C311" s="37">
        <v>90.9</v>
      </c>
      <c r="D311" s="39">
        <f>1-([1]!Cost_of_Living[[#This Row],[Cost of Living Index]]-MIN([1]!Cost_of_Living[Cost of Living Index]))/(MAX([1]!Cost_of_Living[Cost of Living Index])-MIN([1]!Cost_of_Living[Cost of Living Index]))</f>
        <v>0.80018248175182471</v>
      </c>
    </row>
    <row r="312" spans="1:4">
      <c r="A312" s="36" t="s">
        <v>2457</v>
      </c>
      <c r="B312" s="36" t="s">
        <v>840</v>
      </c>
      <c r="C312" s="37">
        <v>89</v>
      </c>
      <c r="D312" s="39">
        <f>1-([1]!Cost_of_Living[[#This Row],[Cost of Living Index]]-MIN([1]!Cost_of_Living[Cost of Living Index]))/(MAX([1]!Cost_of_Living[Cost of Living Index])-MIN([1]!Cost_of_Living[Cost of Living Index]))</f>
        <v>0.81751824817518248</v>
      </c>
    </row>
    <row r="313" spans="1:4">
      <c r="A313" s="36" t="s">
        <v>2458</v>
      </c>
      <c r="B313" s="36" t="s">
        <v>840</v>
      </c>
      <c r="C313" s="37">
        <v>88.3</v>
      </c>
      <c r="D313" s="39">
        <f>1-([1]!Cost_of_Living[[#This Row],[Cost of Living Index]]-MIN([1]!Cost_of_Living[Cost of Living Index]))/(MAX([1]!Cost_of_Living[Cost of Living Index])-MIN([1]!Cost_of_Living[Cost of Living Index]))</f>
        <v>0.82390510948905105</v>
      </c>
    </row>
    <row r="314" spans="1:4">
      <c r="A314" s="36" t="s">
        <v>507</v>
      </c>
      <c r="B314" s="36" t="s">
        <v>1124</v>
      </c>
      <c r="C314" s="37">
        <v>95.5</v>
      </c>
      <c r="D314" s="39">
        <f>1-([1]!Cost_of_Living[[#This Row],[Cost of Living Index]]-MIN([1]!Cost_of_Living[Cost of Living Index]))/(MAX([1]!Cost_of_Living[Cost of Living Index])-MIN([1]!Cost_of_Living[Cost of Living Index]))</f>
        <v>0.75821167883211671</v>
      </c>
    </row>
    <row r="315" spans="1:4">
      <c r="A315" s="36" t="s">
        <v>544</v>
      </c>
      <c r="B315" s="36" t="s">
        <v>1124</v>
      </c>
      <c r="C315" s="37">
        <v>93.9</v>
      </c>
      <c r="D315" s="39">
        <f>1-([1]!Cost_of_Living[[#This Row],[Cost of Living Index]]-MIN([1]!Cost_of_Living[Cost of Living Index]))/(MAX([1]!Cost_of_Living[Cost of Living Index])-MIN([1]!Cost_of_Living[Cost of Living Index]))</f>
        <v>0.77281021897810209</v>
      </c>
    </row>
    <row r="316" spans="1:4">
      <c r="A316" s="36" t="s">
        <v>152</v>
      </c>
      <c r="B316" s="36" t="s">
        <v>1124</v>
      </c>
      <c r="C316" s="37">
        <v>92.4</v>
      </c>
      <c r="D316" s="39">
        <f>1-([1]!Cost_of_Living[[#This Row],[Cost of Living Index]]-MIN([1]!Cost_of_Living[Cost of Living Index]))/(MAX([1]!Cost_of_Living[Cost of Living Index])-MIN([1]!Cost_of_Living[Cost of Living Index]))</f>
        <v>0.78649635036496346</v>
      </c>
    </row>
    <row r="317" spans="1:4">
      <c r="A317" s="36" t="s">
        <v>612</v>
      </c>
      <c r="B317" s="36" t="s">
        <v>1124</v>
      </c>
      <c r="C317" s="37">
        <v>91.1</v>
      </c>
      <c r="D317" s="39">
        <f>1-([1]!Cost_of_Living[[#This Row],[Cost of Living Index]]-MIN([1]!Cost_of_Living[Cost of Living Index]))/(MAX([1]!Cost_of_Living[Cost of Living Index])-MIN([1]!Cost_of_Living[Cost of Living Index]))</f>
        <v>0.79835766423357668</v>
      </c>
    </row>
    <row r="318" spans="1:4">
      <c r="A318" s="36" t="s">
        <v>2459</v>
      </c>
      <c r="B318" s="36" t="s">
        <v>1124</v>
      </c>
      <c r="C318" s="37">
        <v>90.8</v>
      </c>
      <c r="D318" s="39">
        <f>1-([1]!Cost_of_Living[[#This Row],[Cost of Living Index]]-MIN([1]!Cost_of_Living[Cost of Living Index]))/(MAX([1]!Cost_of_Living[Cost of Living Index])-MIN([1]!Cost_of_Living[Cost of Living Index]))</f>
        <v>0.80109489051094895</v>
      </c>
    </row>
    <row r="319" spans="1:4">
      <c r="A319" s="36" t="s">
        <v>162</v>
      </c>
      <c r="B319" s="36" t="s">
        <v>1124</v>
      </c>
      <c r="C319" s="37">
        <v>90</v>
      </c>
      <c r="D319" s="39">
        <f>1-([1]!Cost_of_Living[[#This Row],[Cost of Living Index]]-MIN([1]!Cost_of_Living[Cost of Living Index]))/(MAX([1]!Cost_of_Living[Cost of Living Index])-MIN([1]!Cost_of_Living[Cost of Living Index]))</f>
        <v>0.80839416058394153</v>
      </c>
    </row>
    <row r="320" spans="1:4">
      <c r="A320" s="36" t="s">
        <v>737</v>
      </c>
      <c r="B320" s="36" t="s">
        <v>1124</v>
      </c>
      <c r="C320" s="37">
        <v>89.8</v>
      </c>
      <c r="D320" s="39">
        <f>1-([1]!Cost_of_Living[[#This Row],[Cost of Living Index]]-MIN([1]!Cost_of_Living[Cost of Living Index]))/(MAX([1]!Cost_of_Living[Cost of Living Index])-MIN([1]!Cost_of_Living[Cost of Living Index]))</f>
        <v>0.81021897810218979</v>
      </c>
    </row>
    <row r="321" spans="1:4">
      <c r="A321" s="36" t="s">
        <v>803</v>
      </c>
      <c r="B321" s="36" t="s">
        <v>1124</v>
      </c>
      <c r="C321" s="37">
        <v>89.4</v>
      </c>
      <c r="D321" s="39">
        <f>1-([1]!Cost_of_Living[[#This Row],[Cost of Living Index]]-MIN([1]!Cost_of_Living[Cost of Living Index]))/(MAX([1]!Cost_of_Living[Cost of Living Index])-MIN([1]!Cost_of_Living[Cost of Living Index]))</f>
        <v>0.81386861313868608</v>
      </c>
    </row>
    <row r="322" spans="1:4">
      <c r="A322" s="36" t="s">
        <v>2460</v>
      </c>
      <c r="B322" s="36" t="s">
        <v>1124</v>
      </c>
      <c r="C322" s="37">
        <v>88.9</v>
      </c>
      <c r="D322" s="39">
        <f>1-([1]!Cost_of_Living[[#This Row],[Cost of Living Index]]-MIN([1]!Cost_of_Living[Cost of Living Index]))/(MAX([1]!Cost_of_Living[Cost of Living Index])-MIN([1]!Cost_of_Living[Cost of Living Index]))</f>
        <v>0.8184306569343065</v>
      </c>
    </row>
    <row r="323" spans="1:4">
      <c r="A323" s="36" t="s">
        <v>87</v>
      </c>
      <c r="B323" s="36" t="s">
        <v>1124</v>
      </c>
      <c r="C323" s="37">
        <v>88.5</v>
      </c>
      <c r="D323" s="39">
        <f>1-([1]!Cost_of_Living[[#This Row],[Cost of Living Index]]-MIN([1]!Cost_of_Living[Cost of Living Index]))/(MAX([1]!Cost_of_Living[Cost of Living Index])-MIN([1]!Cost_of_Living[Cost of Living Index]))</f>
        <v>0.8220802919708029</v>
      </c>
    </row>
    <row r="324" spans="1:4">
      <c r="A324" s="36" t="s">
        <v>273</v>
      </c>
      <c r="B324" s="36" t="s">
        <v>1124</v>
      </c>
      <c r="C324" s="37">
        <v>88.4</v>
      </c>
      <c r="D324" s="39">
        <f>1-([1]!Cost_of_Living[[#This Row],[Cost of Living Index]]-MIN([1]!Cost_of_Living[Cost of Living Index]))/(MAX([1]!Cost_of_Living[Cost of Living Index])-MIN([1]!Cost_of_Living[Cost of Living Index]))</f>
        <v>0.82299270072992692</v>
      </c>
    </row>
    <row r="325" spans="1:4">
      <c r="A325" s="36" t="s">
        <v>524</v>
      </c>
      <c r="B325" s="36" t="s">
        <v>1124</v>
      </c>
      <c r="C325" s="37">
        <v>88.2</v>
      </c>
      <c r="D325" s="39">
        <f>1-([1]!Cost_of_Living[[#This Row],[Cost of Living Index]]-MIN([1]!Cost_of_Living[Cost of Living Index]))/(MAX([1]!Cost_of_Living[Cost of Living Index])-MIN([1]!Cost_of_Living[Cost of Living Index]))</f>
        <v>0.82481751824817517</v>
      </c>
    </row>
    <row r="326" spans="1:4">
      <c r="A326" s="36" t="s">
        <v>2461</v>
      </c>
      <c r="B326" s="36" t="s">
        <v>1124</v>
      </c>
      <c r="C326" s="37">
        <v>87.6</v>
      </c>
      <c r="D326" s="39">
        <f>1-([1]!Cost_of_Living[[#This Row],[Cost of Living Index]]-MIN([1]!Cost_of_Living[Cost of Living Index]))/(MAX([1]!Cost_of_Living[Cost of Living Index])-MIN([1]!Cost_of_Living[Cost of Living Index]))</f>
        <v>0.83029197080291972</v>
      </c>
    </row>
    <row r="327" spans="1:4">
      <c r="A327" s="36" t="s">
        <v>585</v>
      </c>
      <c r="B327" s="36" t="s">
        <v>1124</v>
      </c>
      <c r="C327" s="37">
        <v>87.5</v>
      </c>
      <c r="D327" s="39">
        <f>1-([1]!Cost_of_Living[[#This Row],[Cost of Living Index]]-MIN([1]!Cost_of_Living[Cost of Living Index]))/(MAX([1]!Cost_of_Living[Cost of Living Index])-MIN([1]!Cost_of_Living[Cost of Living Index]))</f>
        <v>0.83120437956204385</v>
      </c>
    </row>
    <row r="328" spans="1:4">
      <c r="A328" s="36" t="s">
        <v>295</v>
      </c>
      <c r="B328" s="36" t="s">
        <v>1124</v>
      </c>
      <c r="C328" s="37">
        <v>87.5</v>
      </c>
      <c r="D328" s="39">
        <f>1-([1]!Cost_of_Living[[#This Row],[Cost of Living Index]]-MIN([1]!Cost_of_Living[Cost of Living Index]))/(MAX([1]!Cost_of_Living[Cost of Living Index])-MIN([1]!Cost_of_Living[Cost of Living Index]))</f>
        <v>0.83120437956204385</v>
      </c>
    </row>
    <row r="329" spans="1:4">
      <c r="A329" s="36" t="s">
        <v>2462</v>
      </c>
      <c r="B329" s="36" t="s">
        <v>1124</v>
      </c>
      <c r="C329" s="37">
        <v>87.4</v>
      </c>
      <c r="D329" s="39">
        <f>1-([1]!Cost_of_Living[[#This Row],[Cost of Living Index]]-MIN([1]!Cost_of_Living[Cost of Living Index]))/(MAX([1]!Cost_of_Living[Cost of Living Index])-MIN([1]!Cost_of_Living[Cost of Living Index]))</f>
        <v>0.83211678832116776</v>
      </c>
    </row>
    <row r="330" spans="1:4">
      <c r="A330" s="36" t="s">
        <v>714</v>
      </c>
      <c r="B330" s="36" t="s">
        <v>1124</v>
      </c>
      <c r="C330" s="37">
        <v>87.2</v>
      </c>
      <c r="D330" s="39">
        <f>1-([1]!Cost_of_Living[[#This Row],[Cost of Living Index]]-MIN([1]!Cost_of_Living[Cost of Living Index]))/(MAX([1]!Cost_of_Living[Cost of Living Index])-MIN([1]!Cost_of_Living[Cost of Living Index]))</f>
        <v>0.83394160583941601</v>
      </c>
    </row>
    <row r="331" spans="1:4">
      <c r="A331" s="36" t="s">
        <v>393</v>
      </c>
      <c r="B331" s="36" t="s">
        <v>1124</v>
      </c>
      <c r="C331" s="37">
        <v>86.6</v>
      </c>
      <c r="D331" s="39">
        <f>1-([1]!Cost_of_Living[[#This Row],[Cost of Living Index]]-MIN([1]!Cost_of_Living[Cost of Living Index]))/(MAX([1]!Cost_of_Living[Cost of Living Index])-MIN([1]!Cost_of_Living[Cost of Living Index]))</f>
        <v>0.83941605839416067</v>
      </c>
    </row>
    <row r="332" spans="1:4">
      <c r="A332" s="36" t="s">
        <v>474</v>
      </c>
      <c r="B332" s="36" t="s">
        <v>1124</v>
      </c>
      <c r="C332" s="37">
        <v>86.4</v>
      </c>
      <c r="D332" s="39">
        <f>1-([1]!Cost_of_Living[[#This Row],[Cost of Living Index]]-MIN([1]!Cost_of_Living[Cost of Living Index]))/(MAX([1]!Cost_of_Living[Cost of Living Index])-MIN([1]!Cost_of_Living[Cost of Living Index]))</f>
        <v>0.8412408759124087</v>
      </c>
    </row>
    <row r="333" spans="1:4">
      <c r="A333" s="36" t="s">
        <v>682</v>
      </c>
      <c r="B333" s="36" t="s">
        <v>1124</v>
      </c>
      <c r="C333" s="37">
        <v>86.2</v>
      </c>
      <c r="D333" s="39">
        <f>1-([1]!Cost_of_Living[[#This Row],[Cost of Living Index]]-MIN([1]!Cost_of_Living[Cost of Living Index]))/(MAX([1]!Cost_of_Living[Cost of Living Index])-MIN([1]!Cost_of_Living[Cost of Living Index]))</f>
        <v>0.84306569343065685</v>
      </c>
    </row>
    <row r="334" spans="1:4">
      <c r="A334" s="36" t="s">
        <v>528</v>
      </c>
      <c r="B334" s="36" t="s">
        <v>1124</v>
      </c>
      <c r="C334" s="37">
        <v>85.7</v>
      </c>
      <c r="D334" s="39">
        <f>1-([1]!Cost_of_Living[[#This Row],[Cost of Living Index]]-MIN([1]!Cost_of_Living[Cost of Living Index]))/(MAX([1]!Cost_of_Living[Cost of Living Index])-MIN([1]!Cost_of_Living[Cost of Living Index]))</f>
        <v>0.84762773722627738</v>
      </c>
    </row>
    <row r="335" spans="1:4">
      <c r="A335" s="36" t="s">
        <v>635</v>
      </c>
      <c r="B335" s="36" t="s">
        <v>1124</v>
      </c>
      <c r="C335" s="37">
        <v>84.7</v>
      </c>
      <c r="D335" s="39">
        <f>1-([1]!Cost_of_Living[[#This Row],[Cost of Living Index]]-MIN([1]!Cost_of_Living[Cost of Living Index]))/(MAX([1]!Cost_of_Living[Cost of Living Index])-MIN([1]!Cost_of_Living[Cost of Living Index]))</f>
        <v>0.85675182481751821</v>
      </c>
    </row>
    <row r="336" spans="1:4">
      <c r="A336" s="36" t="s">
        <v>480</v>
      </c>
      <c r="B336" s="36" t="s">
        <v>1214</v>
      </c>
      <c r="C336" s="37">
        <v>87.3</v>
      </c>
      <c r="D336" s="39">
        <f>1-([1]!Cost_of_Living[[#This Row],[Cost of Living Index]]-MIN([1]!Cost_of_Living[Cost of Living Index]))/(MAX([1]!Cost_of_Living[Cost of Living Index])-MIN([1]!Cost_of_Living[Cost of Living Index]))</f>
        <v>0.83302919708029199</v>
      </c>
    </row>
    <row r="337" spans="1:4">
      <c r="A337" s="36" t="s">
        <v>395</v>
      </c>
      <c r="B337" s="36" t="s">
        <v>1214</v>
      </c>
      <c r="C337" s="37">
        <v>86.7</v>
      </c>
      <c r="D337" s="39">
        <f>1-([1]!Cost_of_Living[[#This Row],[Cost of Living Index]]-MIN([1]!Cost_of_Living[Cost of Living Index]))/(MAX([1]!Cost_of_Living[Cost of Living Index])-MIN([1]!Cost_of_Living[Cost of Living Index]))</f>
        <v>0.83850364963503643</v>
      </c>
    </row>
    <row r="338" spans="1:4">
      <c r="A338" s="36" t="s">
        <v>788</v>
      </c>
      <c r="B338" s="36" t="s">
        <v>1214</v>
      </c>
      <c r="C338" s="37">
        <v>86.3</v>
      </c>
      <c r="D338" s="39">
        <f>1-([1]!Cost_of_Living[[#This Row],[Cost of Living Index]]-MIN([1]!Cost_of_Living[Cost of Living Index]))/(MAX([1]!Cost_of_Living[Cost of Living Index])-MIN([1]!Cost_of_Living[Cost of Living Index]))</f>
        <v>0.84215328467153283</v>
      </c>
    </row>
    <row r="339" spans="1:4">
      <c r="A339" s="36" t="s">
        <v>2463</v>
      </c>
      <c r="B339" s="36" t="s">
        <v>1214</v>
      </c>
      <c r="C339" s="37">
        <v>82.9</v>
      </c>
      <c r="D339" s="39">
        <f>1-([1]!Cost_of_Living[[#This Row],[Cost of Living Index]]-MIN([1]!Cost_of_Living[Cost of Living Index]))/(MAX([1]!Cost_of_Living[Cost of Living Index])-MIN([1]!Cost_of_Living[Cost of Living Index]))</f>
        <v>0.87317518248175174</v>
      </c>
    </row>
    <row r="340" spans="1:4">
      <c r="A340" s="36" t="s">
        <v>2464</v>
      </c>
      <c r="B340" s="36" t="s">
        <v>1214</v>
      </c>
      <c r="C340" s="37">
        <v>82.8</v>
      </c>
      <c r="D340" s="39">
        <f>1-([1]!Cost_of_Living[[#This Row],[Cost of Living Index]]-MIN([1]!Cost_of_Living[Cost of Living Index]))/(MAX([1]!Cost_of_Living[Cost of Living Index])-MIN([1]!Cost_of_Living[Cost of Living Index]))</f>
        <v>0.87408759124087587</v>
      </c>
    </row>
    <row r="341" spans="1:4">
      <c r="A341" s="36" t="s">
        <v>676</v>
      </c>
      <c r="B341" s="36" t="s">
        <v>1214</v>
      </c>
      <c r="C341" s="37">
        <v>82.4</v>
      </c>
      <c r="D341" s="39">
        <f>1-([1]!Cost_of_Living[[#This Row],[Cost of Living Index]]-MIN([1]!Cost_of_Living[Cost of Living Index]))/(MAX([1]!Cost_of_Living[Cost of Living Index])-MIN([1]!Cost_of_Living[Cost of Living Index]))</f>
        <v>0.87773722627737216</v>
      </c>
    </row>
    <row r="342" spans="1:4">
      <c r="A342" s="36" t="s">
        <v>724</v>
      </c>
      <c r="B342" s="36" t="s">
        <v>1214</v>
      </c>
      <c r="C342" s="37">
        <v>81.3</v>
      </c>
      <c r="D342" s="39">
        <f>1-([1]!Cost_of_Living[[#This Row],[Cost of Living Index]]-MIN([1]!Cost_of_Living[Cost of Living Index]))/(MAX([1]!Cost_of_Living[Cost of Living Index])-MIN([1]!Cost_of_Living[Cost of Living Index]))</f>
        <v>0.88777372262773724</v>
      </c>
    </row>
    <row r="343" spans="1:4">
      <c r="A343" s="36" t="s">
        <v>172</v>
      </c>
      <c r="B343" s="36" t="s">
        <v>1236</v>
      </c>
      <c r="C343" s="37">
        <v>116.5</v>
      </c>
      <c r="D343" s="39">
        <f>1-([1]!Cost_of_Living[[#This Row],[Cost of Living Index]]-MIN([1]!Cost_of_Living[Cost of Living Index]))/(MAX([1]!Cost_of_Living[Cost of Living Index])-MIN([1]!Cost_of_Living[Cost of Living Index]))</f>
        <v>0.56660583941605835</v>
      </c>
    </row>
    <row r="344" spans="1:4">
      <c r="A344" s="36" t="s">
        <v>2465</v>
      </c>
      <c r="B344" s="36" t="s">
        <v>1236</v>
      </c>
      <c r="C344" s="37">
        <v>115.9</v>
      </c>
      <c r="D344" s="39">
        <f>1-([1]!Cost_of_Living[[#This Row],[Cost of Living Index]]-MIN([1]!Cost_of_Living[Cost of Living Index]))/(MAX([1]!Cost_of_Living[Cost of Living Index])-MIN([1]!Cost_of_Living[Cost of Living Index]))</f>
        <v>0.57208029197080279</v>
      </c>
    </row>
    <row r="345" spans="1:4">
      <c r="A345" s="36" t="s">
        <v>765</v>
      </c>
      <c r="B345" s="36" t="s">
        <v>1236</v>
      </c>
      <c r="C345" s="37">
        <v>110.6</v>
      </c>
      <c r="D345" s="39">
        <f>1-([1]!Cost_of_Living[[#This Row],[Cost of Living Index]]-MIN([1]!Cost_of_Living[Cost of Living Index]))/(MAX([1]!Cost_of_Living[Cost of Living Index])-MIN([1]!Cost_of_Living[Cost of Living Index]))</f>
        <v>0.62043795620437958</v>
      </c>
    </row>
    <row r="346" spans="1:4">
      <c r="A346" s="36" t="s">
        <v>721</v>
      </c>
      <c r="B346" s="36" t="s">
        <v>1236</v>
      </c>
      <c r="C346" s="37">
        <v>108.4</v>
      </c>
      <c r="D346" s="39">
        <f>1-([1]!Cost_of_Living[[#This Row],[Cost of Living Index]]-MIN([1]!Cost_of_Living[Cost of Living Index]))/(MAX([1]!Cost_of_Living[Cost of Living Index])-MIN([1]!Cost_of_Living[Cost of Living Index]))</f>
        <v>0.6405109489051094</v>
      </c>
    </row>
    <row r="347" spans="1:4">
      <c r="A347" s="36" t="s">
        <v>76</v>
      </c>
      <c r="B347" s="36" t="s">
        <v>1236</v>
      </c>
      <c r="C347" s="37">
        <v>107.5</v>
      </c>
      <c r="D347" s="39">
        <f>1-([1]!Cost_of_Living[[#This Row],[Cost of Living Index]]-MIN([1]!Cost_of_Living[Cost of Living Index]))/(MAX([1]!Cost_of_Living[Cost of Living Index])-MIN([1]!Cost_of_Living[Cost of Living Index]))</f>
        <v>0.64872262773722622</v>
      </c>
    </row>
    <row r="348" spans="1:4">
      <c r="A348" s="36" t="s">
        <v>2466</v>
      </c>
      <c r="B348" s="36" t="s">
        <v>1236</v>
      </c>
      <c r="C348" s="37">
        <v>106.6</v>
      </c>
      <c r="D348" s="39">
        <f>1-([1]!Cost_of_Living[[#This Row],[Cost of Living Index]]-MIN([1]!Cost_of_Living[Cost of Living Index]))/(MAX([1]!Cost_of_Living[Cost of Living Index])-MIN([1]!Cost_of_Living[Cost of Living Index]))</f>
        <v>0.65693430656934315</v>
      </c>
    </row>
    <row r="349" spans="1:4">
      <c r="A349" s="36" t="s">
        <v>393</v>
      </c>
      <c r="B349" s="36" t="s">
        <v>1236</v>
      </c>
      <c r="C349" s="37">
        <v>105.8</v>
      </c>
      <c r="D349" s="39">
        <f>1-([1]!Cost_of_Living[[#This Row],[Cost of Living Index]]-MIN([1]!Cost_of_Living[Cost of Living Index]))/(MAX([1]!Cost_of_Living[Cost of Living Index])-MIN([1]!Cost_of_Living[Cost of Living Index]))</f>
        <v>0.66423357664233573</v>
      </c>
    </row>
    <row r="350" spans="1:4">
      <c r="A350" s="36" t="s">
        <v>184</v>
      </c>
      <c r="B350" s="36" t="s">
        <v>1236</v>
      </c>
      <c r="C350" s="37">
        <v>105.4</v>
      </c>
      <c r="D350" s="39">
        <f>1-([1]!Cost_of_Living[[#This Row],[Cost of Living Index]]-MIN([1]!Cost_of_Living[Cost of Living Index]))/(MAX([1]!Cost_of_Living[Cost of Living Index])-MIN([1]!Cost_of_Living[Cost of Living Index]))</f>
        <v>0.66788321167883202</v>
      </c>
    </row>
    <row r="351" spans="1:4">
      <c r="A351" s="36" t="s">
        <v>2467</v>
      </c>
      <c r="B351" s="36" t="s">
        <v>1236</v>
      </c>
      <c r="C351" s="37">
        <v>102</v>
      </c>
      <c r="D351" s="39">
        <f>1-([1]!Cost_of_Living[[#This Row],[Cost of Living Index]]-MIN([1]!Cost_of_Living[Cost of Living Index]))/(MAX([1]!Cost_of_Living[Cost of Living Index])-MIN([1]!Cost_of_Living[Cost of Living Index]))</f>
        <v>0.69890510948905105</v>
      </c>
    </row>
    <row r="352" spans="1:4">
      <c r="A352" s="36" t="s">
        <v>2468</v>
      </c>
      <c r="B352" s="36" t="s">
        <v>1236</v>
      </c>
      <c r="C352" s="37">
        <v>100.8</v>
      </c>
      <c r="D352" s="39">
        <f>1-([1]!Cost_of_Living[[#This Row],[Cost of Living Index]]-MIN([1]!Cost_of_Living[Cost of Living Index]))/(MAX([1]!Cost_of_Living[Cost of Living Index])-MIN([1]!Cost_of_Living[Cost of Living Index]))</f>
        <v>0.70985401459854014</v>
      </c>
    </row>
    <row r="353" spans="1:4">
      <c r="A353" s="36" t="s">
        <v>2469</v>
      </c>
      <c r="B353" s="36" t="s">
        <v>1236</v>
      </c>
      <c r="C353" s="37">
        <v>97.9</v>
      </c>
      <c r="D353" s="39">
        <f>1-([1]!Cost_of_Living[[#This Row],[Cost of Living Index]]-MIN([1]!Cost_of_Living[Cost of Living Index]))/(MAX([1]!Cost_of_Living[Cost of Living Index])-MIN([1]!Cost_of_Living[Cost of Living Index]))</f>
        <v>0.73631386861313863</v>
      </c>
    </row>
    <row r="354" spans="1:4">
      <c r="A354" s="36" t="s">
        <v>579</v>
      </c>
      <c r="B354" s="36" t="s">
        <v>1236</v>
      </c>
      <c r="C354" s="37">
        <v>97.1</v>
      </c>
      <c r="D354" s="39">
        <f>1-([1]!Cost_of_Living[[#This Row],[Cost of Living Index]]-MIN([1]!Cost_of_Living[Cost of Living Index]))/(MAX([1]!Cost_of_Living[Cost of Living Index])-MIN([1]!Cost_of_Living[Cost of Living Index]))</f>
        <v>0.74361313868613144</v>
      </c>
    </row>
    <row r="355" spans="1:4">
      <c r="A355" s="36" t="s">
        <v>19</v>
      </c>
      <c r="B355" s="36" t="s">
        <v>844</v>
      </c>
      <c r="C355" s="37">
        <v>103.4</v>
      </c>
      <c r="D355" s="39">
        <f>1-([1]!Cost_of_Living[[#This Row],[Cost of Living Index]]-MIN([1]!Cost_of_Living[Cost of Living Index]))/(MAX([1]!Cost_of_Living[Cost of Living Index])-MIN([1]!Cost_of_Living[Cost of Living Index]))</f>
        <v>0.68613138686131381</v>
      </c>
    </row>
    <row r="356" spans="1:4">
      <c r="A356" s="36" t="s">
        <v>2470</v>
      </c>
      <c r="B356" s="36" t="s">
        <v>844</v>
      </c>
      <c r="C356" s="37">
        <v>99.8</v>
      </c>
      <c r="D356" s="39">
        <f>1-([1]!Cost_of_Living[[#This Row],[Cost of Living Index]]-MIN([1]!Cost_of_Living[Cost of Living Index]))/(MAX([1]!Cost_of_Living[Cost of Living Index])-MIN([1]!Cost_of_Living[Cost of Living Index]))</f>
        <v>0.71897810218978098</v>
      </c>
    </row>
    <row r="357" spans="1:4">
      <c r="A357" s="36" t="s">
        <v>460</v>
      </c>
      <c r="B357" s="36" t="s">
        <v>844</v>
      </c>
      <c r="C357" s="37">
        <v>99.5</v>
      </c>
      <c r="D357" s="39">
        <f>1-([1]!Cost_of_Living[[#This Row],[Cost of Living Index]]-MIN([1]!Cost_of_Living[Cost of Living Index]))/(MAX([1]!Cost_of_Living[Cost of Living Index])-MIN([1]!Cost_of_Living[Cost of Living Index]))</f>
        <v>0.72171532846715325</v>
      </c>
    </row>
    <row r="358" spans="1:4">
      <c r="A358" s="36" t="s">
        <v>540</v>
      </c>
      <c r="B358" s="36" t="s">
        <v>844</v>
      </c>
      <c r="C358" s="37">
        <v>98.9</v>
      </c>
      <c r="D358" s="39">
        <f>1-([1]!Cost_of_Living[[#This Row],[Cost of Living Index]]-MIN([1]!Cost_of_Living[Cost of Living Index]))/(MAX([1]!Cost_of_Living[Cost of Living Index])-MIN([1]!Cost_of_Living[Cost of Living Index]))</f>
        <v>0.72718978102189769</v>
      </c>
    </row>
    <row r="359" spans="1:4">
      <c r="A359" s="36" t="s">
        <v>382</v>
      </c>
      <c r="B359" s="36" t="s">
        <v>844</v>
      </c>
      <c r="C359" s="37">
        <v>98.2</v>
      </c>
      <c r="D359" s="39">
        <f>1-([1]!Cost_of_Living[[#This Row],[Cost of Living Index]]-MIN([1]!Cost_of_Living[Cost of Living Index]))/(MAX([1]!Cost_of_Living[Cost of Living Index])-MIN([1]!Cost_of_Living[Cost of Living Index]))</f>
        <v>0.73357664233576636</v>
      </c>
    </row>
    <row r="360" spans="1:4">
      <c r="A360" s="36" t="s">
        <v>586</v>
      </c>
      <c r="B360" s="36" t="s">
        <v>844</v>
      </c>
      <c r="C360" s="37">
        <v>96.1</v>
      </c>
      <c r="D360" s="39">
        <f>1-([1]!Cost_of_Living[[#This Row],[Cost of Living Index]]-MIN([1]!Cost_of_Living[Cost of Living Index]))/(MAX([1]!Cost_of_Living[Cost of Living Index])-MIN([1]!Cost_of_Living[Cost of Living Index]))</f>
        <v>0.75273722627737227</v>
      </c>
    </row>
    <row r="361" spans="1:4">
      <c r="A361" s="36" t="s">
        <v>642</v>
      </c>
      <c r="B361" s="36" t="s">
        <v>844</v>
      </c>
      <c r="C361" s="37">
        <v>96</v>
      </c>
      <c r="D361" s="39">
        <f>1-([1]!Cost_of_Living[[#This Row],[Cost of Living Index]]-MIN([1]!Cost_of_Living[Cost of Living Index]))/(MAX([1]!Cost_of_Living[Cost of Living Index])-MIN([1]!Cost_of_Living[Cost of Living Index]))</f>
        <v>0.75364963503649629</v>
      </c>
    </row>
    <row r="362" spans="1:4">
      <c r="A362" s="36" t="s">
        <v>672</v>
      </c>
      <c r="B362" s="36" t="s">
        <v>844</v>
      </c>
      <c r="C362" s="37">
        <v>95.8</v>
      </c>
      <c r="D362" s="39">
        <f>1-([1]!Cost_of_Living[[#This Row],[Cost of Living Index]]-MIN([1]!Cost_of_Living[Cost of Living Index]))/(MAX([1]!Cost_of_Living[Cost of Living Index])-MIN([1]!Cost_of_Living[Cost of Living Index]))</f>
        <v>0.75547445255474455</v>
      </c>
    </row>
    <row r="363" spans="1:4">
      <c r="A363" s="36" t="s">
        <v>604</v>
      </c>
      <c r="B363" s="36" t="s">
        <v>844</v>
      </c>
      <c r="C363" s="37">
        <v>95.8</v>
      </c>
      <c r="D363" s="39">
        <f>1-([1]!Cost_of_Living[[#This Row],[Cost of Living Index]]-MIN([1]!Cost_of_Living[Cost of Living Index]))/(MAX([1]!Cost_of_Living[Cost of Living Index])-MIN([1]!Cost_of_Living[Cost of Living Index]))</f>
        <v>0.75547445255474455</v>
      </c>
    </row>
    <row r="364" spans="1:4">
      <c r="A364" s="36" t="s">
        <v>650</v>
      </c>
      <c r="B364" s="36" t="s">
        <v>844</v>
      </c>
      <c r="C364" s="37">
        <v>95.7</v>
      </c>
      <c r="D364" s="39">
        <f>1-([1]!Cost_of_Living[[#This Row],[Cost of Living Index]]-MIN([1]!Cost_of_Living[Cost of Living Index]))/(MAX([1]!Cost_of_Living[Cost of Living Index])-MIN([1]!Cost_of_Living[Cost of Living Index]))</f>
        <v>0.75638686131386856</v>
      </c>
    </row>
    <row r="365" spans="1:4">
      <c r="A365" s="36" t="s">
        <v>668</v>
      </c>
      <c r="B365" s="36" t="s">
        <v>844</v>
      </c>
      <c r="C365" s="37">
        <v>95.4</v>
      </c>
      <c r="D365" s="39">
        <f>1-([1]!Cost_of_Living[[#This Row],[Cost of Living Index]]-MIN([1]!Cost_of_Living[Cost of Living Index]))/(MAX([1]!Cost_of_Living[Cost of Living Index])-MIN([1]!Cost_of_Living[Cost of Living Index]))</f>
        <v>0.75912408759124084</v>
      </c>
    </row>
    <row r="366" spans="1:4">
      <c r="A366" s="36" t="s">
        <v>566</v>
      </c>
      <c r="B366" s="36" t="s">
        <v>844</v>
      </c>
      <c r="C366" s="37">
        <v>93.4</v>
      </c>
      <c r="D366" s="39">
        <f>1-([1]!Cost_of_Living[[#This Row],[Cost of Living Index]]-MIN([1]!Cost_of_Living[Cost of Living Index]))/(MAX([1]!Cost_of_Living[Cost of Living Index])-MIN([1]!Cost_of_Living[Cost of Living Index]))</f>
        <v>0.77737226277372251</v>
      </c>
    </row>
    <row r="367" spans="1:4">
      <c r="A367" s="36" t="s">
        <v>553</v>
      </c>
      <c r="B367" s="36" t="s">
        <v>844</v>
      </c>
      <c r="C367" s="37">
        <v>93.2</v>
      </c>
      <c r="D367" s="39">
        <f>1-([1]!Cost_of_Living[[#This Row],[Cost of Living Index]]-MIN([1]!Cost_of_Living[Cost of Living Index]))/(MAX([1]!Cost_of_Living[Cost of Living Index])-MIN([1]!Cost_of_Living[Cost of Living Index]))</f>
        <v>0.77919708029197077</v>
      </c>
    </row>
    <row r="368" spans="1:4">
      <c r="A368" s="36" t="s">
        <v>356</v>
      </c>
      <c r="B368" s="36" t="s">
        <v>844</v>
      </c>
      <c r="C368" s="37">
        <v>93.1</v>
      </c>
      <c r="D368" s="39">
        <f>1-([1]!Cost_of_Living[[#This Row],[Cost of Living Index]]-MIN([1]!Cost_of_Living[Cost of Living Index]))/(MAX([1]!Cost_of_Living[Cost of Living Index])-MIN([1]!Cost_of_Living[Cost of Living Index]))</f>
        <v>0.7801094890510949</v>
      </c>
    </row>
    <row r="369" spans="1:4">
      <c r="A369" s="36" t="s">
        <v>622</v>
      </c>
      <c r="B369" s="36" t="s">
        <v>844</v>
      </c>
      <c r="C369" s="37">
        <v>91.8</v>
      </c>
      <c r="D369" s="39">
        <f>1-([1]!Cost_of_Living[[#This Row],[Cost of Living Index]]-MIN([1]!Cost_of_Living[Cost of Living Index]))/(MAX([1]!Cost_of_Living[Cost of Living Index])-MIN([1]!Cost_of_Living[Cost of Living Index]))</f>
        <v>0.79197080291970801</v>
      </c>
    </row>
    <row r="370" spans="1:4">
      <c r="A370" s="36" t="s">
        <v>504</v>
      </c>
      <c r="B370" s="36" t="s">
        <v>844</v>
      </c>
      <c r="C370" s="37">
        <v>91.3</v>
      </c>
      <c r="D370" s="39">
        <f>1-([1]!Cost_of_Living[[#This Row],[Cost of Living Index]]-MIN([1]!Cost_of_Living[Cost of Living Index]))/(MAX([1]!Cost_of_Living[Cost of Living Index])-MIN([1]!Cost_of_Living[Cost of Living Index]))</f>
        <v>0.79653284671532854</v>
      </c>
    </row>
    <row r="371" spans="1:4">
      <c r="A371" s="36" t="s">
        <v>2471</v>
      </c>
      <c r="B371" s="36" t="s">
        <v>844</v>
      </c>
      <c r="C371" s="37">
        <v>90.8</v>
      </c>
      <c r="D371" s="39">
        <f>1-([1]!Cost_of_Living[[#This Row],[Cost of Living Index]]-MIN([1]!Cost_of_Living[Cost of Living Index]))/(MAX([1]!Cost_of_Living[Cost of Living Index])-MIN([1]!Cost_of_Living[Cost of Living Index]))</f>
        <v>0.80109489051094895</v>
      </c>
    </row>
    <row r="372" spans="1:4">
      <c r="A372" s="36" t="s">
        <v>416</v>
      </c>
      <c r="B372" s="36" t="s">
        <v>844</v>
      </c>
      <c r="C372" s="37">
        <v>90.8</v>
      </c>
      <c r="D372" s="39">
        <f>1-([1]!Cost_of_Living[[#This Row],[Cost of Living Index]]-MIN([1]!Cost_of_Living[Cost of Living Index]))/(MAX([1]!Cost_of_Living[Cost of Living Index])-MIN([1]!Cost_of_Living[Cost of Living Index]))</f>
        <v>0.80109489051094895</v>
      </c>
    </row>
    <row r="373" spans="1:4">
      <c r="A373" s="36" t="s">
        <v>2472</v>
      </c>
      <c r="B373" s="36" t="s">
        <v>844</v>
      </c>
      <c r="C373" s="37">
        <v>89.3</v>
      </c>
      <c r="D373" s="39">
        <f>1-([1]!Cost_of_Living[[#This Row],[Cost of Living Index]]-MIN([1]!Cost_of_Living[Cost of Living Index]))/(MAX([1]!Cost_of_Living[Cost of Living Index])-MIN([1]!Cost_of_Living[Cost of Living Index]))</f>
        <v>0.81478102189781021</v>
      </c>
    </row>
    <row r="374" spans="1:4">
      <c r="A374" s="36" t="s">
        <v>2473</v>
      </c>
      <c r="B374" s="36" t="s">
        <v>844</v>
      </c>
      <c r="C374" s="37">
        <v>88.6</v>
      </c>
      <c r="D374" s="39">
        <f>1-([1]!Cost_of_Living[[#This Row],[Cost of Living Index]]-MIN([1]!Cost_of_Living[Cost of Living Index]))/(MAX([1]!Cost_of_Living[Cost of Living Index])-MIN([1]!Cost_of_Living[Cost of Living Index]))</f>
        <v>0.82116788321167888</v>
      </c>
    </row>
    <row r="375" spans="1:4">
      <c r="A375" s="36" t="s">
        <v>603</v>
      </c>
      <c r="B375" s="36" t="s">
        <v>844</v>
      </c>
      <c r="C375" s="37">
        <v>88.5</v>
      </c>
      <c r="D375" s="39">
        <f>1-([1]!Cost_of_Living[[#This Row],[Cost of Living Index]]-MIN([1]!Cost_of_Living[Cost of Living Index]))/(MAX([1]!Cost_of_Living[Cost of Living Index])-MIN([1]!Cost_of_Living[Cost of Living Index]))</f>
        <v>0.8220802919708029</v>
      </c>
    </row>
    <row r="376" spans="1:4">
      <c r="A376" s="36" t="s">
        <v>2474</v>
      </c>
      <c r="B376" s="36" t="s">
        <v>844</v>
      </c>
      <c r="C376" s="37">
        <v>88.2</v>
      </c>
      <c r="D376" s="39">
        <f>1-([1]!Cost_of_Living[[#This Row],[Cost of Living Index]]-MIN([1]!Cost_of_Living[Cost of Living Index]))/(MAX([1]!Cost_of_Living[Cost of Living Index])-MIN([1]!Cost_of_Living[Cost of Living Index]))</f>
        <v>0.82481751824817517</v>
      </c>
    </row>
    <row r="377" spans="1:4">
      <c r="A377" s="36" t="s">
        <v>2475</v>
      </c>
      <c r="B377" s="36" t="s">
        <v>844</v>
      </c>
      <c r="C377" s="37">
        <v>88.1</v>
      </c>
      <c r="D377" s="39">
        <f>1-([1]!Cost_of_Living[[#This Row],[Cost of Living Index]]-MIN([1]!Cost_of_Living[Cost of Living Index]))/(MAX([1]!Cost_of_Living[Cost of Living Index])-MIN([1]!Cost_of_Living[Cost of Living Index]))</f>
        <v>0.8257299270072993</v>
      </c>
    </row>
    <row r="378" spans="1:4">
      <c r="A378" s="36" t="s">
        <v>2476</v>
      </c>
      <c r="B378" s="36" t="s">
        <v>844</v>
      </c>
      <c r="C378" s="37">
        <v>87.6</v>
      </c>
      <c r="D378" s="39">
        <f>1-([1]!Cost_of_Living[[#This Row],[Cost of Living Index]]-MIN([1]!Cost_of_Living[Cost of Living Index]))/(MAX([1]!Cost_of_Living[Cost of Living Index])-MIN([1]!Cost_of_Living[Cost of Living Index]))</f>
        <v>0.83029197080291972</v>
      </c>
    </row>
    <row r="379" spans="1:4">
      <c r="A379" s="36" t="s">
        <v>2477</v>
      </c>
      <c r="B379" s="36" t="s">
        <v>844</v>
      </c>
      <c r="C379" s="37">
        <v>87</v>
      </c>
      <c r="D379" s="39">
        <f>1-([1]!Cost_of_Living[[#This Row],[Cost of Living Index]]-MIN([1]!Cost_of_Living[Cost of Living Index]))/(MAX([1]!Cost_of_Living[Cost of Living Index])-MIN([1]!Cost_of_Living[Cost of Living Index]))</f>
        <v>0.83576642335766427</v>
      </c>
    </row>
    <row r="380" spans="1:4">
      <c r="A380" s="36" t="s">
        <v>91</v>
      </c>
      <c r="B380" s="36" t="s">
        <v>883</v>
      </c>
      <c r="C380" s="37">
        <v>111.5</v>
      </c>
      <c r="D380" s="39">
        <f>1-([1]!Cost_of_Living[[#This Row],[Cost of Living Index]]-MIN([1]!Cost_of_Living[Cost of Living Index]))/(MAX([1]!Cost_of_Living[Cost of Living Index])-MIN([1]!Cost_of_Living[Cost of Living Index]))</f>
        <v>0.61222627737226276</v>
      </c>
    </row>
    <row r="381" spans="1:4">
      <c r="A381" s="36" t="s">
        <v>2478</v>
      </c>
      <c r="B381" s="36" t="s">
        <v>1164</v>
      </c>
      <c r="C381" s="37">
        <v>109.4</v>
      </c>
      <c r="D381" s="39">
        <f>1-([1]!Cost_of_Living[[#This Row],[Cost of Living Index]]-MIN([1]!Cost_of_Living[Cost of Living Index]))/(MAX([1]!Cost_of_Living[Cost of Living Index])-MIN([1]!Cost_of_Living[Cost of Living Index]))</f>
        <v>0.63138686131386856</v>
      </c>
    </row>
    <row r="382" spans="1:4">
      <c r="A382" s="36" t="s">
        <v>293</v>
      </c>
      <c r="B382" s="36" t="s">
        <v>1164</v>
      </c>
      <c r="C382" s="37">
        <v>101.7</v>
      </c>
      <c r="D382" s="39">
        <f>1-([1]!Cost_of_Living[[#This Row],[Cost of Living Index]]-MIN([1]!Cost_of_Living[Cost of Living Index]))/(MAX([1]!Cost_of_Living[Cost of Living Index])-MIN([1]!Cost_of_Living[Cost of Living Index]))</f>
        <v>0.70164233576642332</v>
      </c>
    </row>
    <row r="383" spans="1:4">
      <c r="A383" s="36" t="s">
        <v>268</v>
      </c>
      <c r="B383" s="36" t="s">
        <v>1164</v>
      </c>
      <c r="C383" s="37">
        <v>95</v>
      </c>
      <c r="D383" s="39">
        <f>1-([1]!Cost_of_Living[[#This Row],[Cost of Living Index]]-MIN([1]!Cost_of_Living[Cost of Living Index]))/(MAX([1]!Cost_of_Living[Cost of Living Index])-MIN([1]!Cost_of_Living[Cost of Living Index]))</f>
        <v>0.76277372262773724</v>
      </c>
    </row>
    <row r="384" spans="1:4">
      <c r="A384" s="36" t="s">
        <v>2479</v>
      </c>
      <c r="B384" s="36" t="s">
        <v>1164</v>
      </c>
      <c r="C384" s="37">
        <v>94.7</v>
      </c>
      <c r="D384" s="39">
        <f>1-([1]!Cost_of_Living[[#This Row],[Cost of Living Index]]-MIN([1]!Cost_of_Living[Cost of Living Index]))/(MAX([1]!Cost_of_Living[Cost of Living Index])-MIN([1]!Cost_of_Living[Cost of Living Index]))</f>
        <v>0.76551094890510951</v>
      </c>
    </row>
    <row r="385" spans="1:4">
      <c r="A385" s="36" t="s">
        <v>2480</v>
      </c>
      <c r="B385" s="36" t="s">
        <v>1164</v>
      </c>
      <c r="C385" s="37">
        <v>94</v>
      </c>
      <c r="D385" s="39">
        <f>1-([1]!Cost_of_Living[[#This Row],[Cost of Living Index]]-MIN([1]!Cost_of_Living[Cost of Living Index]))/(MAX([1]!Cost_of_Living[Cost of Living Index])-MIN([1]!Cost_of_Living[Cost of Living Index]))</f>
        <v>0.77189781021897808</v>
      </c>
    </row>
    <row r="386" spans="1:4">
      <c r="A386" s="36" t="s">
        <v>131</v>
      </c>
      <c r="B386" s="36" t="s">
        <v>1164</v>
      </c>
      <c r="C386" s="37">
        <v>91.9</v>
      </c>
      <c r="D386" s="39">
        <f>1-([1]!Cost_of_Living[[#This Row],[Cost of Living Index]]-MIN([1]!Cost_of_Living[Cost of Living Index]))/(MAX([1]!Cost_of_Living[Cost of Living Index])-MIN([1]!Cost_of_Living[Cost of Living Index]))</f>
        <v>0.79105839416058388</v>
      </c>
    </row>
    <row r="387" spans="1:4">
      <c r="A387" s="36" t="s">
        <v>562</v>
      </c>
      <c r="B387" s="36" t="s">
        <v>1164</v>
      </c>
      <c r="C387" s="37">
        <v>91</v>
      </c>
      <c r="D387" s="39">
        <f>1-([1]!Cost_of_Living[[#This Row],[Cost of Living Index]]-MIN([1]!Cost_of_Living[Cost of Living Index]))/(MAX([1]!Cost_of_Living[Cost of Living Index])-MIN([1]!Cost_of_Living[Cost of Living Index]))</f>
        <v>0.7992700729927007</v>
      </c>
    </row>
    <row r="388" spans="1:4">
      <c r="A388" s="36" t="s">
        <v>601</v>
      </c>
      <c r="B388" s="36" t="s">
        <v>1164</v>
      </c>
      <c r="C388" s="37">
        <v>88.7</v>
      </c>
      <c r="D388" s="39">
        <f>1-([1]!Cost_of_Living[[#This Row],[Cost of Living Index]]-MIN([1]!Cost_of_Living[Cost of Living Index]))/(MAX([1]!Cost_of_Living[Cost of Living Index])-MIN([1]!Cost_of_Living[Cost of Living Index]))</f>
        <v>0.82025547445255476</v>
      </c>
    </row>
    <row r="389" spans="1:4">
      <c r="A389" s="36" t="s">
        <v>722</v>
      </c>
      <c r="B389" s="36" t="s">
        <v>1164</v>
      </c>
      <c r="C389" s="37">
        <v>88.1</v>
      </c>
      <c r="D389" s="39">
        <f>1-([1]!Cost_of_Living[[#This Row],[Cost of Living Index]]-MIN([1]!Cost_of_Living[Cost of Living Index]))/(MAX([1]!Cost_of_Living[Cost of Living Index])-MIN([1]!Cost_of_Living[Cost of Living Index]))</f>
        <v>0.8257299270072993</v>
      </c>
    </row>
    <row r="390" spans="1:4">
      <c r="A390" s="36" t="s">
        <v>580</v>
      </c>
      <c r="B390" s="36" t="s">
        <v>1164</v>
      </c>
      <c r="C390" s="37">
        <v>87.7</v>
      </c>
      <c r="D390" s="39">
        <f>1-([1]!Cost_of_Living[[#This Row],[Cost of Living Index]]-MIN([1]!Cost_of_Living[Cost of Living Index]))/(MAX([1]!Cost_of_Living[Cost of Living Index])-MIN([1]!Cost_of_Living[Cost of Living Index]))</f>
        <v>0.82937956204379559</v>
      </c>
    </row>
    <row r="391" spans="1:4">
      <c r="A391" s="36" t="s">
        <v>628</v>
      </c>
      <c r="B391" s="36" t="s">
        <v>1164</v>
      </c>
      <c r="C391" s="37">
        <v>85.3</v>
      </c>
      <c r="D391" s="39">
        <f>1-([1]!Cost_of_Living[[#This Row],[Cost of Living Index]]-MIN([1]!Cost_of_Living[Cost of Living Index]))/(MAX([1]!Cost_of_Living[Cost of Living Index])-MIN([1]!Cost_of_Living[Cost of Living Index]))</f>
        <v>0.85127737226277378</v>
      </c>
    </row>
    <row r="392" spans="1:4">
      <c r="A392" s="36" t="s">
        <v>573</v>
      </c>
      <c r="B392" s="36" t="s">
        <v>2000</v>
      </c>
      <c r="C392" s="37">
        <v>94.2</v>
      </c>
      <c r="D392" s="39">
        <f>1-([1]!Cost_of_Living[[#This Row],[Cost of Living Index]]-MIN([1]!Cost_of_Living[Cost of Living Index]))/(MAX([1]!Cost_of_Living[Cost of Living Index])-MIN([1]!Cost_of_Living[Cost of Living Index]))</f>
        <v>0.77007299270072993</v>
      </c>
    </row>
    <row r="393" spans="1:4">
      <c r="A393" s="36" t="s">
        <v>609</v>
      </c>
      <c r="B393" s="36" t="s">
        <v>2000</v>
      </c>
      <c r="C393" s="37">
        <v>92.8</v>
      </c>
      <c r="D393" s="39">
        <f>1-([1]!Cost_of_Living[[#This Row],[Cost of Living Index]]-MIN([1]!Cost_of_Living[Cost of Living Index]))/(MAX([1]!Cost_of_Living[Cost of Living Index])-MIN([1]!Cost_of_Living[Cost of Living Index]))</f>
        <v>0.78284671532846717</v>
      </c>
    </row>
    <row r="394" spans="1:4">
      <c r="A394" s="36" t="s">
        <v>2481</v>
      </c>
      <c r="B394" s="36" t="s">
        <v>872</v>
      </c>
      <c r="C394" s="37">
        <v>103.5</v>
      </c>
      <c r="D394" s="39">
        <f>1-([1]!Cost_of_Living[[#This Row],[Cost of Living Index]]-MIN([1]!Cost_of_Living[Cost of Living Index]))/(MAX([1]!Cost_of_Living[Cost of Living Index])-MIN([1]!Cost_of_Living[Cost of Living Index]))</f>
        <v>0.68521897810218979</v>
      </c>
    </row>
    <row r="395" spans="1:4">
      <c r="A395" s="36" t="s">
        <v>110</v>
      </c>
      <c r="B395" s="36" t="s">
        <v>872</v>
      </c>
      <c r="C395" s="37">
        <v>100.1</v>
      </c>
      <c r="D395" s="39">
        <f>1-([1]!Cost_of_Living[[#This Row],[Cost of Living Index]]-MIN([1]!Cost_of_Living[Cost of Living Index]))/(MAX([1]!Cost_of_Living[Cost of Living Index])-MIN([1]!Cost_of_Living[Cost of Living Index]))</f>
        <v>0.71624087591240881</v>
      </c>
    </row>
    <row r="396" spans="1:4">
      <c r="A396" s="36" t="s">
        <v>659</v>
      </c>
      <c r="B396" s="36" t="s">
        <v>872</v>
      </c>
      <c r="C396" s="37">
        <v>91.6</v>
      </c>
      <c r="D396" s="39">
        <f>1-([1]!Cost_of_Living[[#This Row],[Cost of Living Index]]-MIN([1]!Cost_of_Living[Cost of Living Index]))/(MAX([1]!Cost_of_Living[Cost of Living Index])-MIN([1]!Cost_of_Living[Cost of Living Index]))</f>
        <v>0.79379562043795626</v>
      </c>
    </row>
    <row r="397" spans="1:4">
      <c r="A397" s="36" t="s">
        <v>423</v>
      </c>
      <c r="B397" s="36" t="s">
        <v>872</v>
      </c>
      <c r="C397" s="37">
        <v>91.2</v>
      </c>
      <c r="D397" s="39">
        <f>1-([1]!Cost_of_Living[[#This Row],[Cost of Living Index]]-MIN([1]!Cost_of_Living[Cost of Living Index]))/(MAX([1]!Cost_of_Living[Cost of Living Index])-MIN([1]!Cost_of_Living[Cost of Living Index]))</f>
        <v>0.79744525547445255</v>
      </c>
    </row>
    <row r="398" spans="1:4">
      <c r="A398" s="36" t="s">
        <v>442</v>
      </c>
      <c r="B398" s="36" t="s">
        <v>872</v>
      </c>
      <c r="C398" s="37">
        <v>90.9</v>
      </c>
      <c r="D398" s="39">
        <f>1-([1]!Cost_of_Living[[#This Row],[Cost of Living Index]]-MIN([1]!Cost_of_Living[Cost of Living Index]))/(MAX([1]!Cost_of_Living[Cost of Living Index])-MIN([1]!Cost_of_Living[Cost of Living Index]))</f>
        <v>0.80018248175182471</v>
      </c>
    </row>
    <row r="399" spans="1:4">
      <c r="A399" s="36" t="s">
        <v>162</v>
      </c>
      <c r="B399" s="36" t="s">
        <v>872</v>
      </c>
      <c r="C399" s="37">
        <v>89.5</v>
      </c>
      <c r="D399" s="39">
        <f>1-([1]!Cost_of_Living[[#This Row],[Cost of Living Index]]-MIN([1]!Cost_of_Living[Cost of Living Index]))/(MAX([1]!Cost_of_Living[Cost of Living Index])-MIN([1]!Cost_of_Living[Cost of Living Index]))</f>
        <v>0.81295620437956206</v>
      </c>
    </row>
    <row r="400" spans="1:4">
      <c r="A400" s="36" t="s">
        <v>521</v>
      </c>
      <c r="B400" s="36" t="s">
        <v>872</v>
      </c>
      <c r="C400" s="37">
        <v>88.7</v>
      </c>
      <c r="D400" s="39">
        <f>1-([1]!Cost_of_Living[[#This Row],[Cost of Living Index]]-MIN([1]!Cost_of_Living[Cost of Living Index]))/(MAX([1]!Cost_of_Living[Cost of Living Index])-MIN([1]!Cost_of_Living[Cost of Living Index]))</f>
        <v>0.82025547445255476</v>
      </c>
    </row>
    <row r="401" spans="1:4">
      <c r="A401" s="36" t="s">
        <v>2482</v>
      </c>
      <c r="B401" s="36" t="s">
        <v>872</v>
      </c>
      <c r="C401" s="37">
        <v>88.7</v>
      </c>
      <c r="D401" s="39">
        <f>1-([1]!Cost_of_Living[[#This Row],[Cost of Living Index]]-MIN([1]!Cost_of_Living[Cost of Living Index]))/(MAX([1]!Cost_of_Living[Cost of Living Index])-MIN([1]!Cost_of_Living[Cost of Living Index]))</f>
        <v>0.82025547445255476</v>
      </c>
    </row>
    <row r="402" spans="1:4">
      <c r="A402" s="36" t="s">
        <v>506</v>
      </c>
      <c r="B402" s="36" t="s">
        <v>872</v>
      </c>
      <c r="C402" s="37">
        <v>88.2</v>
      </c>
      <c r="D402" s="39">
        <f>1-([1]!Cost_of_Living[[#This Row],[Cost of Living Index]]-MIN([1]!Cost_of_Living[Cost of Living Index]))/(MAX([1]!Cost_of_Living[Cost of Living Index])-MIN([1]!Cost_of_Living[Cost of Living Index]))</f>
        <v>0.82481751824817517</v>
      </c>
    </row>
    <row r="403" spans="1:4">
      <c r="A403" s="36" t="s">
        <v>807</v>
      </c>
      <c r="B403" s="36" t="s">
        <v>872</v>
      </c>
      <c r="C403" s="37">
        <v>88.1</v>
      </c>
      <c r="D403" s="39">
        <f>1-([1]!Cost_of_Living[[#This Row],[Cost of Living Index]]-MIN([1]!Cost_of_Living[Cost of Living Index]))/(MAX([1]!Cost_of_Living[Cost of Living Index])-MIN([1]!Cost_of_Living[Cost of Living Index]))</f>
        <v>0.8257299270072993</v>
      </c>
    </row>
    <row r="404" spans="1:4">
      <c r="A404" s="36" t="s">
        <v>706</v>
      </c>
      <c r="B404" s="36" t="s">
        <v>872</v>
      </c>
      <c r="C404" s="37">
        <v>87.3</v>
      </c>
      <c r="D404" s="39">
        <f>1-([1]!Cost_of_Living[[#This Row],[Cost of Living Index]]-MIN([1]!Cost_of_Living[Cost of Living Index]))/(MAX([1]!Cost_of_Living[Cost of Living Index])-MIN([1]!Cost_of_Living[Cost of Living Index]))</f>
        <v>0.83302919708029199</v>
      </c>
    </row>
    <row r="405" spans="1:4">
      <c r="A405" s="36" t="s">
        <v>691</v>
      </c>
      <c r="B405" s="36" t="s">
        <v>872</v>
      </c>
      <c r="C405" s="37">
        <v>86.5</v>
      </c>
      <c r="D405" s="39">
        <f>1-([1]!Cost_of_Living[[#This Row],[Cost of Living Index]]-MIN([1]!Cost_of_Living[Cost of Living Index]))/(MAX([1]!Cost_of_Living[Cost of Living Index])-MIN([1]!Cost_of_Living[Cost of Living Index]))</f>
        <v>0.84032846715328469</v>
      </c>
    </row>
    <row r="406" spans="1:4">
      <c r="A406" s="36" t="s">
        <v>2483</v>
      </c>
      <c r="B406" s="36" t="s">
        <v>872</v>
      </c>
      <c r="C406" s="37">
        <v>86</v>
      </c>
      <c r="D406" s="39">
        <f>1-([1]!Cost_of_Living[[#This Row],[Cost of Living Index]]-MIN([1]!Cost_of_Living[Cost of Living Index]))/(MAX([1]!Cost_of_Living[Cost of Living Index])-MIN([1]!Cost_of_Living[Cost of Living Index]))</f>
        <v>0.8448905109489051</v>
      </c>
    </row>
    <row r="407" spans="1:4">
      <c r="A407" s="36" t="s">
        <v>430</v>
      </c>
      <c r="B407" s="36" t="s">
        <v>872</v>
      </c>
      <c r="C407" s="37">
        <v>85.2</v>
      </c>
      <c r="D407" s="39">
        <f>1-([1]!Cost_of_Living[[#This Row],[Cost of Living Index]]-MIN([1]!Cost_of_Living[Cost of Living Index]))/(MAX([1]!Cost_of_Living[Cost of Living Index])-MIN([1]!Cost_of_Living[Cost of Living Index]))</f>
        <v>0.8521897810218978</v>
      </c>
    </row>
    <row r="408" spans="1:4">
      <c r="A408" s="36" t="s">
        <v>23</v>
      </c>
      <c r="B408" s="36" t="s">
        <v>851</v>
      </c>
      <c r="C408" s="37">
        <v>106.6</v>
      </c>
      <c r="D408" s="39">
        <f>1-([1]!Cost_of_Living[[#This Row],[Cost of Living Index]]-MIN([1]!Cost_of_Living[Cost of Living Index]))/(MAX([1]!Cost_of_Living[Cost of Living Index])-MIN([1]!Cost_of_Living[Cost of Living Index]))</f>
        <v>0.65693430656934315</v>
      </c>
    </row>
    <row r="409" spans="1:4">
      <c r="A409" s="36" t="s">
        <v>202</v>
      </c>
      <c r="B409" s="36" t="s">
        <v>851</v>
      </c>
      <c r="C409" s="37">
        <v>98.5</v>
      </c>
      <c r="D409" s="39">
        <f>1-([1]!Cost_of_Living[[#This Row],[Cost of Living Index]]-MIN([1]!Cost_of_Living[Cost of Living Index]))/(MAX([1]!Cost_of_Living[Cost of Living Index])-MIN([1]!Cost_of_Living[Cost of Living Index]))</f>
        <v>0.7308394160583942</v>
      </c>
    </row>
    <row r="410" spans="1:4">
      <c r="A410" s="36" t="s">
        <v>700</v>
      </c>
      <c r="B410" s="36" t="s">
        <v>851</v>
      </c>
      <c r="C410" s="37">
        <v>97.8</v>
      </c>
      <c r="D410" s="39">
        <f>1-([1]!Cost_of_Living[[#This Row],[Cost of Living Index]]-MIN([1]!Cost_of_Living[Cost of Living Index]))/(MAX([1]!Cost_of_Living[Cost of Living Index])-MIN([1]!Cost_of_Living[Cost of Living Index]))</f>
        <v>0.73722627737226276</v>
      </c>
    </row>
    <row r="411" spans="1:4">
      <c r="A411" s="36" t="s">
        <v>122</v>
      </c>
      <c r="B411" s="36" t="s">
        <v>851</v>
      </c>
      <c r="C411" s="37">
        <v>95.8</v>
      </c>
      <c r="D411" s="39">
        <f>1-([1]!Cost_of_Living[[#This Row],[Cost of Living Index]]-MIN([1]!Cost_of_Living[Cost of Living Index]))/(MAX([1]!Cost_of_Living[Cost of Living Index])-MIN([1]!Cost_of_Living[Cost of Living Index]))</f>
        <v>0.75547445255474455</v>
      </c>
    </row>
    <row r="412" spans="1:4">
      <c r="A412" s="36" t="s">
        <v>469</v>
      </c>
      <c r="B412" s="36" t="s">
        <v>851</v>
      </c>
      <c r="C412" s="37">
        <v>93.3</v>
      </c>
      <c r="D412" s="39">
        <f>1-([1]!Cost_of_Living[[#This Row],[Cost of Living Index]]-MIN([1]!Cost_of_Living[Cost of Living Index]))/(MAX([1]!Cost_of_Living[Cost of Living Index])-MIN([1]!Cost_of_Living[Cost of Living Index]))</f>
        <v>0.77828467153284675</v>
      </c>
    </row>
    <row r="413" spans="1:4">
      <c r="A413" s="36" t="s">
        <v>87</v>
      </c>
      <c r="B413" s="36" t="s">
        <v>851</v>
      </c>
      <c r="C413" s="37">
        <v>92.9</v>
      </c>
      <c r="D413" s="39">
        <f>1-([1]!Cost_of_Living[[#This Row],[Cost of Living Index]]-MIN([1]!Cost_of_Living[Cost of Living Index]))/(MAX([1]!Cost_of_Living[Cost of Living Index])-MIN([1]!Cost_of_Living[Cost of Living Index]))</f>
        <v>0.78193430656934304</v>
      </c>
    </row>
    <row r="414" spans="1:4">
      <c r="A414" s="36" t="s">
        <v>715</v>
      </c>
      <c r="B414" s="36" t="s">
        <v>851</v>
      </c>
      <c r="C414" s="37">
        <v>92.8</v>
      </c>
      <c r="D414" s="39">
        <f>1-([1]!Cost_of_Living[[#This Row],[Cost of Living Index]]-MIN([1]!Cost_of_Living[Cost of Living Index]))/(MAX([1]!Cost_of_Living[Cost of Living Index])-MIN([1]!Cost_of_Living[Cost of Living Index]))</f>
        <v>0.78284671532846717</v>
      </c>
    </row>
    <row r="415" spans="1:4">
      <c r="A415" s="36" t="s">
        <v>600</v>
      </c>
      <c r="B415" s="36" t="s">
        <v>851</v>
      </c>
      <c r="C415" s="37">
        <v>92.7</v>
      </c>
      <c r="D415" s="39">
        <f>1-([1]!Cost_of_Living[[#This Row],[Cost of Living Index]]-MIN([1]!Cost_of_Living[Cost of Living Index]))/(MAX([1]!Cost_of_Living[Cost of Living Index])-MIN([1]!Cost_of_Living[Cost of Living Index]))</f>
        <v>0.78375912408759119</v>
      </c>
    </row>
    <row r="416" spans="1:4">
      <c r="A416" s="36" t="s">
        <v>249</v>
      </c>
      <c r="B416" s="36" t="s">
        <v>851</v>
      </c>
      <c r="C416" s="37">
        <v>92.7</v>
      </c>
      <c r="D416" s="39">
        <f>1-([1]!Cost_of_Living[[#This Row],[Cost of Living Index]]-MIN([1]!Cost_of_Living[Cost of Living Index]))/(MAX([1]!Cost_of_Living[Cost of Living Index])-MIN([1]!Cost_of_Living[Cost of Living Index]))</f>
        <v>0.78375912408759119</v>
      </c>
    </row>
    <row r="417" spans="1:4">
      <c r="A417" s="36" t="s">
        <v>56</v>
      </c>
      <c r="B417" s="36" t="s">
        <v>851</v>
      </c>
      <c r="C417" s="37">
        <v>92.3</v>
      </c>
      <c r="D417" s="39">
        <f>1-([1]!Cost_of_Living[[#This Row],[Cost of Living Index]]-MIN([1]!Cost_of_Living[Cost of Living Index]))/(MAX([1]!Cost_of_Living[Cost of Living Index])-MIN([1]!Cost_of_Living[Cost of Living Index]))</f>
        <v>0.78740875912408759</v>
      </c>
    </row>
    <row r="418" spans="1:4">
      <c r="A418" s="36" t="s">
        <v>639</v>
      </c>
      <c r="B418" s="36" t="s">
        <v>851</v>
      </c>
      <c r="C418" s="37">
        <v>91.3</v>
      </c>
      <c r="D418" s="39">
        <f>1-([1]!Cost_of_Living[[#This Row],[Cost of Living Index]]-MIN([1]!Cost_of_Living[Cost of Living Index]))/(MAX([1]!Cost_of_Living[Cost of Living Index])-MIN([1]!Cost_of_Living[Cost of Living Index]))</f>
        <v>0.79653284671532854</v>
      </c>
    </row>
    <row r="419" spans="1:4">
      <c r="A419" s="36" t="s">
        <v>351</v>
      </c>
      <c r="B419" s="36" t="s">
        <v>851</v>
      </c>
      <c r="C419" s="37">
        <v>91.2</v>
      </c>
      <c r="D419" s="39">
        <f>1-([1]!Cost_of_Living[[#This Row],[Cost of Living Index]]-MIN([1]!Cost_of_Living[Cost of Living Index]))/(MAX([1]!Cost_of_Living[Cost of Living Index])-MIN([1]!Cost_of_Living[Cost of Living Index]))</f>
        <v>0.79744525547445255</v>
      </c>
    </row>
    <row r="420" spans="1:4">
      <c r="A420" s="36" t="s">
        <v>520</v>
      </c>
      <c r="B420" s="36" t="s">
        <v>851</v>
      </c>
      <c r="C420" s="37">
        <v>90.7</v>
      </c>
      <c r="D420" s="39">
        <f>1-([1]!Cost_of_Living[[#This Row],[Cost of Living Index]]-MIN([1]!Cost_of_Living[Cost of Living Index]))/(MAX([1]!Cost_of_Living[Cost of Living Index])-MIN([1]!Cost_of_Living[Cost of Living Index]))</f>
        <v>0.80200729927007297</v>
      </c>
    </row>
    <row r="421" spans="1:4">
      <c r="A421" s="36" t="s">
        <v>577</v>
      </c>
      <c r="B421" s="36" t="s">
        <v>851</v>
      </c>
      <c r="C421" s="37">
        <v>90.1</v>
      </c>
      <c r="D421" s="39">
        <f>1-([1]!Cost_of_Living[[#This Row],[Cost of Living Index]]-MIN([1]!Cost_of_Living[Cost of Living Index]))/(MAX([1]!Cost_of_Living[Cost of Living Index])-MIN([1]!Cost_of_Living[Cost of Living Index]))</f>
        <v>0.80748175182481763</v>
      </c>
    </row>
    <row r="422" spans="1:4">
      <c r="A422" s="36" t="s">
        <v>611</v>
      </c>
      <c r="B422" s="36" t="s">
        <v>851</v>
      </c>
      <c r="C422" s="37">
        <v>89.9</v>
      </c>
      <c r="D422" s="39">
        <f>1-([1]!Cost_of_Living[[#This Row],[Cost of Living Index]]-MIN([1]!Cost_of_Living[Cost of Living Index]))/(MAX([1]!Cost_of_Living[Cost of Living Index])-MIN([1]!Cost_of_Living[Cost of Living Index]))</f>
        <v>0.80930656934306566</v>
      </c>
    </row>
    <row r="423" spans="1:4">
      <c r="A423" s="36" t="s">
        <v>404</v>
      </c>
      <c r="B423" s="36" t="s">
        <v>851</v>
      </c>
      <c r="C423" s="37">
        <v>89.6</v>
      </c>
      <c r="D423" s="39">
        <f>1-([1]!Cost_of_Living[[#This Row],[Cost of Living Index]]-MIN([1]!Cost_of_Living[Cost of Living Index]))/(MAX([1]!Cost_of_Living[Cost of Living Index])-MIN([1]!Cost_of_Living[Cost of Living Index]))</f>
        <v>0.81204379562043805</v>
      </c>
    </row>
    <row r="424" spans="1:4">
      <c r="A424" s="36" t="s">
        <v>634</v>
      </c>
      <c r="B424" s="36" t="s">
        <v>851</v>
      </c>
      <c r="C424" s="37">
        <v>89.5</v>
      </c>
      <c r="D424" s="39">
        <f>1-([1]!Cost_of_Living[[#This Row],[Cost of Living Index]]-MIN([1]!Cost_of_Living[Cost of Living Index]))/(MAX([1]!Cost_of_Living[Cost of Living Index])-MIN([1]!Cost_of_Living[Cost of Living Index]))</f>
        <v>0.81295620437956206</v>
      </c>
    </row>
    <row r="425" spans="1:4">
      <c r="A425" s="36" t="s">
        <v>187</v>
      </c>
      <c r="B425" s="36" t="s">
        <v>851</v>
      </c>
      <c r="C425" s="37">
        <v>89.5</v>
      </c>
      <c r="D425" s="39">
        <f>1-([1]!Cost_of_Living[[#This Row],[Cost of Living Index]]-MIN([1]!Cost_of_Living[Cost of Living Index]))/(MAX([1]!Cost_of_Living[Cost of Living Index])-MIN([1]!Cost_of_Living[Cost of Living Index]))</f>
        <v>0.81295620437956206</v>
      </c>
    </row>
    <row r="426" spans="1:4">
      <c r="A426" s="36" t="s">
        <v>488</v>
      </c>
      <c r="B426" s="36" t="s">
        <v>851</v>
      </c>
      <c r="C426" s="37">
        <v>89.1</v>
      </c>
      <c r="D426" s="39">
        <f>1-([1]!Cost_of_Living[[#This Row],[Cost of Living Index]]-MIN([1]!Cost_of_Living[Cost of Living Index]))/(MAX([1]!Cost_of_Living[Cost of Living Index])-MIN([1]!Cost_of_Living[Cost of Living Index]))</f>
        <v>0.81660583941605847</v>
      </c>
    </row>
    <row r="427" spans="1:4">
      <c r="A427" s="36" t="s">
        <v>193</v>
      </c>
      <c r="B427" s="36" t="s">
        <v>851</v>
      </c>
      <c r="C427" s="37">
        <v>88.8</v>
      </c>
      <c r="D427" s="39">
        <f>1-([1]!Cost_of_Living[[#This Row],[Cost of Living Index]]-MIN([1]!Cost_of_Living[Cost of Living Index]))/(MAX([1]!Cost_of_Living[Cost of Living Index])-MIN([1]!Cost_of_Living[Cost of Living Index]))</f>
        <v>0.81934306569343063</v>
      </c>
    </row>
    <row r="428" spans="1:4">
      <c r="A428" s="36" t="s">
        <v>352</v>
      </c>
      <c r="B428" s="36" t="s">
        <v>851</v>
      </c>
      <c r="C428" s="37">
        <v>88.6</v>
      </c>
      <c r="D428" s="39">
        <f>1-([1]!Cost_of_Living[[#This Row],[Cost of Living Index]]-MIN([1]!Cost_of_Living[Cost of Living Index]))/(MAX([1]!Cost_of_Living[Cost of Living Index])-MIN([1]!Cost_of_Living[Cost of Living Index]))</f>
        <v>0.82116788321167888</v>
      </c>
    </row>
    <row r="429" spans="1:4">
      <c r="A429" s="36" t="s">
        <v>282</v>
      </c>
      <c r="B429" s="36" t="s">
        <v>851</v>
      </c>
      <c r="C429" s="37">
        <v>88.6</v>
      </c>
      <c r="D429" s="39">
        <f>1-([1]!Cost_of_Living[[#This Row],[Cost of Living Index]]-MIN([1]!Cost_of_Living[Cost of Living Index]))/(MAX([1]!Cost_of_Living[Cost of Living Index])-MIN([1]!Cost_of_Living[Cost of Living Index]))</f>
        <v>0.82116788321167888</v>
      </c>
    </row>
    <row r="430" spans="1:4">
      <c r="A430" s="36" t="s">
        <v>2484</v>
      </c>
      <c r="B430" s="36" t="s">
        <v>851</v>
      </c>
      <c r="C430" s="37">
        <v>88.6</v>
      </c>
      <c r="D430" s="39">
        <f>1-([1]!Cost_of_Living[[#This Row],[Cost of Living Index]]-MIN([1]!Cost_of_Living[Cost of Living Index]))/(MAX([1]!Cost_of_Living[Cost of Living Index])-MIN([1]!Cost_of_Living[Cost of Living Index]))</f>
        <v>0.82116788321167888</v>
      </c>
    </row>
    <row r="431" spans="1:4">
      <c r="A431" s="36" t="s">
        <v>658</v>
      </c>
      <c r="B431" s="36" t="s">
        <v>851</v>
      </c>
      <c r="C431" s="37">
        <v>88.5</v>
      </c>
      <c r="D431" s="39">
        <f>1-([1]!Cost_of_Living[[#This Row],[Cost of Living Index]]-MIN([1]!Cost_of_Living[Cost of Living Index]))/(MAX([1]!Cost_of_Living[Cost of Living Index])-MIN([1]!Cost_of_Living[Cost of Living Index]))</f>
        <v>0.8220802919708029</v>
      </c>
    </row>
    <row r="432" spans="1:4">
      <c r="A432" s="36" t="s">
        <v>2485</v>
      </c>
      <c r="B432" s="36" t="s">
        <v>851</v>
      </c>
      <c r="C432" s="37">
        <v>88.2</v>
      </c>
      <c r="D432" s="39">
        <f>1-([1]!Cost_of_Living[[#This Row],[Cost of Living Index]]-MIN([1]!Cost_of_Living[Cost of Living Index]))/(MAX([1]!Cost_of_Living[Cost of Living Index])-MIN([1]!Cost_of_Living[Cost of Living Index]))</f>
        <v>0.82481751824817517</v>
      </c>
    </row>
    <row r="433" spans="1:4">
      <c r="A433" s="36" t="s">
        <v>2486</v>
      </c>
      <c r="B433" s="36" t="s">
        <v>851</v>
      </c>
      <c r="C433" s="37">
        <v>88.2</v>
      </c>
      <c r="D433" s="39">
        <f>1-([1]!Cost_of_Living[[#This Row],[Cost of Living Index]]-MIN([1]!Cost_of_Living[Cost of Living Index]))/(MAX([1]!Cost_of_Living[Cost of Living Index])-MIN([1]!Cost_of_Living[Cost of Living Index]))</f>
        <v>0.82481751824817517</v>
      </c>
    </row>
    <row r="434" spans="1:4">
      <c r="A434" s="36" t="s">
        <v>2487</v>
      </c>
      <c r="B434" s="36" t="s">
        <v>851</v>
      </c>
      <c r="C434" s="37">
        <v>87.8</v>
      </c>
      <c r="D434" s="39">
        <f>1-([1]!Cost_of_Living[[#This Row],[Cost of Living Index]]-MIN([1]!Cost_of_Living[Cost of Living Index]))/(MAX([1]!Cost_of_Living[Cost of Living Index])-MIN([1]!Cost_of_Living[Cost of Living Index]))</f>
        <v>0.82846715328467158</v>
      </c>
    </row>
    <row r="435" spans="1:4">
      <c r="A435" s="36" t="s">
        <v>699</v>
      </c>
      <c r="B435" s="36" t="s">
        <v>851</v>
      </c>
      <c r="C435" s="37">
        <v>86.3</v>
      </c>
      <c r="D435" s="39">
        <f>1-([1]!Cost_of_Living[[#This Row],[Cost of Living Index]]-MIN([1]!Cost_of_Living[Cost of Living Index]))/(MAX([1]!Cost_of_Living[Cost of Living Index])-MIN([1]!Cost_of_Living[Cost of Living Index]))</f>
        <v>0.84215328467153283</v>
      </c>
    </row>
    <row r="436" spans="1:4">
      <c r="A436" s="36" t="s">
        <v>656</v>
      </c>
      <c r="B436" s="36" t="s">
        <v>851</v>
      </c>
      <c r="C436" s="37">
        <v>86</v>
      </c>
      <c r="D436" s="39">
        <f>1-([1]!Cost_of_Living[[#This Row],[Cost of Living Index]]-MIN([1]!Cost_of_Living[Cost of Living Index]))/(MAX([1]!Cost_of_Living[Cost of Living Index])-MIN([1]!Cost_of_Living[Cost of Living Index]))</f>
        <v>0.8448905109489051</v>
      </c>
    </row>
    <row r="437" spans="1:4">
      <c r="A437" s="36" t="s">
        <v>590</v>
      </c>
      <c r="B437" s="36" t="s">
        <v>851</v>
      </c>
      <c r="C437" s="37">
        <v>85.7</v>
      </c>
      <c r="D437" s="39">
        <f>1-([1]!Cost_of_Living[[#This Row],[Cost of Living Index]]-MIN([1]!Cost_of_Living[Cost of Living Index]))/(MAX([1]!Cost_of_Living[Cost of Living Index])-MIN([1]!Cost_of_Living[Cost of Living Index]))</f>
        <v>0.84762773722627738</v>
      </c>
    </row>
    <row r="438" spans="1:4">
      <c r="A438" s="36" t="s">
        <v>66</v>
      </c>
      <c r="B438" s="36" t="s">
        <v>950</v>
      </c>
      <c r="C438" s="37">
        <v>105.9</v>
      </c>
      <c r="D438" s="39">
        <f>1-([1]!Cost_of_Living[[#This Row],[Cost of Living Index]]-MIN([1]!Cost_of_Living[Cost of Living Index]))/(MAX([1]!Cost_of_Living[Cost of Living Index])-MIN([1]!Cost_of_Living[Cost of Living Index]))</f>
        <v>0.6633211678832116</v>
      </c>
    </row>
    <row r="439" spans="1:4">
      <c r="A439" s="36" t="s">
        <v>83</v>
      </c>
      <c r="B439" s="36" t="s">
        <v>950</v>
      </c>
      <c r="C439" s="37">
        <v>100.9</v>
      </c>
      <c r="D439" s="39">
        <f>1-([1]!Cost_of_Living[[#This Row],[Cost of Living Index]]-MIN([1]!Cost_of_Living[Cost of Living Index]))/(MAX([1]!Cost_of_Living[Cost of Living Index])-MIN([1]!Cost_of_Living[Cost of Living Index]))</f>
        <v>0.70894160583941601</v>
      </c>
    </row>
    <row r="440" spans="1:4">
      <c r="A440" s="36" t="s">
        <v>809</v>
      </c>
      <c r="B440" s="36" t="s">
        <v>950</v>
      </c>
      <c r="C440" s="37">
        <v>99.8</v>
      </c>
      <c r="D440" s="39">
        <f>1-([1]!Cost_of_Living[[#This Row],[Cost of Living Index]]-MIN([1]!Cost_of_Living[Cost of Living Index]))/(MAX([1]!Cost_of_Living[Cost of Living Index])-MIN([1]!Cost_of_Living[Cost of Living Index]))</f>
        <v>0.71897810218978098</v>
      </c>
    </row>
    <row r="441" spans="1:4">
      <c r="A441" s="36" t="s">
        <v>563</v>
      </c>
      <c r="B441" s="36" t="s">
        <v>950</v>
      </c>
      <c r="C441" s="37">
        <v>98</v>
      </c>
      <c r="D441" s="39">
        <f>1-([1]!Cost_of_Living[[#This Row],[Cost of Living Index]]-MIN([1]!Cost_of_Living[Cost of Living Index]))/(MAX([1]!Cost_of_Living[Cost of Living Index])-MIN([1]!Cost_of_Living[Cost of Living Index]))</f>
        <v>0.73540145985401462</v>
      </c>
    </row>
    <row r="442" spans="1:4">
      <c r="A442" s="36" t="s">
        <v>786</v>
      </c>
      <c r="B442" s="36" t="s">
        <v>950</v>
      </c>
      <c r="C442" s="37">
        <v>95.2</v>
      </c>
      <c r="D442" s="39">
        <f>1-([1]!Cost_of_Living[[#This Row],[Cost of Living Index]]-MIN([1]!Cost_of_Living[Cost of Living Index]))/(MAX([1]!Cost_of_Living[Cost of Living Index])-MIN([1]!Cost_of_Living[Cost of Living Index]))</f>
        <v>0.76094890510948898</v>
      </c>
    </row>
    <row r="443" spans="1:4">
      <c r="A443" s="36" t="s">
        <v>759</v>
      </c>
      <c r="B443" s="36" t="s">
        <v>943</v>
      </c>
      <c r="C443" s="37">
        <v>102.1</v>
      </c>
      <c r="D443" s="39">
        <f>1-([1]!Cost_of_Living[[#This Row],[Cost of Living Index]]-MIN([1]!Cost_of_Living[Cost of Living Index]))/(MAX([1]!Cost_of_Living[Cost of Living Index])-MIN([1]!Cost_of_Living[Cost of Living Index]))</f>
        <v>0.69799270072992703</v>
      </c>
    </row>
    <row r="444" spans="1:4">
      <c r="A444" s="36" t="s">
        <v>165</v>
      </c>
      <c r="B444" s="36" t="s">
        <v>943</v>
      </c>
      <c r="C444" s="37">
        <v>99.2</v>
      </c>
      <c r="D444" s="39">
        <f>1-([1]!Cost_of_Living[[#This Row],[Cost of Living Index]]-MIN([1]!Cost_of_Living[Cost of Living Index]))/(MAX([1]!Cost_of_Living[Cost of Living Index])-MIN([1]!Cost_of_Living[Cost of Living Index]))</f>
        <v>0.72445255474452552</v>
      </c>
    </row>
    <row r="445" spans="1:4">
      <c r="A445" s="36" t="s">
        <v>479</v>
      </c>
      <c r="B445" s="36" t="s">
        <v>943</v>
      </c>
      <c r="C445" s="37">
        <v>99</v>
      </c>
      <c r="D445" s="39">
        <f>1-([1]!Cost_of_Living[[#This Row],[Cost of Living Index]]-MIN([1]!Cost_of_Living[Cost of Living Index]))/(MAX([1]!Cost_of_Living[Cost of Living Index])-MIN([1]!Cost_of_Living[Cost of Living Index]))</f>
        <v>0.72627737226277378</v>
      </c>
    </row>
    <row r="446" spans="1:4">
      <c r="A446" s="36" t="s">
        <v>581</v>
      </c>
      <c r="B446" s="36" t="s">
        <v>943</v>
      </c>
      <c r="C446" s="37">
        <v>97.2</v>
      </c>
      <c r="D446" s="39">
        <f>1-([1]!Cost_of_Living[[#This Row],[Cost of Living Index]]-MIN([1]!Cost_of_Living[Cost of Living Index]))/(MAX([1]!Cost_of_Living[Cost of Living Index])-MIN([1]!Cost_of_Living[Cost of Living Index]))</f>
        <v>0.7427007299270072</v>
      </c>
    </row>
    <row r="447" spans="1:4">
      <c r="A447" s="36" t="s">
        <v>254</v>
      </c>
      <c r="B447" s="36" t="s">
        <v>943</v>
      </c>
      <c r="C447" s="37">
        <v>95.5</v>
      </c>
      <c r="D447" s="39">
        <f>1-([1]!Cost_of_Living[[#This Row],[Cost of Living Index]]-MIN([1]!Cost_of_Living[Cost of Living Index]))/(MAX([1]!Cost_of_Living[Cost of Living Index])-MIN([1]!Cost_of_Living[Cost of Living Index]))</f>
        <v>0.75821167883211671</v>
      </c>
    </row>
    <row r="448" spans="1:4">
      <c r="A448" s="36" t="s">
        <v>80</v>
      </c>
      <c r="B448" s="36" t="s">
        <v>943</v>
      </c>
      <c r="C448" s="37">
        <v>94.5</v>
      </c>
      <c r="D448" s="39">
        <f>1-([1]!Cost_of_Living[[#This Row],[Cost of Living Index]]-MIN([1]!Cost_of_Living[Cost of Living Index]))/(MAX([1]!Cost_of_Living[Cost of Living Index])-MIN([1]!Cost_of_Living[Cost of Living Index]))</f>
        <v>0.76733576642335766</v>
      </c>
    </row>
    <row r="449" spans="1:4">
      <c r="A449" s="36" t="s">
        <v>662</v>
      </c>
      <c r="B449" s="36" t="s">
        <v>943</v>
      </c>
      <c r="C449" s="37">
        <v>94.5</v>
      </c>
      <c r="D449" s="39">
        <f>1-([1]!Cost_of_Living[[#This Row],[Cost of Living Index]]-MIN([1]!Cost_of_Living[Cost of Living Index]))/(MAX([1]!Cost_of_Living[Cost of Living Index])-MIN([1]!Cost_of_Living[Cost of Living Index]))</f>
        <v>0.76733576642335766</v>
      </c>
    </row>
    <row r="450" spans="1:4">
      <c r="A450" s="36" t="s">
        <v>624</v>
      </c>
      <c r="B450" s="36" t="s">
        <v>943</v>
      </c>
      <c r="C450" s="37">
        <v>94.1</v>
      </c>
      <c r="D450" s="39">
        <f>1-([1]!Cost_of_Living[[#This Row],[Cost of Living Index]]-MIN([1]!Cost_of_Living[Cost of Living Index]))/(MAX([1]!Cost_of_Living[Cost of Living Index])-MIN([1]!Cost_of_Living[Cost of Living Index]))</f>
        <v>0.77098540145985406</v>
      </c>
    </row>
    <row r="451" spans="1:4">
      <c r="A451" s="36" t="s">
        <v>211</v>
      </c>
      <c r="B451" s="36" t="s">
        <v>943</v>
      </c>
      <c r="C451" s="37">
        <v>93.6</v>
      </c>
      <c r="D451" s="39">
        <f>1-([1]!Cost_of_Living[[#This Row],[Cost of Living Index]]-MIN([1]!Cost_of_Living[Cost of Living Index]))/(MAX([1]!Cost_of_Living[Cost of Living Index])-MIN([1]!Cost_of_Living[Cost of Living Index]))</f>
        <v>0.77554744525547448</v>
      </c>
    </row>
    <row r="452" spans="1:4">
      <c r="A452" s="36" t="s">
        <v>569</v>
      </c>
      <c r="B452" s="36" t="s">
        <v>943</v>
      </c>
      <c r="C452" s="37">
        <v>87.1</v>
      </c>
      <c r="D452" s="39">
        <f>1-([1]!Cost_of_Living[[#This Row],[Cost of Living Index]]-MIN([1]!Cost_of_Living[Cost of Living Index]))/(MAX([1]!Cost_of_Living[Cost of Living Index])-MIN([1]!Cost_of_Living[Cost of Living Index]))</f>
        <v>0.83485401459854014</v>
      </c>
    </row>
    <row r="453" spans="1:4">
      <c r="A453" s="36" t="s">
        <v>2488</v>
      </c>
      <c r="B453" s="36" t="s">
        <v>943</v>
      </c>
      <c r="C453" s="37">
        <v>85</v>
      </c>
      <c r="D453" s="39">
        <f>1-([1]!Cost_of_Living[[#This Row],[Cost of Living Index]]-MIN([1]!Cost_of_Living[Cost of Living Index]))/(MAX([1]!Cost_of_Living[Cost of Living Index])-MIN([1]!Cost_of_Living[Cost of Living Index]))</f>
        <v>0.85401459854014594</v>
      </c>
    </row>
    <row r="454" spans="1:4">
      <c r="A454" s="36" t="s">
        <v>158</v>
      </c>
      <c r="B454" s="36" t="s">
        <v>1004</v>
      </c>
      <c r="C454" s="37">
        <v>112.8</v>
      </c>
      <c r="D454" s="39">
        <f>1-([1]!Cost_of_Living[[#This Row],[Cost of Living Index]]-MIN([1]!Cost_of_Living[Cost of Living Index]))/(MAX([1]!Cost_of_Living[Cost of Living Index])-MIN([1]!Cost_of_Living[Cost of Living Index]))</f>
        <v>0.60036496350364965</v>
      </c>
    </row>
    <row r="455" spans="1:4">
      <c r="A455" s="36" t="s">
        <v>2489</v>
      </c>
      <c r="B455" s="36" t="s">
        <v>979</v>
      </c>
      <c r="C455" s="37">
        <v>125.2</v>
      </c>
      <c r="D455" s="39">
        <f>1-([1]!Cost_of_Living[[#This Row],[Cost of Living Index]]-MIN([1]!Cost_of_Living[Cost of Living Index]))/(MAX([1]!Cost_of_Living[Cost of Living Index])-MIN([1]!Cost_of_Living[Cost of Living Index]))</f>
        <v>0.48722627737226276</v>
      </c>
    </row>
    <row r="456" spans="1:4">
      <c r="A456" s="36" t="s">
        <v>346</v>
      </c>
      <c r="B456" s="36" t="s">
        <v>979</v>
      </c>
      <c r="C456" s="37">
        <v>124.6</v>
      </c>
      <c r="D456" s="39">
        <f>1-([1]!Cost_of_Living[[#This Row],[Cost of Living Index]]-MIN([1]!Cost_of_Living[Cost of Living Index]))/(MAX([1]!Cost_of_Living[Cost of Living Index])-MIN([1]!Cost_of_Living[Cost of Living Index]))</f>
        <v>0.49270072992700731</v>
      </c>
    </row>
    <row r="457" spans="1:4">
      <c r="A457" s="36" t="s">
        <v>2490</v>
      </c>
      <c r="B457" s="36" t="s">
        <v>979</v>
      </c>
      <c r="C457" s="37">
        <v>115</v>
      </c>
      <c r="D457" s="39">
        <f>1-([1]!Cost_of_Living[[#This Row],[Cost of Living Index]]-MIN([1]!Cost_of_Living[Cost of Living Index]))/(MAX([1]!Cost_of_Living[Cost of Living Index])-MIN([1]!Cost_of_Living[Cost of Living Index]))</f>
        <v>0.58029197080291972</v>
      </c>
    </row>
    <row r="458" spans="1:4">
      <c r="A458" s="36" t="s">
        <v>263</v>
      </c>
      <c r="B458" s="36" t="s">
        <v>979</v>
      </c>
      <c r="C458" s="37">
        <v>111.6</v>
      </c>
      <c r="D458" s="39">
        <f>1-([1]!Cost_of_Living[[#This Row],[Cost of Living Index]]-MIN([1]!Cost_of_Living[Cost of Living Index]))/(MAX([1]!Cost_of_Living[Cost of Living Index])-MIN([1]!Cost_of_Living[Cost of Living Index]))</f>
        <v>0.61131386861313874</v>
      </c>
    </row>
    <row r="459" spans="1:4">
      <c r="A459" s="36" t="s">
        <v>391</v>
      </c>
      <c r="B459" s="36" t="s">
        <v>979</v>
      </c>
      <c r="C459" s="37">
        <v>110.9</v>
      </c>
      <c r="D459" s="39">
        <f>1-([1]!Cost_of_Living[[#This Row],[Cost of Living Index]]-MIN([1]!Cost_of_Living[Cost of Living Index]))/(MAX([1]!Cost_of_Living[Cost of Living Index])-MIN([1]!Cost_of_Living[Cost of Living Index]))</f>
        <v>0.6177007299270072</v>
      </c>
    </row>
    <row r="460" spans="1:4">
      <c r="A460" s="36" t="s">
        <v>564</v>
      </c>
      <c r="B460" s="36" t="s">
        <v>979</v>
      </c>
      <c r="C460" s="37">
        <v>110.1</v>
      </c>
      <c r="D460" s="39">
        <f>1-([1]!Cost_of_Living[[#This Row],[Cost of Living Index]]-MIN([1]!Cost_of_Living[Cost of Living Index]))/(MAX([1]!Cost_of_Living[Cost of Living Index])-MIN([1]!Cost_of_Living[Cost of Living Index]))</f>
        <v>0.625</v>
      </c>
    </row>
    <row r="461" spans="1:4">
      <c r="A461" s="36" t="s">
        <v>2491</v>
      </c>
      <c r="B461" s="36" t="s">
        <v>979</v>
      </c>
      <c r="C461" s="37">
        <v>109.6</v>
      </c>
      <c r="D461" s="39">
        <f>1-([1]!Cost_of_Living[[#This Row],[Cost of Living Index]]-MIN([1]!Cost_of_Living[Cost of Living Index]))/(MAX([1]!Cost_of_Living[Cost of Living Index])-MIN([1]!Cost_of_Living[Cost of Living Index]))</f>
        <v>0.62956204379562042</v>
      </c>
    </row>
    <row r="462" spans="1:4">
      <c r="A462" s="36" t="s">
        <v>2492</v>
      </c>
      <c r="B462" s="36" t="s">
        <v>979</v>
      </c>
      <c r="C462" s="37">
        <v>109.1</v>
      </c>
      <c r="D462" s="39">
        <f>1-([1]!Cost_of_Living[[#This Row],[Cost of Living Index]]-MIN([1]!Cost_of_Living[Cost of Living Index]))/(MAX([1]!Cost_of_Living[Cost of Living Index])-MIN([1]!Cost_of_Living[Cost of Living Index]))</f>
        <v>0.63412408759124084</v>
      </c>
    </row>
    <row r="463" spans="1:4">
      <c r="A463" s="36" t="s">
        <v>2493</v>
      </c>
      <c r="B463" s="36" t="s">
        <v>979</v>
      </c>
      <c r="C463" s="37">
        <v>106.6</v>
      </c>
      <c r="D463" s="39">
        <f>1-([1]!Cost_of_Living[[#This Row],[Cost of Living Index]]-MIN([1]!Cost_of_Living[Cost of Living Index]))/(MAX([1]!Cost_of_Living[Cost of Living Index])-MIN([1]!Cost_of_Living[Cost of Living Index]))</f>
        <v>0.65693430656934315</v>
      </c>
    </row>
    <row r="464" spans="1:4">
      <c r="A464" s="36" t="s">
        <v>717</v>
      </c>
      <c r="B464" s="36" t="s">
        <v>979</v>
      </c>
      <c r="C464" s="37">
        <v>103.3</v>
      </c>
      <c r="D464" s="39">
        <f>1-([1]!Cost_of_Living[[#This Row],[Cost of Living Index]]-MIN([1]!Cost_of_Living[Cost of Living Index]))/(MAX([1]!Cost_of_Living[Cost of Living Index])-MIN([1]!Cost_of_Living[Cost of Living Index]))</f>
        <v>0.68704379562043805</v>
      </c>
    </row>
    <row r="465" spans="1:4">
      <c r="A465" s="36" t="s">
        <v>658</v>
      </c>
      <c r="B465" s="36" t="s">
        <v>979</v>
      </c>
      <c r="C465" s="37">
        <v>101.6</v>
      </c>
      <c r="D465" s="39">
        <f>1-([1]!Cost_of_Living[[#This Row],[Cost of Living Index]]-MIN([1]!Cost_of_Living[Cost of Living Index]))/(MAX([1]!Cost_of_Living[Cost of Living Index])-MIN([1]!Cost_of_Living[Cost of Living Index]))</f>
        <v>0.70255474452554756</v>
      </c>
    </row>
    <row r="466" spans="1:4">
      <c r="A466" s="36" t="s">
        <v>453</v>
      </c>
      <c r="B466" s="36" t="s">
        <v>979</v>
      </c>
      <c r="C466" s="37">
        <v>100.9</v>
      </c>
      <c r="D466" s="39">
        <f>1-([1]!Cost_of_Living[[#This Row],[Cost of Living Index]]-MIN([1]!Cost_of_Living[Cost of Living Index]))/(MAX([1]!Cost_of_Living[Cost of Living Index])-MIN([1]!Cost_of_Living[Cost of Living Index]))</f>
        <v>0.70894160583941601</v>
      </c>
    </row>
    <row r="467" spans="1:4">
      <c r="A467" s="36" t="s">
        <v>403</v>
      </c>
      <c r="B467" s="36" t="s">
        <v>979</v>
      </c>
      <c r="C467" s="37">
        <v>100.4</v>
      </c>
      <c r="D467" s="39">
        <f>1-([1]!Cost_of_Living[[#This Row],[Cost of Living Index]]-MIN([1]!Cost_of_Living[Cost of Living Index]))/(MAX([1]!Cost_of_Living[Cost of Living Index])-MIN([1]!Cost_of_Living[Cost of Living Index]))</f>
        <v>0.71350364963503643</v>
      </c>
    </row>
    <row r="468" spans="1:4">
      <c r="A468" s="36" t="s">
        <v>2494</v>
      </c>
      <c r="B468" s="36" t="s">
        <v>979</v>
      </c>
      <c r="C468" s="37">
        <v>99.7</v>
      </c>
      <c r="D468" s="39">
        <f>1-([1]!Cost_of_Living[[#This Row],[Cost of Living Index]]-MIN([1]!Cost_of_Living[Cost of Living Index]))/(MAX([1]!Cost_of_Living[Cost of Living Index])-MIN([1]!Cost_of_Living[Cost of Living Index]))</f>
        <v>0.7198905109489051</v>
      </c>
    </row>
    <row r="469" spans="1:4">
      <c r="A469" s="36" t="s">
        <v>613</v>
      </c>
      <c r="B469" s="36" t="s">
        <v>979</v>
      </c>
      <c r="C469" s="37">
        <v>97.6</v>
      </c>
      <c r="D469" s="39">
        <f>1-([1]!Cost_of_Living[[#This Row],[Cost of Living Index]]-MIN([1]!Cost_of_Living[Cost of Living Index]))/(MAX([1]!Cost_of_Living[Cost of Living Index])-MIN([1]!Cost_of_Living[Cost of Living Index]))</f>
        <v>0.73905109489051091</v>
      </c>
    </row>
    <row r="470" spans="1:4">
      <c r="A470" s="36" t="s">
        <v>2495</v>
      </c>
      <c r="B470" s="36" t="s">
        <v>979</v>
      </c>
      <c r="C470" s="37">
        <v>97.5</v>
      </c>
      <c r="D470" s="39">
        <f>1-([1]!Cost_of_Living[[#This Row],[Cost of Living Index]]-MIN([1]!Cost_of_Living[Cost of Living Index]))/(MAX([1]!Cost_of_Living[Cost of Living Index])-MIN([1]!Cost_of_Living[Cost of Living Index]))</f>
        <v>0.73996350364963503</v>
      </c>
    </row>
    <row r="471" spans="1:4">
      <c r="A471" s="36" t="s">
        <v>2496</v>
      </c>
      <c r="B471" s="36" t="s">
        <v>979</v>
      </c>
      <c r="C471" s="37">
        <v>95.7</v>
      </c>
      <c r="D471" s="39">
        <f>1-([1]!Cost_of_Living[[#This Row],[Cost of Living Index]]-MIN([1]!Cost_of_Living[Cost of Living Index]))/(MAX([1]!Cost_of_Living[Cost of Living Index])-MIN([1]!Cost_of_Living[Cost of Living Index]))</f>
        <v>0.75638686131386856</v>
      </c>
    </row>
    <row r="472" spans="1:4">
      <c r="A472" s="36" t="s">
        <v>21</v>
      </c>
      <c r="B472" s="36" t="s">
        <v>1000</v>
      </c>
      <c r="C472" s="37">
        <v>99.5</v>
      </c>
      <c r="D472" s="39">
        <f>1-([1]!Cost_of_Living[[#This Row],[Cost of Living Index]]-MIN([1]!Cost_of_Living[Cost of Living Index]))/(MAX([1]!Cost_of_Living[Cost of Living Index])-MIN([1]!Cost_of_Living[Cost of Living Index]))</f>
        <v>0.72171532846715325</v>
      </c>
    </row>
    <row r="473" spans="1:4">
      <c r="A473" s="36" t="s">
        <v>441</v>
      </c>
      <c r="B473" s="36" t="s">
        <v>1000</v>
      </c>
      <c r="C473" s="37">
        <v>97.7</v>
      </c>
      <c r="D473" s="39">
        <f>1-([1]!Cost_of_Living[[#This Row],[Cost of Living Index]]-MIN([1]!Cost_of_Living[Cost of Living Index]))/(MAX([1]!Cost_of_Living[Cost of Living Index])-MIN([1]!Cost_of_Living[Cost of Living Index]))</f>
        <v>0.73813868613138678</v>
      </c>
    </row>
    <row r="474" spans="1:4">
      <c r="A474" s="36" t="s">
        <v>711</v>
      </c>
      <c r="B474" s="36" t="s">
        <v>1000</v>
      </c>
      <c r="C474" s="37">
        <v>97.1</v>
      </c>
      <c r="D474" s="39">
        <f>1-([1]!Cost_of_Living[[#This Row],[Cost of Living Index]]-MIN([1]!Cost_of_Living[Cost of Living Index]))/(MAX([1]!Cost_of_Living[Cost of Living Index])-MIN([1]!Cost_of_Living[Cost of Living Index]))</f>
        <v>0.74361313868613144</v>
      </c>
    </row>
    <row r="475" spans="1:4">
      <c r="A475" s="36" t="s">
        <v>200</v>
      </c>
      <c r="B475" s="36" t="s">
        <v>1000</v>
      </c>
      <c r="C475" s="37">
        <v>93.8</v>
      </c>
      <c r="D475" s="39">
        <f>1-([1]!Cost_of_Living[[#This Row],[Cost of Living Index]]-MIN([1]!Cost_of_Living[Cost of Living Index]))/(MAX([1]!Cost_of_Living[Cost of Living Index])-MIN([1]!Cost_of_Living[Cost of Living Index]))</f>
        <v>0.77372262773722633</v>
      </c>
    </row>
    <row r="476" spans="1:4">
      <c r="A476" s="36" t="s">
        <v>2497</v>
      </c>
      <c r="B476" s="36" t="s">
        <v>1000</v>
      </c>
      <c r="C476" s="37">
        <v>92.9</v>
      </c>
      <c r="D476" s="39">
        <f>1-([1]!Cost_of_Living[[#This Row],[Cost of Living Index]]-MIN([1]!Cost_of_Living[Cost of Living Index]))/(MAX([1]!Cost_of_Living[Cost of Living Index])-MIN([1]!Cost_of_Living[Cost of Living Index]))</f>
        <v>0.78193430656934304</v>
      </c>
    </row>
    <row r="477" spans="1:4">
      <c r="A477" s="36" t="s">
        <v>378</v>
      </c>
      <c r="B477" s="36" t="s">
        <v>1000</v>
      </c>
      <c r="C477" s="37">
        <v>91.8</v>
      </c>
      <c r="D477" s="39">
        <f>1-([1]!Cost_of_Living[[#This Row],[Cost of Living Index]]-MIN([1]!Cost_of_Living[Cost of Living Index]))/(MAX([1]!Cost_of_Living[Cost of Living Index])-MIN([1]!Cost_of_Living[Cost of Living Index]))</f>
        <v>0.79197080291970801</v>
      </c>
    </row>
    <row r="478" spans="1:4">
      <c r="A478" s="36" t="s">
        <v>421</v>
      </c>
      <c r="B478" s="36" t="s">
        <v>1000</v>
      </c>
      <c r="C478" s="37">
        <v>91.8</v>
      </c>
      <c r="D478" s="39">
        <f>1-([1]!Cost_of_Living[[#This Row],[Cost of Living Index]]-MIN([1]!Cost_of_Living[Cost of Living Index]))/(MAX([1]!Cost_of_Living[Cost of Living Index])-MIN([1]!Cost_of_Living[Cost of Living Index]))</f>
        <v>0.79197080291970801</v>
      </c>
    </row>
    <row r="479" spans="1:4">
      <c r="A479" s="36" t="s">
        <v>358</v>
      </c>
      <c r="B479" s="36" t="s">
        <v>1000</v>
      </c>
      <c r="C479" s="37">
        <v>91.5</v>
      </c>
      <c r="D479" s="39">
        <f>1-([1]!Cost_of_Living[[#This Row],[Cost of Living Index]]-MIN([1]!Cost_of_Living[Cost of Living Index]))/(MAX([1]!Cost_of_Living[Cost of Living Index])-MIN([1]!Cost_of_Living[Cost of Living Index]))</f>
        <v>0.79470802919708028</v>
      </c>
    </row>
    <row r="480" spans="1:4">
      <c r="A480" s="36" t="s">
        <v>415</v>
      </c>
      <c r="B480" s="36" t="s">
        <v>1000</v>
      </c>
      <c r="C480" s="37">
        <v>91.4</v>
      </c>
      <c r="D480" s="39">
        <f>1-([1]!Cost_of_Living[[#This Row],[Cost of Living Index]]-MIN([1]!Cost_of_Living[Cost of Living Index]))/(MAX([1]!Cost_of_Living[Cost of Living Index])-MIN([1]!Cost_of_Living[Cost of Living Index]))</f>
        <v>0.7956204379562043</v>
      </c>
    </row>
    <row r="481" spans="1:4">
      <c r="A481" s="36" t="s">
        <v>2498</v>
      </c>
      <c r="B481" s="36" t="s">
        <v>1000</v>
      </c>
      <c r="C481" s="37">
        <v>90.9</v>
      </c>
      <c r="D481" s="39">
        <f>1-([1]!Cost_of_Living[[#This Row],[Cost of Living Index]]-MIN([1]!Cost_of_Living[Cost of Living Index]))/(MAX([1]!Cost_of_Living[Cost of Living Index])-MIN([1]!Cost_of_Living[Cost of Living Index]))</f>
        <v>0.80018248175182471</v>
      </c>
    </row>
    <row r="482" spans="1:4">
      <c r="A482" s="36" t="s">
        <v>499</v>
      </c>
      <c r="B482" s="36" t="s">
        <v>1000</v>
      </c>
      <c r="C482" s="37">
        <v>90.7</v>
      </c>
      <c r="D482" s="39">
        <f>1-([1]!Cost_of_Living[[#This Row],[Cost of Living Index]]-MIN([1]!Cost_of_Living[Cost of Living Index]))/(MAX([1]!Cost_of_Living[Cost of Living Index])-MIN([1]!Cost_of_Living[Cost of Living Index]))</f>
        <v>0.80200729927007297</v>
      </c>
    </row>
    <row r="483" spans="1:4">
      <c r="A483" s="36" t="s">
        <v>2499</v>
      </c>
      <c r="B483" s="36" t="s">
        <v>1000</v>
      </c>
      <c r="C483" s="37">
        <v>89.8</v>
      </c>
      <c r="D483" s="39">
        <f>1-([1]!Cost_of_Living[[#This Row],[Cost of Living Index]]-MIN([1]!Cost_of_Living[Cost of Living Index]))/(MAX([1]!Cost_of_Living[Cost of Living Index])-MIN([1]!Cost_of_Living[Cost of Living Index]))</f>
        <v>0.81021897810218979</v>
      </c>
    </row>
    <row r="484" spans="1:4">
      <c r="A484" s="36" t="s">
        <v>2500</v>
      </c>
      <c r="B484" s="36" t="s">
        <v>1000</v>
      </c>
      <c r="C484" s="37">
        <v>89.7</v>
      </c>
      <c r="D484" s="39">
        <f>1-([1]!Cost_of_Living[[#This Row],[Cost of Living Index]]-MIN([1]!Cost_of_Living[Cost of Living Index]))/(MAX([1]!Cost_of_Living[Cost of Living Index])-MIN([1]!Cost_of_Living[Cost of Living Index]))</f>
        <v>0.81113138686131381</v>
      </c>
    </row>
    <row r="485" spans="1:4">
      <c r="A485" s="36" t="s">
        <v>458</v>
      </c>
      <c r="B485" s="36" t="s">
        <v>1000</v>
      </c>
      <c r="C485" s="37">
        <v>89</v>
      </c>
      <c r="D485" s="39">
        <f>1-([1]!Cost_of_Living[[#This Row],[Cost of Living Index]]-MIN([1]!Cost_of_Living[Cost of Living Index]))/(MAX([1]!Cost_of_Living[Cost of Living Index])-MIN([1]!Cost_of_Living[Cost of Living Index]))</f>
        <v>0.81751824817518248</v>
      </c>
    </row>
    <row r="486" spans="1:4">
      <c r="A486" s="36" t="s">
        <v>2501</v>
      </c>
      <c r="B486" s="36" t="s">
        <v>1000</v>
      </c>
      <c r="C486" s="37">
        <v>88.9</v>
      </c>
      <c r="D486" s="39">
        <f>1-([1]!Cost_of_Living[[#This Row],[Cost of Living Index]]-MIN([1]!Cost_of_Living[Cost of Living Index]))/(MAX([1]!Cost_of_Living[Cost of Living Index])-MIN([1]!Cost_of_Living[Cost of Living Index]))</f>
        <v>0.8184306569343065</v>
      </c>
    </row>
    <row r="487" spans="1:4">
      <c r="A487" s="36" t="s">
        <v>696</v>
      </c>
      <c r="B487" s="36" t="s">
        <v>1000</v>
      </c>
      <c r="C487" s="37">
        <v>88</v>
      </c>
      <c r="D487" s="39">
        <f>1-([1]!Cost_of_Living[[#This Row],[Cost of Living Index]]-MIN([1]!Cost_of_Living[Cost of Living Index]))/(MAX([1]!Cost_of_Living[Cost of Living Index])-MIN([1]!Cost_of_Living[Cost of Living Index]))</f>
        <v>0.82664233576642332</v>
      </c>
    </row>
    <row r="488" spans="1:4">
      <c r="A488" s="36" t="s">
        <v>2502</v>
      </c>
      <c r="B488" s="36" t="s">
        <v>1000</v>
      </c>
      <c r="C488" s="37">
        <v>87.8</v>
      </c>
      <c r="D488" s="39">
        <f>1-([1]!Cost_of_Living[[#This Row],[Cost of Living Index]]-MIN([1]!Cost_of_Living[Cost of Living Index]))/(MAX([1]!Cost_of_Living[Cost of Living Index])-MIN([1]!Cost_of_Living[Cost of Living Index]))</f>
        <v>0.82846715328467158</v>
      </c>
    </row>
    <row r="489" spans="1:4">
      <c r="A489" s="36" t="s">
        <v>2503</v>
      </c>
      <c r="B489" s="36" t="s">
        <v>1000</v>
      </c>
      <c r="C489" s="37">
        <v>86.9</v>
      </c>
      <c r="D489" s="39">
        <f>1-([1]!Cost_of_Living[[#This Row],[Cost of Living Index]]-MIN([1]!Cost_of_Living[Cost of Living Index]))/(MAX([1]!Cost_of_Living[Cost of Living Index])-MIN([1]!Cost_of_Living[Cost of Living Index]))</f>
        <v>0.83667883211678828</v>
      </c>
    </row>
    <row r="490" spans="1:4">
      <c r="A490" s="36" t="s">
        <v>2504</v>
      </c>
      <c r="B490" s="36" t="s">
        <v>1000</v>
      </c>
      <c r="C490" s="37">
        <v>86.6</v>
      </c>
      <c r="D490" s="39">
        <f>1-([1]!Cost_of_Living[[#This Row],[Cost of Living Index]]-MIN([1]!Cost_of_Living[Cost of Living Index]))/(MAX([1]!Cost_of_Living[Cost of Living Index])-MIN([1]!Cost_of_Living[Cost of Living Index]))</f>
        <v>0.83941605839416067</v>
      </c>
    </row>
    <row r="491" spans="1:4">
      <c r="A491" s="36" t="s">
        <v>790</v>
      </c>
      <c r="B491" s="36" t="s">
        <v>1590</v>
      </c>
      <c r="C491" s="37">
        <v>88.5</v>
      </c>
      <c r="D491" s="39">
        <f>1-([1]!Cost_of_Living[[#This Row],[Cost of Living Index]]-MIN([1]!Cost_of_Living[Cost of Living Index]))/(MAX([1]!Cost_of_Living[Cost of Living Index])-MIN([1]!Cost_of_Living[Cost of Living Index]))</f>
        <v>0.8220802919708029</v>
      </c>
    </row>
    <row r="492" spans="1:4">
      <c r="A492" s="36" t="s">
        <v>713</v>
      </c>
      <c r="B492" s="36" t="s">
        <v>1590</v>
      </c>
      <c r="C492" s="37">
        <v>84.7</v>
      </c>
      <c r="D492" s="39">
        <f>1-([1]!Cost_of_Living[[#This Row],[Cost of Living Index]]-MIN([1]!Cost_of_Living[Cost of Living Index]))/(MAX([1]!Cost_of_Living[Cost of Living Index])-MIN([1]!Cost_of_Living[Cost of Living Index]))</f>
        <v>0.85675182481751821</v>
      </c>
    </row>
    <row r="493" spans="1:4">
      <c r="A493" s="36" t="s">
        <v>337</v>
      </c>
      <c r="B493" s="36" t="s">
        <v>1590</v>
      </c>
      <c r="C493" s="37">
        <v>84.3</v>
      </c>
      <c r="D493" s="39">
        <f>1-([1]!Cost_of_Living[[#This Row],[Cost of Living Index]]-MIN([1]!Cost_of_Living[Cost of Living Index]))/(MAX([1]!Cost_of_Living[Cost of Living Index])-MIN([1]!Cost_of_Living[Cost of Living Index]))</f>
        <v>0.86040145985401462</v>
      </c>
    </row>
    <row r="494" spans="1:4">
      <c r="A494" s="36" t="s">
        <v>686</v>
      </c>
      <c r="B494" s="36" t="s">
        <v>1590</v>
      </c>
      <c r="C494" s="37">
        <v>84.1</v>
      </c>
      <c r="D494" s="39">
        <f>1-([1]!Cost_of_Living[[#This Row],[Cost of Living Index]]-MIN([1]!Cost_of_Living[Cost of Living Index]))/(MAX([1]!Cost_of_Living[Cost of Living Index])-MIN([1]!Cost_of_Living[Cost of Living Index]))</f>
        <v>0.86222627737226287</v>
      </c>
    </row>
    <row r="495" spans="1:4">
      <c r="A495" s="36" t="s">
        <v>293</v>
      </c>
      <c r="B495" s="36" t="s">
        <v>1590</v>
      </c>
      <c r="C495" s="37">
        <v>83.9</v>
      </c>
      <c r="D495" s="39">
        <f>1-([1]!Cost_of_Living[[#This Row],[Cost of Living Index]]-MIN([1]!Cost_of_Living[Cost of Living Index]))/(MAX([1]!Cost_of_Living[Cost of Living Index])-MIN([1]!Cost_of_Living[Cost of Living Index]))</f>
        <v>0.86405109489051091</v>
      </c>
    </row>
    <row r="496" spans="1:4">
      <c r="A496" s="36" t="s">
        <v>2505</v>
      </c>
      <c r="B496" s="36" t="s">
        <v>1590</v>
      </c>
      <c r="C496" s="37">
        <v>83.4</v>
      </c>
      <c r="D496" s="39">
        <f>1-([1]!Cost_of_Living[[#This Row],[Cost of Living Index]]-MIN([1]!Cost_of_Living[Cost of Living Index]))/(MAX([1]!Cost_of_Living[Cost of Living Index])-MIN([1]!Cost_of_Living[Cost of Living Index]))</f>
        <v>0.86861313868613133</v>
      </c>
    </row>
    <row r="497" spans="1:4">
      <c r="A497" s="36" t="s">
        <v>2506</v>
      </c>
      <c r="B497" s="36" t="s">
        <v>1590</v>
      </c>
      <c r="C497" s="37">
        <v>82.6</v>
      </c>
      <c r="D497" s="39">
        <f>1-([1]!Cost_of_Living[[#This Row],[Cost of Living Index]]-MIN([1]!Cost_of_Living[Cost of Living Index]))/(MAX([1]!Cost_of_Living[Cost of Living Index])-MIN([1]!Cost_of_Living[Cost of Living Index]))</f>
        <v>0.87591240875912413</v>
      </c>
    </row>
    <row r="498" spans="1:4">
      <c r="A498" s="36" t="s">
        <v>701</v>
      </c>
      <c r="B498" s="36" t="s">
        <v>1590</v>
      </c>
      <c r="C498" s="37">
        <v>81.2</v>
      </c>
      <c r="D498" s="39">
        <f>1-([1]!Cost_of_Living[[#This Row],[Cost of Living Index]]-MIN([1]!Cost_of_Living[Cost of Living Index]))/(MAX([1]!Cost_of_Living[Cost of Living Index])-MIN([1]!Cost_of_Living[Cost of Living Index]))</f>
        <v>0.88868613138686126</v>
      </c>
    </row>
    <row r="499" spans="1:4">
      <c r="A499" s="36" t="s">
        <v>2507</v>
      </c>
      <c r="B499" s="36" t="s">
        <v>1590</v>
      </c>
      <c r="C499" s="37">
        <v>80</v>
      </c>
      <c r="D499" s="39">
        <f>1-([1]!Cost_of_Living[[#This Row],[Cost of Living Index]]-MIN([1]!Cost_of_Living[Cost of Living Index]))/(MAX([1]!Cost_of_Living[Cost of Living Index])-MIN([1]!Cost_of_Living[Cost of Living Index]))</f>
        <v>0.89963503649635035</v>
      </c>
    </row>
    <row r="500" spans="1:4">
      <c r="A500" s="36" t="s">
        <v>2508</v>
      </c>
      <c r="B500" s="36" t="s">
        <v>1445</v>
      </c>
      <c r="C500" s="37">
        <v>96.9</v>
      </c>
      <c r="D500" s="39">
        <f>1-([1]!Cost_of_Living[[#This Row],[Cost of Living Index]]-MIN([1]!Cost_of_Living[Cost of Living Index]))/(MAX([1]!Cost_of_Living[Cost of Living Index])-MIN([1]!Cost_of_Living[Cost of Living Index]))</f>
        <v>0.74543795620437947</v>
      </c>
    </row>
    <row r="501" spans="1:4">
      <c r="A501" s="36" t="s">
        <v>2509</v>
      </c>
      <c r="B501" s="36" t="s">
        <v>1445</v>
      </c>
      <c r="C501" s="37">
        <v>94.2</v>
      </c>
      <c r="D501" s="39">
        <f>1-([1]!Cost_of_Living[[#This Row],[Cost of Living Index]]-MIN([1]!Cost_of_Living[Cost of Living Index]))/(MAX([1]!Cost_of_Living[Cost of Living Index])-MIN([1]!Cost_of_Living[Cost of Living Index]))</f>
        <v>0.77007299270072993</v>
      </c>
    </row>
    <row r="502" spans="1:4">
      <c r="A502" s="36" t="s">
        <v>5</v>
      </c>
      <c r="B502" s="36" t="s">
        <v>827</v>
      </c>
      <c r="C502" s="37">
        <v>82</v>
      </c>
      <c r="D502" s="39">
        <f>1-([1]!Cost_of_Living[[#This Row],[Cost of Living Index]]-MIN([1]!Cost_of_Living[Cost of Living Index]))/(MAX([1]!Cost_of_Living[Cost of Living Index])-MIN([1]!Cost_of_Living[Cost of Living Index]))</f>
        <v>0.88138686131386856</v>
      </c>
    </row>
    <row r="503" spans="1:4">
      <c r="A503" s="36" t="s">
        <v>2532</v>
      </c>
      <c r="B503" s="36" t="s">
        <v>822</v>
      </c>
      <c r="C503" s="37">
        <v>131</v>
      </c>
      <c r="D503" s="39">
        <f>1-([1]!Cost_of_Living[[#This Row],[Cost of Living Index]]-MIN([1]!Cost_of_Living[Cost of Living Index]))/(MAX([1]!Cost_of_Living[Cost of Living Index])-MIN([1]!Cost_of_Living[Cost of Living Index]))</f>
        <v>0.43430656934306566</v>
      </c>
    </row>
    <row r="504" spans="1:4">
      <c r="A504" s="36" t="s">
        <v>725</v>
      </c>
      <c r="B504" s="36" t="s">
        <v>822</v>
      </c>
      <c r="C504" s="37">
        <v>95.5</v>
      </c>
      <c r="D504" s="39">
        <f>1-([1]!Cost_of_Living[[#This Row],[Cost of Living Index]]-MIN([1]!Cost_of_Living[Cost of Living Index]))/(MAX([1]!Cost_of_Living[Cost of Living Index])-MIN([1]!Cost_of_Living[Cost of Living Index]))</f>
        <v>0.75821167883211671</v>
      </c>
    </row>
    <row r="505" spans="1:4">
      <c r="A505" s="36" t="s">
        <v>14</v>
      </c>
      <c r="B505" s="36" t="s">
        <v>840</v>
      </c>
      <c r="C505" s="37">
        <v>148.19999999999999</v>
      </c>
      <c r="D505" s="39">
        <f>1-([1]!Cost_of_Living[[#This Row],[Cost of Living Index]]-MIN([1]!Cost_of_Living[Cost of Living Index]))/(MAX([1]!Cost_of_Living[Cost of Living Index])-MIN([1]!Cost_of_Living[Cost of Living Index]))</f>
        <v>0.27737226277372273</v>
      </c>
    </row>
    <row r="506" spans="1:4">
      <c r="A506" s="36" t="s">
        <v>739</v>
      </c>
      <c r="B506" s="36" t="s">
        <v>822</v>
      </c>
      <c r="C506" s="37">
        <v>85.1</v>
      </c>
      <c r="D506" s="39">
        <f>1-([1]!Cost_of_Living[[#This Row],[Cost of Living Index]]-MIN([1]!Cost_of_Living[Cost of Living Index]))/(MAX([1]!Cost_of_Living[Cost of Living Index])-MIN([1]!Cost_of_Living[Cost of Living Index]))</f>
        <v>0.85310218978102192</v>
      </c>
    </row>
    <row r="507" spans="1:4">
      <c r="A507" s="36" t="s">
        <v>27</v>
      </c>
      <c r="B507" s="36" t="s">
        <v>816</v>
      </c>
      <c r="C507" s="37">
        <v>84.8</v>
      </c>
      <c r="D507" s="39">
        <f>1-([1]!Cost_of_Living[[#This Row],[Cost of Living Index]]-MIN([1]!Cost_of_Living[Cost of Living Index]))/(MAX([1]!Cost_of_Living[Cost of Living Index])-MIN([1]!Cost_of_Living[Cost of Living Index]))</f>
        <v>0.8558394160583942</v>
      </c>
    </row>
    <row r="508" spans="1:4">
      <c r="A508" s="36" t="s">
        <v>522</v>
      </c>
      <c r="B508" s="36" t="s">
        <v>1082</v>
      </c>
      <c r="C508" s="37">
        <v>75</v>
      </c>
      <c r="D508" s="39">
        <f>1-([1]!Cost_of_Living[[#This Row],[Cost of Living Index]]-MIN([1]!Cost_of_Living[Cost of Living Index]))/(MAX([1]!Cost_of_Living[Cost of Living Index])-MIN([1]!Cost_of_Living[Cost of Living Index]))</f>
        <v>0.94525547445255476</v>
      </c>
    </row>
    <row r="509" spans="1:4">
      <c r="A509" s="36" t="s">
        <v>30</v>
      </c>
      <c r="B509" s="36" t="s">
        <v>971</v>
      </c>
      <c r="C509" s="37">
        <v>71.3</v>
      </c>
      <c r="D509" s="39">
        <f>1-([1]!Cost_of_Living[[#This Row],[Cost of Living Index]]-MIN([1]!Cost_of_Living[Cost of Living Index]))/(MAX([1]!Cost_of_Living[Cost of Living Index])-MIN([1]!Cost_of_Living[Cost of Living Index]))</f>
        <v>0.97901459854014605</v>
      </c>
    </row>
    <row r="510" spans="1:4">
      <c r="A510" s="36" t="s">
        <v>749</v>
      </c>
      <c r="B510" s="36" t="s">
        <v>822</v>
      </c>
      <c r="C510" s="37">
        <v>83.7</v>
      </c>
      <c r="D510" s="39">
        <f>1-([1]!Cost_of_Living[[#This Row],[Cost of Living Index]]-MIN([1]!Cost_of_Living[Cost of Living Index]))/(MAX([1]!Cost_of_Living[Cost of Living Index])-MIN([1]!Cost_of_Living[Cost of Living Index]))</f>
        <v>0.86587591240875905</v>
      </c>
    </row>
    <row r="511" spans="1:4">
      <c r="A511" s="36" t="s">
        <v>608</v>
      </c>
      <c r="B511" s="36" t="s">
        <v>844</v>
      </c>
      <c r="C511" s="37">
        <v>76.599999999999994</v>
      </c>
      <c r="D511" s="39">
        <f>1-([1]!Cost_of_Living[[#This Row],[Cost of Living Index]]-MIN([1]!Cost_of_Living[Cost of Living Index]))/(MAX([1]!Cost_of_Living[Cost of Living Index])-MIN([1]!Cost_of_Living[Cost of Living Index]))</f>
        <v>0.93065693430656937</v>
      </c>
    </row>
    <row r="512" spans="1:4">
      <c r="A512" s="36" t="s">
        <v>39</v>
      </c>
      <c r="B512" s="36" t="s">
        <v>922</v>
      </c>
      <c r="C512" s="37">
        <v>77.3</v>
      </c>
      <c r="D512" s="39">
        <f>1-([1]!Cost_of_Living[[#This Row],[Cost of Living Index]]-MIN([1]!Cost_of_Living[Cost of Living Index]))/(MAX([1]!Cost_of_Living[Cost of Living Index])-MIN([1]!Cost_of_Living[Cost of Living Index]))</f>
        <v>0.9242700729927007</v>
      </c>
    </row>
    <row r="513" spans="1:4">
      <c r="A513" s="36" t="s">
        <v>43</v>
      </c>
      <c r="B513" s="36" t="s">
        <v>889</v>
      </c>
      <c r="C513" s="37">
        <v>77.7</v>
      </c>
      <c r="D513" s="39">
        <f>1-([1]!Cost_of_Living[[#This Row],[Cost of Living Index]]-MIN([1]!Cost_of_Living[Cost of Living Index]))/(MAX([1]!Cost_of_Living[Cost of Living Index])-MIN([1]!Cost_of_Living[Cost of Living Index]))</f>
        <v>0.92062043795620441</v>
      </c>
    </row>
    <row r="514" spans="1:4">
      <c r="A514" s="36" t="s">
        <v>687</v>
      </c>
      <c r="B514" s="36" t="s">
        <v>1199</v>
      </c>
      <c r="C514" s="37">
        <v>69</v>
      </c>
      <c r="D514" s="39">
        <f>1-([1]!Cost_of_Living[[#This Row],[Cost of Living Index]]-MIN([1]!Cost_of_Living[Cost of Living Index]))/(MAX([1]!Cost_of_Living[Cost of Living Index])-MIN([1]!Cost_of_Living[Cost of Living Index]))</f>
        <v>1</v>
      </c>
    </row>
    <row r="515" spans="1:4">
      <c r="A515" s="36" t="s">
        <v>49</v>
      </c>
      <c r="B515" s="36" t="s">
        <v>862</v>
      </c>
      <c r="C515" s="37">
        <v>84.8</v>
      </c>
      <c r="D515" s="39">
        <f>1-([1]!Cost_of_Living[[#This Row],[Cost of Living Index]]-MIN([1]!Cost_of_Living[Cost of Living Index]))/(MAX([1]!Cost_of_Living[Cost of Living Index])-MIN([1]!Cost_of_Living[Cost of Living Index]))</f>
        <v>0.8558394160583942</v>
      </c>
    </row>
    <row r="516" spans="1:4">
      <c r="A516" s="36" t="s">
        <v>754</v>
      </c>
      <c r="B516" s="36" t="s">
        <v>816</v>
      </c>
      <c r="C516" s="37">
        <v>84.8</v>
      </c>
      <c r="D516" s="39">
        <f>1-([1]!Cost_of_Living[[#This Row],[Cost of Living Index]]-MIN([1]!Cost_of_Living[Cost of Living Index]))/(MAX([1]!Cost_of_Living[Cost of Living Index])-MIN([1]!Cost_of_Living[Cost of Living Index]))</f>
        <v>0.8558394160583942</v>
      </c>
    </row>
    <row r="517" spans="1:4">
      <c r="A517" s="36" t="s">
        <v>589</v>
      </c>
      <c r="B517" s="36" t="s">
        <v>822</v>
      </c>
      <c r="C517" s="37">
        <v>86.4</v>
      </c>
      <c r="D517" s="39">
        <f>1-([1]!Cost_of_Living[[#This Row],[Cost of Living Index]]-MIN([1]!Cost_of_Living[Cost of Living Index]))/(MAX([1]!Cost_of_Living[Cost of Living Index])-MIN([1]!Cost_of_Living[Cost of Living Index]))</f>
        <v>0.8412408759124087</v>
      </c>
    </row>
    <row r="518" spans="1:4">
      <c r="A518" s="36" t="s">
        <v>758</v>
      </c>
      <c r="B518" s="36" t="s">
        <v>858</v>
      </c>
      <c r="C518" s="37">
        <v>80</v>
      </c>
      <c r="D518" s="39">
        <f>1-([1]!Cost_of_Living[[#This Row],[Cost of Living Index]]-MIN([1]!Cost_of_Living[Cost of Living Index]))/(MAX([1]!Cost_of_Living[Cost of Living Index])-MIN([1]!Cost_of_Living[Cost of Living Index]))</f>
        <v>0.89963503649635035</v>
      </c>
    </row>
    <row r="519" spans="1:4">
      <c r="A519" s="36" t="s">
        <v>584</v>
      </c>
      <c r="B519" s="36" t="s">
        <v>822</v>
      </c>
      <c r="C519" s="37">
        <v>83.7</v>
      </c>
      <c r="D519" s="39">
        <f>1-([1]!Cost_of_Living[[#This Row],[Cost of Living Index]]-MIN([1]!Cost_of_Living[Cost of Living Index]))/(MAX([1]!Cost_of_Living[Cost of Living Index])-MIN([1]!Cost_of_Living[Cost of Living Index]))</f>
        <v>0.86587591240875905</v>
      </c>
    </row>
    <row r="520" spans="1:4">
      <c r="A520" s="36" t="s">
        <v>93</v>
      </c>
      <c r="B520" s="36" t="s">
        <v>822</v>
      </c>
      <c r="C520" s="37">
        <v>85.1</v>
      </c>
      <c r="D520" s="39">
        <f>1-([1]!Cost_of_Living[[#This Row],[Cost of Living Index]]-MIN([1]!Cost_of_Living[Cost of Living Index]))/(MAX([1]!Cost_of_Living[Cost of Living Index])-MIN([1]!Cost_of_Living[Cost of Living Index]))</f>
        <v>0.85310218978102192</v>
      </c>
    </row>
    <row r="521" spans="1:4">
      <c r="A521" s="36" t="s">
        <v>102</v>
      </c>
      <c r="B521" s="36" t="s">
        <v>827</v>
      </c>
      <c r="C521" s="37">
        <v>89.2</v>
      </c>
      <c r="D521" s="39">
        <f>1-([1]!Cost_of_Living[[#This Row],[Cost of Living Index]]-MIN([1]!Cost_of_Living[Cost of Living Index]))/(MAX([1]!Cost_of_Living[Cost of Living Index])-MIN([1]!Cost_of_Living[Cost of Living Index]))</f>
        <v>0.81569343065693434</v>
      </c>
    </row>
    <row r="522" spans="1:4">
      <c r="A522" s="36" t="s">
        <v>104</v>
      </c>
      <c r="B522" s="36" t="s">
        <v>943</v>
      </c>
      <c r="C522" s="37">
        <v>84.8</v>
      </c>
      <c r="D522" s="39">
        <f>1-([1]!Cost_of_Living[[#This Row],[Cost of Living Index]]-MIN([1]!Cost_of_Living[Cost of Living Index]))/(MAX([1]!Cost_of_Living[Cost of Living Index])-MIN([1]!Cost_of_Living[Cost of Living Index]))</f>
        <v>0.8558394160583942</v>
      </c>
    </row>
    <row r="523" spans="1:4">
      <c r="A523" s="36" t="s">
        <v>107</v>
      </c>
      <c r="B523" s="36" t="s">
        <v>979</v>
      </c>
      <c r="C523" s="37">
        <v>72.400000000000006</v>
      </c>
      <c r="D523" s="39">
        <f>1-([1]!Cost_of_Living[[#This Row],[Cost of Living Index]]-MIN([1]!Cost_of_Living[Cost of Living Index]))/(MAX([1]!Cost_of_Living[Cost of Living Index])-MIN([1]!Cost_of_Living[Cost of Living Index]))</f>
        <v>0.96897810218978098</v>
      </c>
    </row>
    <row r="524" spans="1:4">
      <c r="A524" s="36" t="s">
        <v>117</v>
      </c>
      <c r="B524" s="36" t="s">
        <v>971</v>
      </c>
      <c r="C524" s="37">
        <v>71.3</v>
      </c>
      <c r="D524" s="39">
        <f>1-([1]!Cost_of_Living[[#This Row],[Cost of Living Index]]-MIN([1]!Cost_of_Living[Cost of Living Index]))/(MAX([1]!Cost_of_Living[Cost of Living Index])-MIN([1]!Cost_of_Living[Cost of Living Index]))</f>
        <v>0.97901459854014605</v>
      </c>
    </row>
    <row r="525" spans="1:4">
      <c r="A525" s="36" t="s">
        <v>119</v>
      </c>
      <c r="B525" s="36" t="s">
        <v>876</v>
      </c>
      <c r="C525" s="37">
        <v>70.400000000000006</v>
      </c>
      <c r="D525" s="39">
        <f>1-([1]!Cost_of_Living[[#This Row],[Cost of Living Index]]-MIN([1]!Cost_of_Living[Cost of Living Index]))/(MAX([1]!Cost_of_Living[Cost of Living Index])-MIN([1]!Cost_of_Living[Cost of Living Index]))</f>
        <v>0.98722627737226276</v>
      </c>
    </row>
    <row r="526" spans="1:4">
      <c r="A526" s="36" t="s">
        <v>774</v>
      </c>
      <c r="B526" s="36" t="s">
        <v>831</v>
      </c>
      <c r="C526" s="37">
        <v>89.2</v>
      </c>
      <c r="D526" s="39">
        <f>1-([1]!Cost_of_Living[[#This Row],[Cost of Living Index]]-MIN([1]!Cost_of_Living[Cost of Living Index]))/(MAX([1]!Cost_of_Living[Cost of Living Index])-MIN([1]!Cost_of_Living[Cost of Living Index]))</f>
        <v>0.81569343065693434</v>
      </c>
    </row>
    <row r="527" spans="1:4">
      <c r="A527" s="36" t="s">
        <v>136</v>
      </c>
      <c r="B527" s="36" t="s">
        <v>1263</v>
      </c>
      <c r="C527" s="37">
        <v>76.599999999999994</v>
      </c>
      <c r="D527" s="39">
        <f>1-([1]!Cost_of_Living[[#This Row],[Cost of Living Index]]-MIN([1]!Cost_of_Living[Cost of Living Index]))/(MAX([1]!Cost_of_Living[Cost of Living Index])-MIN([1]!Cost_of_Living[Cost of Living Index]))</f>
        <v>0.93065693430656937</v>
      </c>
    </row>
    <row r="528" spans="1:4">
      <c r="A528" s="36" t="s">
        <v>781</v>
      </c>
      <c r="B528" s="36" t="s">
        <v>910</v>
      </c>
      <c r="C528" s="37">
        <v>77.7</v>
      </c>
      <c r="D528" s="39">
        <f>1-([1]!Cost_of_Living[[#This Row],[Cost of Living Index]]-MIN([1]!Cost_of_Living[Cost of Living Index]))/(MAX([1]!Cost_of_Living[Cost of Living Index])-MIN([1]!Cost_of_Living[Cost of Living Index]))</f>
        <v>0.92062043795620441</v>
      </c>
    </row>
    <row r="529" spans="1:4">
      <c r="A529" s="36" t="s">
        <v>782</v>
      </c>
      <c r="B529" s="36" t="s">
        <v>851</v>
      </c>
      <c r="C529" s="37">
        <v>72.599999999999994</v>
      </c>
      <c r="D529" s="39">
        <f>1-([1]!Cost_of_Living[[#This Row],[Cost of Living Index]]-MIN([1]!Cost_of_Living[Cost of Living Index]))/(MAX([1]!Cost_of_Living[Cost of Living Index])-MIN([1]!Cost_of_Living[Cost of Living Index]))</f>
        <v>0.96715328467153294</v>
      </c>
    </row>
    <row r="530" spans="1:4">
      <c r="A530" s="36" t="s">
        <v>143</v>
      </c>
      <c r="B530" s="36" t="s">
        <v>827</v>
      </c>
      <c r="C530" s="37">
        <v>89.2</v>
      </c>
      <c r="D530" s="39">
        <f>1-([1]!Cost_of_Living[[#This Row],[Cost of Living Index]]-MIN([1]!Cost_of_Living[Cost of Living Index]))/(MAX([1]!Cost_of_Living[Cost of Living Index])-MIN([1]!Cost_of_Living[Cost of Living Index]))</f>
        <v>0.81569343065693434</v>
      </c>
    </row>
    <row r="531" spans="1:4">
      <c r="A531" s="36" t="s">
        <v>154</v>
      </c>
      <c r="B531" s="36" t="s">
        <v>1164</v>
      </c>
      <c r="C531" s="37">
        <v>77</v>
      </c>
      <c r="D531" s="39">
        <f>1-([1]!Cost_of_Living[[#This Row],[Cost of Living Index]]-MIN([1]!Cost_of_Living[Cost of Living Index]))/(MAX([1]!Cost_of_Living[Cost of Living Index])-MIN([1]!Cost_of_Living[Cost of Living Index]))</f>
        <v>0.92700729927007297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D9C19-8A51-4CC4-B220-AD1C65C20D77}">
  <sheetPr codeName="Sheet2"/>
  <dimension ref="A1:Q51"/>
  <sheetViews>
    <sheetView zoomScale="90" zoomScaleNormal="90" workbookViewId="0">
      <selection activeCell="P11" sqref="P11"/>
    </sheetView>
  </sheetViews>
  <sheetFormatPr defaultRowHeight="14.5"/>
  <cols>
    <col min="2" max="6" width="16.36328125" bestFit="1" customWidth="1"/>
    <col min="8" max="8" width="12.90625" bestFit="1" customWidth="1"/>
    <col min="9" max="9" width="11.90625" bestFit="1" customWidth="1"/>
    <col min="11" max="11" width="12.90625" bestFit="1" customWidth="1"/>
    <col min="12" max="12" width="15.453125" bestFit="1" customWidth="1"/>
    <col min="14" max="14" width="12.90625" bestFit="1" customWidth="1"/>
    <col min="15" max="15" width="10.26953125" bestFit="1" customWidth="1"/>
    <col min="16" max="16" width="15" bestFit="1" customWidth="1"/>
    <col min="17" max="17" width="10" bestFit="1" customWidth="1"/>
  </cols>
  <sheetData>
    <row r="1" spans="1:17" ht="15" thickBot="1">
      <c r="A1" s="50" t="s">
        <v>3</v>
      </c>
      <c r="B1" s="51" t="s">
        <v>2518</v>
      </c>
      <c r="C1" s="51" t="s">
        <v>2517</v>
      </c>
      <c r="D1" s="51" t="s">
        <v>2521</v>
      </c>
      <c r="E1" s="51" t="s">
        <v>2520</v>
      </c>
      <c r="F1" s="51" t="s">
        <v>2519</v>
      </c>
      <c r="H1" s="48" t="s">
        <v>2516</v>
      </c>
      <c r="I1" t="s">
        <v>2522</v>
      </c>
      <c r="K1" s="48" t="s">
        <v>2516</v>
      </c>
      <c r="L1" t="s">
        <v>2523</v>
      </c>
      <c r="N1" s="48" t="s">
        <v>2516</v>
      </c>
      <c r="O1" t="s">
        <v>2524</v>
      </c>
      <c r="P1" t="s">
        <v>2525</v>
      </c>
      <c r="Q1" t="s">
        <v>2526</v>
      </c>
    </row>
    <row r="2" spans="1:17" ht="15" thickTop="1">
      <c r="A2" s="52" t="s">
        <v>789</v>
      </c>
      <c r="B2" s="53">
        <v>37.68</v>
      </c>
      <c r="C2" s="53">
        <f>_xlfn.XLOOKUP(A2,Crime_rate_Index[[State ]], Crime_rate_Index[Crime Index ▲], "NA", 1)</f>
        <v>1941</v>
      </c>
      <c r="D2" s="58" cm="1">
        <f t="array" ref="D2">_xlfn.XLOOKUP(A2, Party_Affliation_by_States[[#All],[State]], Party_Affliation_by_States[[#All],[Republican/lean Rep.]], "NA", 0)</f>
        <v>0.52</v>
      </c>
      <c r="E2" s="58" cm="1">
        <f t="array" ref="E2">_xlfn.XLOOKUP(A2, Party_Affliation_by_States[[#All],[State]], Party_Affliation_by_States[[#All],[No lean]], "NA", 0)</f>
        <v>0.13</v>
      </c>
      <c r="F2" s="58" cm="1">
        <f t="array" ref="F2">_xlfn.XLOOKUP(A2, Party_Affliation_by_States[[#All],[State]], Party_Affliation_by_States[[#All],[Democrat/lean Dem.]], "NA", 0)</f>
        <v>0.35</v>
      </c>
      <c r="H2" s="49" t="s">
        <v>767</v>
      </c>
      <c r="I2" s="124">
        <v>45.27</v>
      </c>
      <c r="K2" s="49" t="s">
        <v>767</v>
      </c>
      <c r="L2" s="124">
        <v>1911</v>
      </c>
      <c r="N2" s="49" t="s">
        <v>767</v>
      </c>
      <c r="O2" s="61">
        <v>0.41</v>
      </c>
      <c r="P2" s="61">
        <v>0.18</v>
      </c>
      <c r="Q2" s="61">
        <v>0.41</v>
      </c>
    </row>
    <row r="3" spans="1:17">
      <c r="A3" s="54" t="s">
        <v>800</v>
      </c>
      <c r="B3" s="55">
        <v>54.52</v>
      </c>
      <c r="C3" s="55">
        <f>_xlfn.XLOOKUP(A3,Crime_rate_Index[[State ]], Crime_rate_Index[Crime Index ▲], "NA", 1)</f>
        <v>1986</v>
      </c>
      <c r="D3" s="59" cm="1">
        <f t="array" ref="D3">_xlfn.XLOOKUP(A3, Party_Affliation_by_States[[#All],[State]], Party_Affliation_by_States[[#All],[Republican/lean Rep.]], "NA", 0)</f>
        <v>0.39</v>
      </c>
      <c r="E3" s="59" cm="1">
        <f t="array" ref="E3">_xlfn.XLOOKUP(A3, Party_Affliation_by_States[[#All],[State]], Party_Affliation_by_States[[#All],[No lean]], "NA", 0)</f>
        <v>0.28999999999999998</v>
      </c>
      <c r="F3" s="59" cm="1">
        <f t="array" ref="F3">_xlfn.XLOOKUP(A3, Party_Affliation_by_States[[#All],[State]], Party_Affliation_by_States[[#All],[Democrat/lean Dem.]], "NA", 0)</f>
        <v>0.32</v>
      </c>
      <c r="H3" s="49" t="s">
        <v>784</v>
      </c>
      <c r="I3" s="124">
        <v>31.64</v>
      </c>
      <c r="K3" s="49" t="s">
        <v>784</v>
      </c>
      <c r="L3" s="124">
        <v>2167</v>
      </c>
      <c r="N3" s="49" t="s">
        <v>784</v>
      </c>
      <c r="O3" s="61">
        <v>0.41</v>
      </c>
      <c r="P3" s="61">
        <v>0.16</v>
      </c>
      <c r="Q3" s="61">
        <v>0.43</v>
      </c>
    </row>
    <row r="4" spans="1:17">
      <c r="A4" s="52" t="s">
        <v>753</v>
      </c>
      <c r="B4" s="53">
        <v>52.95</v>
      </c>
      <c r="C4" s="53">
        <f>_xlfn.XLOOKUP(A4,Crime_rate_Index[[State ]], Crime_rate_Index[Crime Index ▲], "NA", 1)</f>
        <v>2025</v>
      </c>
      <c r="D4" s="58" cm="1">
        <f t="array" ref="D4">_xlfn.XLOOKUP(A4, Party_Affliation_by_States[[#All],[State]], Party_Affliation_by_States[[#All],[Republican/lean Rep.]], "NA", 0)</f>
        <v>0.4</v>
      </c>
      <c r="E4" s="58" cm="1">
        <f t="array" ref="E4">_xlfn.XLOOKUP(A4, Party_Affliation_by_States[[#All],[State]], Party_Affliation_by_States[[#All],[No lean]], "NA", 0)</f>
        <v>0.21</v>
      </c>
      <c r="F4" s="58" cm="1">
        <f t="array" ref="F4">_xlfn.XLOOKUP(A4, Party_Affliation_by_States[[#All],[State]], Party_Affliation_by_States[[#All],[Democrat/lean Dem.]], "NA", 0)</f>
        <v>0.39</v>
      </c>
      <c r="H4" s="49" t="s">
        <v>748</v>
      </c>
      <c r="I4" s="124">
        <v>59.81</v>
      </c>
      <c r="K4" s="49" t="s">
        <v>748</v>
      </c>
      <c r="L4" s="124">
        <v>1298</v>
      </c>
      <c r="N4" s="49" t="s">
        <v>748</v>
      </c>
      <c r="O4" s="61">
        <v>0.39</v>
      </c>
      <c r="P4" s="61">
        <v>0.15</v>
      </c>
      <c r="Q4" s="61">
        <v>0.46</v>
      </c>
    </row>
    <row r="5" spans="1:17">
      <c r="A5" s="54" t="s">
        <v>792</v>
      </c>
      <c r="B5" s="55">
        <v>33.72</v>
      </c>
      <c r="C5" s="55">
        <f>_xlfn.XLOOKUP(A5,Crime_rate_Index[[State ]], Crime_rate_Index[Crime Index ▲], "NA", 1)</f>
        <v>2065</v>
      </c>
      <c r="D5" s="59" cm="1">
        <f t="array" ref="D5">_xlfn.XLOOKUP(A5, Party_Affliation_by_States[[#All],[State]], Party_Affliation_by_States[[#All],[Republican/lean Rep.]], "NA", 0)</f>
        <v>0.46</v>
      </c>
      <c r="E5" s="59" cm="1">
        <f t="array" ref="E5">_xlfn.XLOOKUP(A5, Party_Affliation_by_States[[#All],[State]], Party_Affliation_by_States[[#All],[No lean]], "NA", 0)</f>
        <v>0.16</v>
      </c>
      <c r="F5" s="59" cm="1">
        <f t="array" ref="F5">_xlfn.XLOOKUP(A5, Party_Affliation_by_States[[#All],[State]], Party_Affliation_by_States[[#All],[Democrat/lean Dem.]], "NA", 0)</f>
        <v>0.38</v>
      </c>
      <c r="H5" s="49" t="s">
        <v>719</v>
      </c>
      <c r="I5" s="124">
        <v>47.72</v>
      </c>
      <c r="K5" s="49" t="s">
        <v>719</v>
      </c>
      <c r="L5" s="124">
        <v>2180</v>
      </c>
      <c r="N5" s="49" t="s">
        <v>719</v>
      </c>
      <c r="O5" s="61">
        <v>0.37</v>
      </c>
      <c r="P5" s="61">
        <v>0.18</v>
      </c>
      <c r="Q5" s="61">
        <v>0.46</v>
      </c>
    </row>
    <row r="6" spans="1:17">
      <c r="A6" s="52" t="s">
        <v>666</v>
      </c>
      <c r="B6" s="53">
        <v>48.94</v>
      </c>
      <c r="C6" s="53">
        <f>_xlfn.XLOOKUP(A6,Crime_rate_Index[[State ]], Crime_rate_Index[Crime Index ▲], "NA", 1)</f>
        <v>1701</v>
      </c>
      <c r="D6" s="58" cm="1">
        <f t="array" ref="D6">_xlfn.XLOOKUP(A6, Party_Affliation_by_States[[#All],[State]], Party_Affliation_by_States[[#All],[Republican/lean Rep.]], "NA", 0)</f>
        <v>0.3</v>
      </c>
      <c r="E6" s="58" cm="1">
        <f t="array" ref="E6">_xlfn.XLOOKUP(A6, Party_Affliation_by_States[[#All],[State]], Party_Affliation_by_States[[#All],[No lean]], "NA", 0)</f>
        <v>0.21</v>
      </c>
      <c r="F6" s="58" cm="1">
        <f t="array" ref="F6">_xlfn.XLOOKUP(A6, Party_Affliation_by_States[[#All],[State]], Party_Affliation_by_States[[#All],[Democrat/lean Dem.]], "NA", 0)</f>
        <v>0.49</v>
      </c>
      <c r="H6" s="49" t="s">
        <v>787</v>
      </c>
      <c r="I6" s="124">
        <v>39.340000000000003</v>
      </c>
      <c r="K6" s="49" t="s">
        <v>787</v>
      </c>
      <c r="L6" s="124">
        <v>1938</v>
      </c>
      <c r="N6" s="49" t="s">
        <v>787</v>
      </c>
      <c r="O6" s="61">
        <v>0.45</v>
      </c>
      <c r="P6" s="61">
        <v>0.15</v>
      </c>
      <c r="Q6" s="61">
        <v>0.4</v>
      </c>
    </row>
    <row r="7" spans="1:17">
      <c r="A7" s="54" t="s">
        <v>757</v>
      </c>
      <c r="B7" s="55">
        <v>43.84</v>
      </c>
      <c r="C7" s="55">
        <f>_xlfn.XLOOKUP(A7,Crime_rate_Index[[State ]], Crime_rate_Index[Crime Index ▲], "NA", 1)</f>
        <v>1526</v>
      </c>
      <c r="D7" s="59" cm="1">
        <f t="array" ref="D7">_xlfn.XLOOKUP(A7, Party_Affliation_by_States[[#All],[State]], Party_Affliation_by_States[[#All],[Republican/lean Rep.]], "NA", 0)</f>
        <v>0.41</v>
      </c>
      <c r="E7" s="59" cm="1">
        <f t="array" ref="E7">_xlfn.XLOOKUP(A7, Party_Affliation_by_States[[#All],[State]], Party_Affliation_by_States[[#All],[No lean]], "NA", 0)</f>
        <v>0.17</v>
      </c>
      <c r="F7" s="59" cm="1">
        <f t="array" ref="F7">_xlfn.XLOOKUP(A7, Party_Affliation_by_States[[#All],[State]], Party_Affliation_by_States[[#All],[Democrat/lean Dem.]], "NA", 0)</f>
        <v>0.42</v>
      </c>
    </row>
    <row r="8" spans="1:17">
      <c r="A8" s="52" t="s">
        <v>742</v>
      </c>
      <c r="B8" s="53">
        <v>59.88</v>
      </c>
      <c r="C8" s="53">
        <f>_xlfn.XLOOKUP(A8,Crime_rate_Index[[State ]], Crime_rate_Index[Crime Index ▲], "NA", 1)</f>
        <v>1171</v>
      </c>
      <c r="D8" s="58" cm="1">
        <f t="array" ref="D8">_xlfn.XLOOKUP(A8, Party_Affliation_by_States[[#All],[State]], Party_Affliation_by_States[[#All],[Republican/lean Rep.]], "NA", 0)</f>
        <v>0.32</v>
      </c>
      <c r="E8" s="58" cm="1">
        <f t="array" ref="E8">_xlfn.XLOOKUP(A8, Party_Affliation_by_States[[#All],[State]], Party_Affliation_by_States[[#All],[No lean]], "NA", 0)</f>
        <v>0.18</v>
      </c>
      <c r="F8" s="58" cm="1">
        <f t="array" ref="F8">_xlfn.XLOOKUP(A8, Party_Affliation_by_States[[#All],[State]], Party_Affliation_by_States[[#All],[Democrat/lean Dem.]], "NA", 0)</f>
        <v>0.5</v>
      </c>
    </row>
    <row r="9" spans="1:17">
      <c r="A9" s="54" t="s">
        <v>778</v>
      </c>
      <c r="B9" s="55">
        <v>51.36</v>
      </c>
      <c r="C9" s="55">
        <f>_xlfn.XLOOKUP(A9,Crime_rate_Index[[State ]], Crime_rate_Index[Crime Index ▲], "NA", 1)</f>
        <v>1974</v>
      </c>
      <c r="D9" s="59" cm="1">
        <f t="array" ref="D9">_xlfn.XLOOKUP(A9, Party_Affliation_by_States[[#All],[State]], Party_Affliation_by_States[[#All],[Republican/lean Rep.]], "NA", 0)</f>
        <v>0.28999999999999998</v>
      </c>
      <c r="E9" s="59" cm="1">
        <f t="array" ref="E9">_xlfn.XLOOKUP(A9, Party_Affliation_by_States[[#All],[State]], Party_Affliation_by_States[[#All],[No lean]], "NA", 0)</f>
        <v>0.17</v>
      </c>
      <c r="F9" s="59" cm="1">
        <f t="array" ref="F9">_xlfn.XLOOKUP(A9, Party_Affliation_by_States[[#All],[State]], Party_Affliation_by_States[[#All],[Democrat/lean Dem.]], "NA", 0)</f>
        <v>0.55000000000000004</v>
      </c>
    </row>
    <row r="10" spans="1:17">
      <c r="A10" s="52" t="s">
        <v>751</v>
      </c>
      <c r="B10" s="53">
        <v>39.520000000000003</v>
      </c>
      <c r="C10" s="53">
        <f>_xlfn.XLOOKUP(A10,Crime_rate_Index[[State ]], Crime_rate_Index[Crime Index ▲], "NA", 1)</f>
        <v>2095</v>
      </c>
      <c r="D10" s="58" cm="1">
        <f t="array" ref="D10">_xlfn.XLOOKUP(A10, Party_Affliation_by_States[[#All],[State]], Party_Affliation_by_States[[#All],[Republican/lean Rep.]], "NA", 0)</f>
        <v>0.37</v>
      </c>
      <c r="E10" s="58" cm="1">
        <f t="array" ref="E10">_xlfn.XLOOKUP(A10, Party_Affliation_by_States[[#All],[State]], Party_Affliation_by_States[[#All],[No lean]], "NA", 0)</f>
        <v>0.19</v>
      </c>
      <c r="F10" s="58" cm="1">
        <f t="array" ref="F10">_xlfn.XLOOKUP(A10, Party_Affliation_by_States[[#All],[State]], Party_Affliation_by_States[[#All],[Democrat/lean Dem.]], "NA", 0)</f>
        <v>0.44</v>
      </c>
    </row>
    <row r="11" spans="1:17">
      <c r="A11" s="54" t="s">
        <v>767</v>
      </c>
      <c r="B11" s="55">
        <v>45.27</v>
      </c>
      <c r="C11" s="55">
        <f>_xlfn.XLOOKUP(A11,Crime_rate_Index[[State ]], Crime_rate_Index[Crime Index ▲], "NA", 1)</f>
        <v>1911</v>
      </c>
      <c r="D11" s="59" cm="1">
        <f t="array" ref="D11">_xlfn.XLOOKUP(A11, Party_Affliation_by_States[[#All],[State]], Party_Affliation_by_States[[#All],[Republican/lean Rep.]], "NA", 0)</f>
        <v>0.41</v>
      </c>
      <c r="E11" s="59" cm="1">
        <f t="array" ref="E11">_xlfn.XLOOKUP(A11, Party_Affliation_by_States[[#All],[State]], Party_Affliation_by_States[[#All],[No lean]], "NA", 0)</f>
        <v>0.18</v>
      </c>
      <c r="F11" s="59" cm="1">
        <f t="array" ref="F11">_xlfn.XLOOKUP(A11, Party_Affliation_by_States[[#All],[State]], Party_Affliation_by_States[[#All],[Democrat/lean Dem.]], "NA", 0)</f>
        <v>0.41</v>
      </c>
    </row>
    <row r="12" spans="1:17">
      <c r="A12" s="52" t="s">
        <v>810</v>
      </c>
      <c r="B12" s="53">
        <v>60.36</v>
      </c>
      <c r="C12" s="53">
        <f>_xlfn.XLOOKUP(A12,Crime_rate_Index[[State ]], Crime_rate_Index[Crime Index ▲], "NA", 1)</f>
        <v>1608</v>
      </c>
      <c r="D12" s="58" cm="1">
        <f t="array" ref="D12">_xlfn.XLOOKUP(A12, Party_Affliation_by_States[[#All],[State]], Party_Affliation_by_States[[#All],[Republican/lean Rep.]], "NA", 0)</f>
        <v>0.28000000000000003</v>
      </c>
      <c r="E12" s="58" cm="1">
        <f t="array" ref="E12">_xlfn.XLOOKUP(A12, Party_Affliation_by_States[[#All],[State]], Party_Affliation_by_States[[#All],[No lean]], "NA", 0)</f>
        <v>0.2</v>
      </c>
      <c r="F12" s="58" cm="1">
        <f t="array" ref="F12">_xlfn.XLOOKUP(A12, Party_Affliation_by_States[[#All],[State]], Party_Affliation_by_States[[#All],[Democrat/lean Dem.]], "NA", 0)</f>
        <v>0.51</v>
      </c>
    </row>
    <row r="13" spans="1:17">
      <c r="A13" s="54" t="s">
        <v>796</v>
      </c>
      <c r="B13" s="55">
        <v>54.67</v>
      </c>
      <c r="C13" s="55">
        <f>_xlfn.XLOOKUP(A13,Crime_rate_Index[[State ]], Crime_rate_Index[Crime Index ▲], "NA", 1)</f>
        <v>1068</v>
      </c>
      <c r="D13" s="59" cm="1">
        <f t="array" ref="D13">_xlfn.XLOOKUP(A13, Party_Affliation_by_States[[#All],[State]], Party_Affliation_by_States[[#All],[Republican/lean Rep.]], "NA", 0)</f>
        <v>0.49</v>
      </c>
      <c r="E13" s="59" cm="1">
        <f t="array" ref="E13">_xlfn.XLOOKUP(A13, Party_Affliation_by_States[[#All],[State]], Party_Affliation_by_States[[#All],[No lean]], "NA", 0)</f>
        <v>0.19</v>
      </c>
      <c r="F13" s="59" cm="1">
        <f t="array" ref="F13">_xlfn.XLOOKUP(A13, Party_Affliation_by_States[[#All],[State]], Party_Affliation_by_States[[#All],[Democrat/lean Dem.]], "NA", 0)</f>
        <v>0.32</v>
      </c>
    </row>
    <row r="14" spans="1:17">
      <c r="A14" s="52" t="s">
        <v>746</v>
      </c>
      <c r="B14" s="53">
        <v>47.68</v>
      </c>
      <c r="C14" s="53">
        <f>_xlfn.XLOOKUP(A14,Crime_rate_Index[[State ]], Crime_rate_Index[Crime Index ▲], "NA", 1)</f>
        <v>1616</v>
      </c>
      <c r="D14" s="58" cm="1">
        <f t="array" ref="D14">_xlfn.XLOOKUP(A14, Party_Affliation_by_States[[#All],[State]], Party_Affliation_by_States[[#All],[Republican/lean Rep.]], "NA", 0)</f>
        <v>0.33</v>
      </c>
      <c r="E14" s="58" cm="1">
        <f t="array" ref="E14">_xlfn.XLOOKUP(A14, Party_Affliation_by_States[[#All],[State]], Party_Affliation_by_States[[#All],[No lean]], "NA", 0)</f>
        <v>0.19</v>
      </c>
      <c r="F14" s="58" cm="1">
        <f t="array" ref="F14">_xlfn.XLOOKUP(A14, Party_Affliation_by_States[[#All],[State]], Party_Affliation_by_States[[#All],[Democrat/lean Dem.]], "NA", 0)</f>
        <v>0.48</v>
      </c>
    </row>
    <row r="15" spans="1:17">
      <c r="A15" s="54" t="s">
        <v>416</v>
      </c>
      <c r="B15" s="55">
        <v>52.98</v>
      </c>
      <c r="C15" s="55">
        <f>_xlfn.XLOOKUP(A15,Crime_rate_Index[[State ]], Crime_rate_Index[Crime Index ▲], "NA", 1)</f>
        <v>1599</v>
      </c>
      <c r="D15" s="59" cm="1">
        <f t="array" ref="D15">_xlfn.XLOOKUP(A15, Party_Affliation_by_States[[#All],[State]], Party_Affliation_by_States[[#All],[Republican/lean Rep.]], "NA", 0)</f>
        <v>0.42</v>
      </c>
      <c r="E15" s="59" cm="1">
        <f t="array" ref="E15">_xlfn.XLOOKUP(A15, Party_Affliation_by_States[[#All],[State]], Party_Affliation_by_States[[#All],[No lean]], "NA", 0)</f>
        <v>0.2</v>
      </c>
      <c r="F15" s="59" cm="1">
        <f t="array" ref="F15">_xlfn.XLOOKUP(A15, Party_Affliation_by_States[[#All],[State]], Party_Affliation_by_States[[#All],[Democrat/lean Dem.]], "NA", 0)</f>
        <v>0.37</v>
      </c>
    </row>
    <row r="16" spans="1:17">
      <c r="A16" s="52" t="s">
        <v>770</v>
      </c>
      <c r="B16" s="53">
        <v>55.29</v>
      </c>
      <c r="C16" s="53">
        <f>_xlfn.XLOOKUP(A16,Crime_rate_Index[[State ]], Crime_rate_Index[Crime Index ▲], "NA", 1)</f>
        <v>1203</v>
      </c>
      <c r="D16" s="58" cm="1">
        <f t="array" ref="D16">_xlfn.XLOOKUP(A16, Party_Affliation_by_States[[#All],[State]], Party_Affliation_by_States[[#All],[Republican/lean Rep.]], "NA", 0)</f>
        <v>0.41</v>
      </c>
      <c r="E16" s="58" cm="1">
        <f t="array" ref="E16">_xlfn.XLOOKUP(A16, Party_Affliation_by_States[[#All],[State]], Party_Affliation_by_States[[#All],[No lean]], "NA", 0)</f>
        <v>0.19</v>
      </c>
      <c r="F16" s="58" cm="1">
        <f t="array" ref="F16">_xlfn.XLOOKUP(A16, Party_Affliation_by_States[[#All],[State]], Party_Affliation_by_States[[#All],[Democrat/lean Dem.]], "NA", 0)</f>
        <v>0.4</v>
      </c>
    </row>
    <row r="17" spans="1:6">
      <c r="A17" s="54" t="s">
        <v>777</v>
      </c>
      <c r="B17" s="55">
        <v>42.91</v>
      </c>
      <c r="C17" s="55">
        <f>_xlfn.XLOOKUP(A17,Crime_rate_Index[[State ]], Crime_rate_Index[Crime Index ▲], "NA", 1)</f>
        <v>1670</v>
      </c>
      <c r="D17" s="59" cm="1">
        <f t="array" ref="D17">_xlfn.XLOOKUP(A17, Party_Affliation_by_States[[#All],[State]], Party_Affliation_by_States[[#All],[Republican/lean Rep.]], "NA", 0)</f>
        <v>0.46</v>
      </c>
      <c r="E17" s="59" cm="1">
        <f t="array" ref="E17">_xlfn.XLOOKUP(A17, Party_Affliation_by_States[[#All],[State]], Party_Affliation_by_States[[#All],[No lean]], "NA", 0)</f>
        <v>0.23</v>
      </c>
      <c r="F17" s="59" cm="1">
        <f t="array" ref="F17">_xlfn.XLOOKUP(A17, Party_Affliation_by_States[[#All],[State]], Party_Affliation_by_States[[#All],[Democrat/lean Dem.]], "NA", 0)</f>
        <v>0.31</v>
      </c>
    </row>
    <row r="18" spans="1:6">
      <c r="A18" s="52" t="s">
        <v>775</v>
      </c>
      <c r="B18" s="53">
        <v>48.73</v>
      </c>
      <c r="C18" s="53">
        <f>_xlfn.XLOOKUP(A18,Crime_rate_Index[[State ]], Crime_rate_Index[Crime Index ▲], "NA", 1)</f>
        <v>1305</v>
      </c>
      <c r="D18" s="58" cm="1">
        <f t="array" ref="D18">_xlfn.XLOOKUP(A18, Party_Affliation_by_States[[#All],[State]], Party_Affliation_by_States[[#All],[Republican/lean Rep.]], "NA", 0)</f>
        <v>0.44</v>
      </c>
      <c r="E18" s="58" cm="1">
        <f t="array" ref="E18">_xlfn.XLOOKUP(A18, Party_Affliation_by_States[[#All],[State]], Party_Affliation_by_States[[#All],[No lean]], "NA", 0)</f>
        <v>0.13</v>
      </c>
      <c r="F18" s="58" cm="1">
        <f t="array" ref="F18">_xlfn.XLOOKUP(A18, Party_Affliation_by_States[[#All],[State]], Party_Affliation_by_States[[#All],[Democrat/lean Dem.]], "NA", 0)</f>
        <v>0.43</v>
      </c>
    </row>
    <row r="19" spans="1:6">
      <c r="A19" s="54" t="s">
        <v>784</v>
      </c>
      <c r="B19" s="55">
        <v>31.64</v>
      </c>
      <c r="C19" s="55">
        <f>_xlfn.XLOOKUP(A19,Crime_rate_Index[[State ]], Crime_rate_Index[Crime Index ▲], "NA", 1)</f>
        <v>2167</v>
      </c>
      <c r="D19" s="59" cm="1">
        <f t="array" ref="D19">_xlfn.XLOOKUP(A19, Party_Affliation_by_States[[#All],[State]], Party_Affliation_by_States[[#All],[Republican/lean Rep.]], "NA", 0)</f>
        <v>0.41</v>
      </c>
      <c r="E19" s="59" cm="1">
        <f t="array" ref="E19">_xlfn.XLOOKUP(A19, Party_Affliation_by_States[[#All],[State]], Party_Affliation_by_States[[#All],[No lean]], "NA", 0)</f>
        <v>0.16</v>
      </c>
      <c r="F19" s="59" cm="1">
        <f t="array" ref="F19">_xlfn.XLOOKUP(A19, Party_Affliation_by_States[[#All],[State]], Party_Affliation_by_States[[#All],[Democrat/lean Dem.]], "NA", 0)</f>
        <v>0.43</v>
      </c>
    </row>
    <row r="20" spans="1:6">
      <c r="A20" s="52" t="s">
        <v>798</v>
      </c>
      <c r="B20" s="53">
        <v>66.95</v>
      </c>
      <c r="C20" s="53">
        <f>_xlfn.XLOOKUP(A20,Crime_rate_Index[[State ]], Crime_rate_Index[Crime Index ▲], "NA", 1)</f>
        <v>1017</v>
      </c>
      <c r="D20" s="58" cm="1">
        <f t="array" ref="D20">_xlfn.XLOOKUP(A20, Party_Affliation_by_States[[#All],[State]], Party_Affliation_by_States[[#All],[Republican/lean Rep.]], "NA", 0)</f>
        <v>0.36</v>
      </c>
      <c r="E20" s="58" cm="1">
        <f t="array" ref="E20">_xlfn.XLOOKUP(A20, Party_Affliation_by_States[[#All],[State]], Party_Affliation_by_States[[#All],[No lean]], "NA", 0)</f>
        <v>0.17</v>
      </c>
      <c r="F20" s="58" cm="1">
        <f t="array" ref="F20">_xlfn.XLOOKUP(A20, Party_Affliation_by_States[[#All],[State]], Party_Affliation_by_States[[#All],[Democrat/lean Dem.]], "NA", 0)</f>
        <v>0.47</v>
      </c>
    </row>
    <row r="21" spans="1:6">
      <c r="A21" s="54" t="s">
        <v>750</v>
      </c>
      <c r="B21" s="55">
        <v>53.23</v>
      </c>
      <c r="C21" s="55">
        <f>_xlfn.XLOOKUP(A21,Crime_rate_Index[[State ]], Crime_rate_Index[Crime Index ▲], "NA", 1)</f>
        <v>1884</v>
      </c>
      <c r="D21" s="59" cm="1">
        <f t="array" ref="D21">_xlfn.XLOOKUP(A21, Party_Affliation_by_States[[#All],[State]], Party_Affliation_by_States[[#All],[Republican/lean Rep.]], "NA", 0)</f>
        <v>0.31</v>
      </c>
      <c r="E21" s="59" cm="1">
        <f t="array" ref="E21">_xlfn.XLOOKUP(A21, Party_Affliation_by_States[[#All],[State]], Party_Affliation_by_States[[#All],[No lean]], "NA", 0)</f>
        <v>0.14000000000000001</v>
      </c>
      <c r="F21" s="59" cm="1">
        <f t="array" ref="F21">_xlfn.XLOOKUP(A21, Party_Affliation_by_States[[#All],[State]], Party_Affliation_by_States[[#All],[Democrat/lean Dem.]], "NA", 0)</f>
        <v>0.55000000000000004</v>
      </c>
    </row>
    <row r="22" spans="1:6">
      <c r="A22" s="52" t="s">
        <v>738</v>
      </c>
      <c r="B22" s="53">
        <v>60.02</v>
      </c>
      <c r="C22" s="53">
        <f>_xlfn.XLOOKUP(A22,Crime_rate_Index[[State ]], Crime_rate_Index[Crime Index ▲], "NA", 1)</f>
        <v>1368</v>
      </c>
      <c r="D22" s="58" cm="1">
        <f t="array" ref="D22">_xlfn.XLOOKUP(A22, Party_Affliation_by_States[[#All],[State]], Party_Affliation_by_States[[#All],[Republican/lean Rep.]], "NA", 0)</f>
        <v>0.27</v>
      </c>
      <c r="E22" s="58" cm="1">
        <f t="array" ref="E22">_xlfn.XLOOKUP(A22, Party_Affliation_by_States[[#All],[State]], Party_Affliation_by_States[[#All],[No lean]], "NA", 0)</f>
        <v>0.17</v>
      </c>
      <c r="F22" s="58" cm="1">
        <f t="array" ref="F22">_xlfn.XLOOKUP(A22, Party_Affliation_by_States[[#All],[State]], Party_Affliation_by_States[[#All],[Democrat/lean Dem.]], "NA", 0)</f>
        <v>0.56000000000000005</v>
      </c>
    </row>
    <row r="23" spans="1:6">
      <c r="A23" s="54" t="s">
        <v>741</v>
      </c>
      <c r="B23" s="55">
        <v>49.79</v>
      </c>
      <c r="C23" s="55">
        <f>_xlfn.XLOOKUP(A23,Crime_rate_Index[[State ]], Crime_rate_Index[Crime Index ▲], "NA", 1)</f>
        <v>1757</v>
      </c>
      <c r="D23" s="59" cm="1">
        <f t="array" ref="D23">_xlfn.XLOOKUP(A23, Party_Affliation_by_States[[#All],[State]], Party_Affliation_by_States[[#All],[Republican/lean Rep.]], "NA", 0)</f>
        <v>0.34</v>
      </c>
      <c r="E23" s="59" cm="1">
        <f t="array" ref="E23">_xlfn.XLOOKUP(A23, Party_Affliation_by_States[[#All],[State]], Party_Affliation_by_States[[#All],[No lean]], "NA", 0)</f>
        <v>0.19</v>
      </c>
      <c r="F23" s="59" cm="1">
        <f t="array" ref="F23">_xlfn.XLOOKUP(A23, Party_Affliation_by_States[[#All],[State]], Party_Affliation_by_States[[#All],[Democrat/lean Dem.]], "NA", 0)</f>
        <v>0.47</v>
      </c>
    </row>
    <row r="24" spans="1:6">
      <c r="A24" s="52" t="s">
        <v>748</v>
      </c>
      <c r="B24" s="53">
        <v>59.81</v>
      </c>
      <c r="C24" s="53">
        <f>_xlfn.XLOOKUP(A24,Crime_rate_Index[[State ]], Crime_rate_Index[Crime Index ▲], "NA", 1)</f>
        <v>1298</v>
      </c>
      <c r="D24" s="58" cm="1">
        <f t="array" ref="D24">_xlfn.XLOOKUP(A24, Party_Affliation_by_States[[#All],[State]], Party_Affliation_by_States[[#All],[Republican/lean Rep.]], "NA", 0)</f>
        <v>0.39</v>
      </c>
      <c r="E24" s="58" cm="1">
        <f t="array" ref="E24">_xlfn.XLOOKUP(A24, Party_Affliation_by_States[[#All],[State]], Party_Affliation_by_States[[#All],[No lean]], "NA", 0)</f>
        <v>0.15</v>
      </c>
      <c r="F24" s="58" cm="1">
        <f t="array" ref="F24">_xlfn.XLOOKUP(A24, Party_Affliation_by_States[[#All],[State]], Party_Affliation_by_States[[#All],[Democrat/lean Dem.]], "NA", 0)</f>
        <v>0.46</v>
      </c>
    </row>
    <row r="25" spans="1:6">
      <c r="A25" s="54" t="s">
        <v>793</v>
      </c>
      <c r="B25" s="55">
        <v>32.520000000000003</v>
      </c>
      <c r="C25" s="55">
        <f>_xlfn.XLOOKUP(A25,Crime_rate_Index[[State ]], Crime_rate_Index[Crime Index ▲], "NA", 1)</f>
        <v>1584</v>
      </c>
      <c r="D25" s="59" cm="1">
        <f t="array" ref="D25">_xlfn.XLOOKUP(A25, Party_Affliation_by_States[[#All],[State]], Party_Affliation_by_States[[#All],[Republican/lean Rep.]], "NA", 0)</f>
        <v>0.44</v>
      </c>
      <c r="E25" s="59" cm="1">
        <f t="array" ref="E25">_xlfn.XLOOKUP(A25, Party_Affliation_by_States[[#All],[State]], Party_Affliation_by_States[[#All],[No lean]], "NA", 0)</f>
        <v>0.14000000000000001</v>
      </c>
      <c r="F25" s="59" cm="1">
        <f t="array" ref="F25">_xlfn.XLOOKUP(A25, Party_Affliation_by_States[[#All],[State]], Party_Affliation_by_States[[#All],[Democrat/lean Dem.]], "NA", 0)</f>
        <v>0.42</v>
      </c>
    </row>
    <row r="26" spans="1:6">
      <c r="A26" s="52" t="s">
        <v>763</v>
      </c>
      <c r="B26" s="53">
        <v>40.25</v>
      </c>
      <c r="C26" s="53">
        <f>_xlfn.XLOOKUP(A26,Crime_rate_Index[[State ]], Crime_rate_Index[Crime Index ▲], "NA", 1)</f>
        <v>1858</v>
      </c>
      <c r="D26" s="58" cm="1">
        <f t="array" ref="D26">_xlfn.XLOOKUP(A26, Party_Affliation_by_States[[#All],[State]], Party_Affliation_by_States[[#All],[Republican/lean Rep.]], "NA", 0)</f>
        <v>0.41</v>
      </c>
      <c r="E26" s="58" cm="1">
        <f t="array" ref="E26">_xlfn.XLOOKUP(A26, Party_Affliation_by_States[[#All],[State]], Party_Affliation_by_States[[#All],[No lean]], "NA", 0)</f>
        <v>0.18</v>
      </c>
      <c r="F26" s="58" cm="1">
        <f t="array" ref="F26">_xlfn.XLOOKUP(A26, Party_Affliation_by_States[[#All],[State]], Party_Affliation_by_States[[#All],[Democrat/lean Dem.]], "NA", 0)</f>
        <v>0.42</v>
      </c>
    </row>
    <row r="27" spans="1:6">
      <c r="A27" s="54" t="s">
        <v>794</v>
      </c>
      <c r="B27" s="55">
        <v>42.16</v>
      </c>
      <c r="C27" s="55">
        <f>_xlfn.XLOOKUP(A27,Crime_rate_Index[[State ]], Crime_rate_Index[Crime Index ▲], "NA", 1)</f>
        <v>1230</v>
      </c>
      <c r="D27" s="59" cm="1">
        <f t="array" ref="D27">_xlfn.XLOOKUP(A27, Party_Affliation_by_States[[#All],[State]], Party_Affliation_by_States[[#All],[Republican/lean Rep.]], "NA", 0)</f>
        <v>0.49</v>
      </c>
      <c r="E27" s="59" cm="1">
        <f t="array" ref="E27">_xlfn.XLOOKUP(A27, Party_Affliation_by_States[[#All],[State]], Party_Affliation_by_States[[#All],[No lean]], "NA", 0)</f>
        <v>0.21</v>
      </c>
      <c r="F27" s="59" cm="1">
        <f t="array" ref="F27">_xlfn.XLOOKUP(A27, Party_Affliation_by_States[[#All],[State]], Party_Affliation_by_States[[#All],[Democrat/lean Dem.]], "NA", 0)</f>
        <v>0.3</v>
      </c>
    </row>
    <row r="28" spans="1:6">
      <c r="A28" s="52" t="s">
        <v>764</v>
      </c>
      <c r="B28" s="53">
        <v>46.58</v>
      </c>
      <c r="C28" s="53">
        <f>_xlfn.XLOOKUP(A28,Crime_rate_Index[[State ]], Crime_rate_Index[Crime Index ▲], "NA", 1)</f>
        <v>1390</v>
      </c>
      <c r="D28" s="58" cm="1">
        <f t="array" ref="D28">_xlfn.XLOOKUP(A28, Party_Affliation_by_States[[#All],[State]], Party_Affliation_by_States[[#All],[Republican/lean Rep.]], "NA", 0)</f>
        <v>0.47</v>
      </c>
      <c r="E28" s="58" cm="1">
        <f t="array" ref="E28">_xlfn.XLOOKUP(A28, Party_Affliation_by_States[[#All],[State]], Party_Affliation_by_States[[#All],[No lean]], "NA", 0)</f>
        <v>0.17</v>
      </c>
      <c r="F28" s="58" cm="1">
        <f t="array" ref="F28">_xlfn.XLOOKUP(A28, Party_Affliation_by_States[[#All],[State]], Party_Affliation_by_States[[#All],[Democrat/lean Dem.]], "NA", 0)</f>
        <v>0.36</v>
      </c>
    </row>
    <row r="29" spans="1:6">
      <c r="A29" s="54" t="s">
        <v>719</v>
      </c>
      <c r="B29" s="55">
        <v>47.72</v>
      </c>
      <c r="C29" s="55">
        <f>_xlfn.XLOOKUP(A29,Crime_rate_Index[[State ]], Crime_rate_Index[Crime Index ▲], "NA", 1)</f>
        <v>2180</v>
      </c>
      <c r="D29" s="59" cm="1">
        <f t="array" ref="D29">_xlfn.XLOOKUP(A29, Party_Affliation_by_States[[#All],[State]], Party_Affliation_by_States[[#All],[Republican/lean Rep.]], "NA", 0)</f>
        <v>0.37</v>
      </c>
      <c r="E29" s="59" cm="1">
        <f t="array" ref="E29">_xlfn.XLOOKUP(A29, Party_Affliation_by_States[[#All],[State]], Party_Affliation_by_States[[#All],[No lean]], "NA", 0)</f>
        <v>0.18</v>
      </c>
      <c r="F29" s="59" cm="1">
        <f t="array" ref="F29">_xlfn.XLOOKUP(A29, Party_Affliation_by_States[[#All],[State]], Party_Affliation_by_States[[#All],[Democrat/lean Dem.]], "NA", 0)</f>
        <v>0.46</v>
      </c>
    </row>
    <row r="30" spans="1:6">
      <c r="A30" s="52" t="s">
        <v>773</v>
      </c>
      <c r="B30" s="53">
        <v>63.99</v>
      </c>
      <c r="C30" s="53">
        <f>_xlfn.XLOOKUP(A30,Crime_rate_Index[[State ]], Crime_rate_Index[Crime Index ▲], "NA", 1)</f>
        <v>956</v>
      </c>
      <c r="D30" s="58" cm="1">
        <f t="array" ref="D30">_xlfn.XLOOKUP(A30, Party_Affliation_by_States[[#All],[State]], Party_Affliation_by_States[[#All],[Republican/lean Rep.]], "NA", 0)</f>
        <v>0.35</v>
      </c>
      <c r="E30" s="58" cm="1">
        <f t="array" ref="E30">_xlfn.XLOOKUP(A30, Party_Affliation_by_States[[#All],[State]], Party_Affliation_by_States[[#All],[No lean]], "NA", 0)</f>
        <v>0.2</v>
      </c>
      <c r="F30" s="58" cm="1">
        <f t="array" ref="F30">_xlfn.XLOOKUP(A30, Party_Affliation_by_States[[#All],[State]], Party_Affliation_by_States[[#All],[Democrat/lean Dem.]], "NA", 0)</f>
        <v>0.44</v>
      </c>
    </row>
    <row r="31" spans="1:6">
      <c r="A31" s="54" t="s">
        <v>747</v>
      </c>
      <c r="B31" s="55">
        <v>54.62</v>
      </c>
      <c r="C31" s="55">
        <f>_xlfn.XLOOKUP(A31,Crime_rate_Index[[State ]], Crime_rate_Index[Crime Index ▲], "NA", 1)</f>
        <v>1180</v>
      </c>
      <c r="D31" s="59" cm="1">
        <f t="array" ref="D31">_xlfn.XLOOKUP(A31, Party_Affliation_by_States[[#All],[State]], Party_Affliation_by_States[[#All],[Republican/lean Rep.]], "NA", 0)</f>
        <v>0.3</v>
      </c>
      <c r="E31" s="59" cm="1">
        <f t="array" ref="E31">_xlfn.XLOOKUP(A31, Party_Affliation_by_States[[#All],[State]], Party_Affliation_by_States[[#All],[No lean]], "NA", 0)</f>
        <v>0.19</v>
      </c>
      <c r="F31" s="59" cm="1">
        <f t="array" ref="F31">_xlfn.XLOOKUP(A31, Party_Affliation_by_States[[#All],[State]], Party_Affliation_by_States[[#All],[Democrat/lean Dem.]], "NA", 0)</f>
        <v>0.51</v>
      </c>
    </row>
    <row r="32" spans="1:6">
      <c r="A32" s="52" t="s">
        <v>780</v>
      </c>
      <c r="B32" s="53">
        <v>49.92</v>
      </c>
      <c r="C32" s="53">
        <f>_xlfn.XLOOKUP(A32,Crime_rate_Index[[State ]], Crime_rate_Index[Crime Index ▲], "NA", 1)</f>
        <v>2241</v>
      </c>
      <c r="D32" s="58" cm="1">
        <f t="array" ref="D32">_xlfn.XLOOKUP(A32, Party_Affliation_by_States[[#All],[State]], Party_Affliation_by_States[[#All],[Republican/lean Rep.]], "NA", 0)</f>
        <v>0.37</v>
      </c>
      <c r="E32" s="58" cm="1">
        <f t="array" ref="E32">_xlfn.XLOOKUP(A32, Party_Affliation_by_States[[#All],[State]], Party_Affliation_by_States[[#All],[No lean]], "NA", 0)</f>
        <v>0.15</v>
      </c>
      <c r="F32" s="58" cm="1">
        <f t="array" ref="F32">_xlfn.XLOOKUP(A32, Party_Affliation_by_States[[#All],[State]], Party_Affliation_by_States[[#All],[Democrat/lean Dem.]], "NA", 0)</f>
        <v>0.48</v>
      </c>
    </row>
    <row r="33" spans="1:6">
      <c r="A33" s="54" t="s">
        <v>740</v>
      </c>
      <c r="B33" s="55">
        <v>51.92</v>
      </c>
      <c r="C33" s="55">
        <f>_xlfn.XLOOKUP(A33,Crime_rate_Index[[State ]], Crime_rate_Index[Crime Index ▲], "NA", 1)</f>
        <v>1194</v>
      </c>
      <c r="D33" s="59" cm="1">
        <f t="array" ref="D33">_xlfn.XLOOKUP(A33, Party_Affliation_by_States[[#All],[State]], Party_Affliation_by_States[[#All],[Republican/lean Rep.]], "NA", 0)</f>
        <v>0.28000000000000003</v>
      </c>
      <c r="E33" s="59" cm="1">
        <f t="array" ref="E33">_xlfn.XLOOKUP(A33, Party_Affliation_by_States[[#All],[State]], Party_Affliation_by_States[[#All],[No lean]], "NA", 0)</f>
        <v>0.19</v>
      </c>
      <c r="F33" s="59" cm="1">
        <f t="array" ref="F33">_xlfn.XLOOKUP(A33, Party_Affliation_by_States[[#All],[State]], Party_Affliation_by_States[[#All],[Democrat/lean Dem.]], "NA", 0)</f>
        <v>0.53</v>
      </c>
    </row>
    <row r="34" spans="1:6">
      <c r="A34" s="52" t="s">
        <v>752</v>
      </c>
      <c r="B34" s="53">
        <v>52.37</v>
      </c>
      <c r="C34" s="53">
        <f>_xlfn.XLOOKUP(A34,Crime_rate_Index[[State ]], Crime_rate_Index[Crime Index ▲], "NA", 1)</f>
        <v>1869</v>
      </c>
      <c r="D34" s="58" cm="1">
        <f t="array" ref="D34">_xlfn.XLOOKUP(A34, Party_Affliation_by_States[[#All],[State]], Party_Affliation_by_States[[#All],[Republican/lean Rep.]], "NA", 0)</f>
        <v>0.41</v>
      </c>
      <c r="E34" s="58" cm="1">
        <f t="array" ref="E34">_xlfn.XLOOKUP(A34, Party_Affliation_by_States[[#All],[State]], Party_Affliation_by_States[[#All],[No lean]], "NA", 0)</f>
        <v>0.17</v>
      </c>
      <c r="F34" s="58" cm="1">
        <f t="array" ref="F34">_xlfn.XLOOKUP(A34, Party_Affliation_by_States[[#All],[State]], Party_Affliation_by_States[[#All],[Democrat/lean Dem.]], "NA", 0)</f>
        <v>0.43</v>
      </c>
    </row>
    <row r="35" spans="1:6">
      <c r="A35" s="54" t="s">
        <v>802</v>
      </c>
      <c r="B35" s="55">
        <v>47.94</v>
      </c>
      <c r="C35" s="55">
        <f>_xlfn.XLOOKUP(A35,Crime_rate_Index[[State ]], Crime_rate_Index[Crime Index ▲], "NA", 1)</f>
        <v>985</v>
      </c>
      <c r="D35" s="59" cm="1">
        <f t="array" ref="D35">_xlfn.XLOOKUP(A35, Party_Affliation_by_States[[#All],[State]], Party_Affliation_by_States[[#All],[Republican/lean Rep.]], "NA", 0)</f>
        <v>0.5</v>
      </c>
      <c r="E35" s="59" cm="1">
        <f t="array" ref="E35">_xlfn.XLOOKUP(A35, Party_Affliation_by_States[[#All],[State]], Party_Affliation_by_States[[#All],[No lean]], "NA", 0)</f>
        <v>0.18</v>
      </c>
      <c r="F35" s="59" cm="1">
        <f t="array" ref="F35">_xlfn.XLOOKUP(A35, Party_Affliation_by_States[[#All],[State]], Party_Affliation_by_States[[#All],[Democrat/lean Dem.]], "NA", 0)</f>
        <v>0.33</v>
      </c>
    </row>
    <row r="36" spans="1:6">
      <c r="A36" s="52" t="s">
        <v>756</v>
      </c>
      <c r="B36" s="53">
        <v>45.14</v>
      </c>
      <c r="C36" s="53">
        <f>_xlfn.XLOOKUP(A36,Crime_rate_Index[[State ]], Crime_rate_Index[Crime Index ▲], "NA", 1)</f>
        <v>1691</v>
      </c>
      <c r="D36" s="58" cm="1">
        <f t="array" ref="D36">_xlfn.XLOOKUP(A36, Party_Affliation_by_States[[#All],[State]], Party_Affliation_by_States[[#All],[Republican/lean Rep.]], "NA", 0)</f>
        <v>0.42</v>
      </c>
      <c r="E36" s="58" cm="1">
        <f t="array" ref="E36">_xlfn.XLOOKUP(A36, Party_Affliation_by_States[[#All],[State]], Party_Affliation_by_States[[#All],[No lean]], "NA", 0)</f>
        <v>0.18</v>
      </c>
      <c r="F36" s="58" cm="1">
        <f t="array" ref="F36">_xlfn.XLOOKUP(A36, Party_Affliation_by_States[[#All],[State]], Party_Affliation_by_States[[#All],[Democrat/lean Dem.]], "NA", 0)</f>
        <v>0.4</v>
      </c>
    </row>
    <row r="37" spans="1:6">
      <c r="A37" s="54" t="s">
        <v>787</v>
      </c>
      <c r="B37" s="55">
        <v>39.340000000000003</v>
      </c>
      <c r="C37" s="55">
        <f>_xlfn.XLOOKUP(A37,Crime_rate_Index[[State ]], Crime_rate_Index[Crime Index ▲], "NA", 1)</f>
        <v>1938</v>
      </c>
      <c r="D37" s="59" cm="1">
        <f t="array" ref="D37">_xlfn.XLOOKUP(A37, Party_Affliation_by_States[[#All],[State]], Party_Affliation_by_States[[#All],[Republican/lean Rep.]], "NA", 0)</f>
        <v>0.45</v>
      </c>
      <c r="E37" s="59" cm="1">
        <f t="array" ref="E37">_xlfn.XLOOKUP(A37, Party_Affliation_by_States[[#All],[State]], Party_Affliation_by_States[[#All],[No lean]], "NA", 0)</f>
        <v>0.15</v>
      </c>
      <c r="F37" s="59" cm="1">
        <f t="array" ref="F37">_xlfn.XLOOKUP(A37, Party_Affliation_by_States[[#All],[State]], Party_Affliation_by_States[[#All],[Democrat/lean Dem.]], "NA", 0)</f>
        <v>0.4</v>
      </c>
    </row>
    <row r="38" spans="1:6">
      <c r="A38" s="52" t="s">
        <v>766</v>
      </c>
      <c r="B38" s="53">
        <v>55.48</v>
      </c>
      <c r="C38" s="53">
        <f>_xlfn.XLOOKUP(A38,Crime_rate_Index[[State ]], Crime_rate_Index[Crime Index ▲], "NA", 1)</f>
        <v>1497</v>
      </c>
      <c r="D38" s="58" cm="1">
        <f t="array" ref="D38">_xlfn.XLOOKUP(A38, Party_Affliation_by_States[[#All],[State]], Party_Affliation_by_States[[#All],[Republican/lean Rep.]], "NA", 0)</f>
        <v>0.32</v>
      </c>
      <c r="E38" s="58" cm="1">
        <f t="array" ref="E38">_xlfn.XLOOKUP(A38, Party_Affliation_by_States[[#All],[State]], Party_Affliation_by_States[[#All],[No lean]], "NA", 0)</f>
        <v>0.21</v>
      </c>
      <c r="F38" s="58" cm="1">
        <f t="array" ref="F38">_xlfn.XLOOKUP(A38, Party_Affliation_by_States[[#All],[State]], Party_Affliation_by_States[[#All],[Democrat/lean Dem.]], "NA", 0)</f>
        <v>0.47</v>
      </c>
    </row>
    <row r="39" spans="1:6">
      <c r="A39" s="54" t="s">
        <v>743</v>
      </c>
      <c r="B39" s="55">
        <v>48.51</v>
      </c>
      <c r="C39" s="55">
        <f>_xlfn.XLOOKUP(A39,Crime_rate_Index[[State ]], Crime_rate_Index[Crime Index ▲], "NA", 1)</f>
        <v>1335</v>
      </c>
      <c r="D39" s="59" cm="1">
        <f t="array" ref="D39">_xlfn.XLOOKUP(A39, Party_Affliation_by_States[[#All],[State]], Party_Affliation_by_States[[#All],[Republican/lean Rep.]], "NA", 0)</f>
        <v>0.39</v>
      </c>
      <c r="E39" s="59" cm="1">
        <f t="array" ref="E39">_xlfn.XLOOKUP(A39, Party_Affliation_by_States[[#All],[State]], Party_Affliation_by_States[[#All],[No lean]], "NA", 0)</f>
        <v>0.15</v>
      </c>
      <c r="F39" s="59" cm="1">
        <f t="array" ref="F39">_xlfn.XLOOKUP(A39, Party_Affliation_by_States[[#All],[State]], Party_Affliation_by_States[[#All],[Democrat/lean Dem.]], "NA", 0)</f>
        <v>0.46</v>
      </c>
    </row>
    <row r="40" spans="1:6">
      <c r="A40" s="52" t="s">
        <v>768</v>
      </c>
      <c r="B40" s="53">
        <v>58.99</v>
      </c>
      <c r="C40" s="53">
        <f>_xlfn.XLOOKUP(A40,Crime_rate_Index[[State ]], Crime_rate_Index[Crime Index ▲], "NA", 1)</f>
        <v>1268</v>
      </c>
      <c r="D40" s="58" cm="1">
        <f t="array" ref="D40">_xlfn.XLOOKUP(A40, Party_Affliation_by_States[[#All],[State]], Party_Affliation_by_States[[#All],[Republican/lean Rep.]], "NA", 0)</f>
        <v>0.3</v>
      </c>
      <c r="E40" s="58" cm="1">
        <f t="array" ref="E40">_xlfn.XLOOKUP(A40, Party_Affliation_by_States[[#All],[State]], Party_Affliation_by_States[[#All],[No lean]], "NA", 0)</f>
        <v>0.22</v>
      </c>
      <c r="F40" s="58" cm="1">
        <f t="array" ref="F40">_xlfn.XLOOKUP(A40, Party_Affliation_by_States[[#All],[State]], Party_Affliation_by_States[[#All],[Democrat/lean Dem.]], "NA", 0)</f>
        <v>0.48</v>
      </c>
    </row>
    <row r="41" spans="1:6">
      <c r="A41" s="54" t="s">
        <v>783</v>
      </c>
      <c r="B41" s="55">
        <v>41.03</v>
      </c>
      <c r="C41" s="55">
        <f>_xlfn.XLOOKUP(A41,Crime_rate_Index[[State ]], Crime_rate_Index[Crime Index ▲], "NA", 1)</f>
        <v>2253</v>
      </c>
      <c r="D41" s="59" cm="1">
        <f t="array" ref="D41">_xlfn.XLOOKUP(A41, Party_Affliation_by_States[[#All],[State]], Party_Affliation_by_States[[#All],[Republican/lean Rep.]], "NA", 0)</f>
        <v>0.43</v>
      </c>
      <c r="E41" s="59" cm="1">
        <f t="array" ref="E41">_xlfn.XLOOKUP(A41, Party_Affliation_by_States[[#All],[State]], Party_Affliation_by_States[[#All],[No lean]], "NA", 0)</f>
        <v>0.18</v>
      </c>
      <c r="F41" s="59" cm="1">
        <f t="array" ref="F41">_xlfn.XLOOKUP(A41, Party_Affliation_by_States[[#All],[State]], Party_Affliation_by_States[[#All],[Democrat/lean Dem.]], "NA", 0)</f>
        <v>0.39</v>
      </c>
    </row>
    <row r="42" spans="1:6">
      <c r="A42" s="52" t="s">
        <v>808</v>
      </c>
      <c r="B42" s="53">
        <v>43.38</v>
      </c>
      <c r="C42" s="53">
        <f>_xlfn.XLOOKUP(A42,Crime_rate_Index[[State ]], Crime_rate_Index[Crime Index ▲], "NA", 1)</f>
        <v>1042</v>
      </c>
      <c r="D42" s="58" cm="1">
        <f t="array" ref="D42">_xlfn.XLOOKUP(A42, Party_Affliation_by_States[[#All],[State]], Party_Affliation_by_States[[#All],[Republican/lean Rep.]], "NA", 0)</f>
        <v>0.53</v>
      </c>
      <c r="E42" s="58" cm="1">
        <f t="array" ref="E42">_xlfn.XLOOKUP(A42, Party_Affliation_by_States[[#All],[State]], Party_Affliation_by_States[[#All],[No lean]], "NA", 0)</f>
        <v>0.1</v>
      </c>
      <c r="F42" s="58" cm="1">
        <f t="array" ref="F42">_xlfn.XLOOKUP(A42, Party_Affliation_by_States[[#All],[State]], Party_Affliation_by_States[[#All],[Democrat/lean Dem.]], "NA", 0)</f>
        <v>0.37</v>
      </c>
    </row>
    <row r="43" spans="1:6">
      <c r="A43" s="54" t="s">
        <v>771</v>
      </c>
      <c r="B43" s="55">
        <v>41.34</v>
      </c>
      <c r="C43" s="55">
        <f>_xlfn.XLOOKUP(A43,Crime_rate_Index[[State ]], Crime_rate_Index[Crime Index ▲], "NA", 1)</f>
        <v>2194</v>
      </c>
      <c r="D43" s="59" cm="1">
        <f t="array" ref="D43">_xlfn.XLOOKUP(A43, Party_Affliation_by_States[[#All],[State]], Party_Affliation_by_States[[#All],[Republican/lean Rep.]], "NA", 0)</f>
        <v>0.48</v>
      </c>
      <c r="E43" s="59" cm="1">
        <f t="array" ref="E43">_xlfn.XLOOKUP(A43, Party_Affliation_by_States[[#All],[State]], Party_Affliation_by_States[[#All],[No lean]], "NA", 0)</f>
        <v>0.15</v>
      </c>
      <c r="F43" s="59" cm="1">
        <f t="array" ref="F43">_xlfn.XLOOKUP(A43, Party_Affliation_by_States[[#All],[State]], Party_Affliation_by_States[[#All],[Democrat/lean Dem.]], "NA", 0)</f>
        <v>0.36</v>
      </c>
    </row>
    <row r="44" spans="1:6">
      <c r="A44" s="52" t="s">
        <v>745</v>
      </c>
      <c r="B44" s="53">
        <v>36.770000000000003</v>
      </c>
      <c r="C44" s="53">
        <f>_xlfn.XLOOKUP(A44,Crime_rate_Index[[State ]], Crime_rate_Index[Crime Index ▲], "NA", 1)</f>
        <v>1962</v>
      </c>
      <c r="D44" s="58" cm="1">
        <f t="array" ref="D44">_xlfn.XLOOKUP(A44, Party_Affliation_by_States[[#All],[State]], Party_Affliation_by_States[[#All],[Republican/lean Rep.]], "NA", 0)</f>
        <v>0.39</v>
      </c>
      <c r="E44" s="58" cm="1">
        <f t="array" ref="E44">_xlfn.XLOOKUP(A44, Party_Affliation_by_States[[#All],[State]], Party_Affliation_by_States[[#All],[No lean]], "NA", 0)</f>
        <v>0.21</v>
      </c>
      <c r="F44" s="58" cm="1">
        <f t="array" ref="F44">_xlfn.XLOOKUP(A44, Party_Affliation_by_States[[#All],[State]], Party_Affliation_by_States[[#All],[Democrat/lean Dem.]], "NA", 0)</f>
        <v>0.4</v>
      </c>
    </row>
    <row r="45" spans="1:6">
      <c r="A45" s="54" t="s">
        <v>761</v>
      </c>
      <c r="B45" s="55">
        <v>63.48</v>
      </c>
      <c r="C45" s="55">
        <f>_xlfn.XLOOKUP(A45,Crime_rate_Index[[State ]], Crime_rate_Index[Crime Index ▲], "NA", 1)</f>
        <v>1405</v>
      </c>
      <c r="D45" s="59" cm="1">
        <f t="array" ref="D45">_xlfn.XLOOKUP(A45, Party_Affliation_by_States[[#All],[State]], Party_Affliation_by_States[[#All],[Republican/lean Rep.]], "NA", 0)</f>
        <v>0.54</v>
      </c>
      <c r="E45" s="59" cm="1">
        <f t="array" ref="E45">_xlfn.XLOOKUP(A45, Party_Affliation_by_States[[#All],[State]], Party_Affliation_by_States[[#All],[No lean]], "NA", 0)</f>
        <v>0.16</v>
      </c>
      <c r="F45" s="59" cm="1">
        <f t="array" ref="F45">_xlfn.XLOOKUP(A45, Party_Affliation_by_States[[#All],[State]], Party_Affliation_by_States[[#All],[Democrat/lean Dem.]], "NA", 0)</f>
        <v>0.3</v>
      </c>
    </row>
    <row r="46" spans="1:6">
      <c r="A46" s="52" t="s">
        <v>785</v>
      </c>
      <c r="B46" s="53">
        <v>68.790000000000006</v>
      </c>
      <c r="C46" s="53">
        <f>_xlfn.XLOOKUP(A46,Crime_rate_Index[[State ]], Crime_rate_Index[Crime Index ▲], "NA", 1)</f>
        <v>950</v>
      </c>
      <c r="D46" s="58" cm="1">
        <f t="array" ref="D46">_xlfn.XLOOKUP(A46, Party_Affliation_by_States[[#All],[State]], Party_Affliation_by_States[[#All],[Republican/lean Rep.]], "NA", 0)</f>
        <v>0.28999999999999998</v>
      </c>
      <c r="E46" s="58" cm="1">
        <f t="array" ref="E46">_xlfn.XLOOKUP(A46, Party_Affliation_by_States[[#All],[State]], Party_Affliation_by_States[[#All],[No lean]], "NA", 0)</f>
        <v>0.14000000000000001</v>
      </c>
      <c r="F46" s="58" cm="1">
        <f t="array" ref="F46">_xlfn.XLOOKUP(A46, Party_Affliation_by_States[[#All],[State]], Party_Affliation_by_States[[#All],[Democrat/lean Dem.]], "NA", 0)</f>
        <v>0.56999999999999995</v>
      </c>
    </row>
    <row r="47" spans="1:6">
      <c r="A47" s="54" t="s">
        <v>760</v>
      </c>
      <c r="B47" s="55">
        <v>55.99</v>
      </c>
      <c r="C47" s="55">
        <f>_xlfn.XLOOKUP(A47,Crime_rate_Index[[State ]], Crime_rate_Index[Crime Index ▲], "NA", 1)</f>
        <v>1125</v>
      </c>
      <c r="D47" s="59" cm="1">
        <f t="array" ref="D47">_xlfn.XLOOKUP(A47, Party_Affliation_by_States[[#All],[State]], Party_Affliation_by_States[[#All],[Republican/lean Rep.]], "NA", 0)</f>
        <v>0.43</v>
      </c>
      <c r="E47" s="59" cm="1">
        <f t="array" ref="E47">_xlfn.XLOOKUP(A47, Party_Affliation_by_States[[#All],[State]], Party_Affliation_by_States[[#All],[No lean]], "NA", 0)</f>
        <v>0.18</v>
      </c>
      <c r="F47" s="59" cm="1">
        <f t="array" ref="F47">_xlfn.XLOOKUP(A47, Party_Affliation_by_States[[#All],[State]], Party_Affliation_by_States[[#All],[Democrat/lean Dem.]], "NA", 0)</f>
        <v>0.39</v>
      </c>
    </row>
    <row r="48" spans="1:6">
      <c r="A48" s="52" t="s">
        <v>71</v>
      </c>
      <c r="B48" s="53">
        <v>59.44</v>
      </c>
      <c r="C48" s="53">
        <f>_xlfn.XLOOKUP(A48,Crime_rate_Index[[State ]], Crime_rate_Index[Crime Index ▲], "NA", 1)</f>
        <v>1855</v>
      </c>
      <c r="D48" s="58" cm="1">
        <f t="array" ref="D48">_xlfn.XLOOKUP(A48, Party_Affliation_by_States[[#All],[State]], Party_Affliation_by_States[[#All],[Republican/lean Rep.]], "NA", 0)</f>
        <v>0.33</v>
      </c>
      <c r="E48" s="58" cm="1">
        <f t="array" ref="E48">_xlfn.XLOOKUP(A48, Party_Affliation_by_States[[#All],[State]], Party_Affliation_by_States[[#All],[No lean]], "NA", 0)</f>
        <v>0.23</v>
      </c>
      <c r="F48" s="58" cm="1">
        <f t="array" ref="F48">_xlfn.XLOOKUP(A48, Party_Affliation_by_States[[#All],[State]], Party_Affliation_by_States[[#All],[Democrat/lean Dem.]], "NA", 0)</f>
        <v>0.44</v>
      </c>
    </row>
    <row r="49" spans="1:6">
      <c r="A49" s="54" t="s">
        <v>791</v>
      </c>
      <c r="B49" s="55">
        <v>47.08</v>
      </c>
      <c r="C49" s="55">
        <f>_xlfn.XLOOKUP(A49,Crime_rate_Index[[State ]], Crime_rate_Index[Crime Index ▲], "NA", 1)</f>
        <v>1235</v>
      </c>
      <c r="D49" s="59" cm="1">
        <f t="array" ref="D49">_xlfn.XLOOKUP(A49, Party_Affliation_by_States[[#All],[State]], Party_Affliation_by_States[[#All],[Republican/lean Rep.]], "NA", 0)</f>
        <v>0.43</v>
      </c>
      <c r="E49" s="59" cm="1">
        <f t="array" ref="E49">_xlfn.XLOOKUP(A49, Party_Affliation_by_States[[#All],[State]], Party_Affliation_by_States[[#All],[No lean]], "NA", 0)</f>
        <v>0.16</v>
      </c>
      <c r="F49" s="59" cm="1">
        <f t="array" ref="F49">_xlfn.XLOOKUP(A49, Party_Affliation_by_States[[#All],[State]], Party_Affliation_by_States[[#All],[Democrat/lean Dem.]], "NA", 0)</f>
        <v>0.41</v>
      </c>
    </row>
    <row r="50" spans="1:6">
      <c r="A50" s="52" t="s">
        <v>744</v>
      </c>
      <c r="B50" s="53">
        <v>51.42</v>
      </c>
      <c r="C50" s="53">
        <f>_xlfn.XLOOKUP(A50,Crime_rate_Index[[State ]], Crime_rate_Index[Crime Index ▲], "NA", 1)</f>
        <v>1227</v>
      </c>
      <c r="D50" s="58" cm="1">
        <f t="array" ref="D50">_xlfn.XLOOKUP(A50, Party_Affliation_by_States[[#All],[State]], Party_Affliation_by_States[[#All],[Republican/lean Rep.]], "NA", 0)</f>
        <v>0.42</v>
      </c>
      <c r="E50" s="58" cm="1">
        <f t="array" ref="E50">_xlfn.XLOOKUP(A50, Party_Affliation_by_States[[#All],[State]], Party_Affliation_by_States[[#All],[No lean]], "NA", 0)</f>
        <v>0.16</v>
      </c>
      <c r="F50" s="58" cm="1">
        <f t="array" ref="F50">_xlfn.XLOOKUP(A50, Party_Affliation_by_States[[#All],[State]], Party_Affliation_by_States[[#All],[Democrat/lean Dem.]], "NA", 0)</f>
        <v>0.42</v>
      </c>
    </row>
    <row r="51" spans="1:6">
      <c r="A51" s="56" t="s">
        <v>729</v>
      </c>
      <c r="B51" s="57">
        <v>54.04</v>
      </c>
      <c r="C51" s="57">
        <f>_xlfn.XLOOKUP(A51,Crime_rate_Index[[State ]], Crime_rate_Index[Crime Index ▲], "NA", 1)</f>
        <v>1136</v>
      </c>
      <c r="D51" s="60" cm="1">
        <f t="array" ref="D51">_xlfn.XLOOKUP(A51, Party_Affliation_by_States[[#All],[State]], Party_Affliation_by_States[[#All],[Republican/lean Rep.]], "NA", 0)</f>
        <v>0.56999999999999995</v>
      </c>
      <c r="E51" s="60" cm="1">
        <f t="array" ref="E51">_xlfn.XLOOKUP(A51, Party_Affliation_by_States[[#All],[State]], Party_Affliation_by_States[[#All],[No lean]], "NA", 0)</f>
        <v>0.18</v>
      </c>
      <c r="F51" s="60" cm="1">
        <f t="array" ref="F51">_xlfn.XLOOKUP(A51, Party_Affliation_by_States[[#All],[State]], Party_Affliation_by_States[[#All],[Democrat/lean Dem.]], "NA", 0)</f>
        <v>0.25</v>
      </c>
    </row>
  </sheetData>
  <pageMargins left="0.7" right="0.7" top="0.75" bottom="0.75" header="0.3" footer="0.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05E56-0B71-8F4A-BC43-785EAD4E14CA}">
  <sheetPr codeName="Sheet3"/>
  <dimension ref="B3:H20"/>
  <sheetViews>
    <sheetView showGridLines="0" showRowColHeaders="0" zoomScale="110" zoomScaleNormal="110" workbookViewId="0">
      <selection activeCell="E16" sqref="E16"/>
    </sheetView>
  </sheetViews>
  <sheetFormatPr defaultColWidth="11.08984375" defaultRowHeight="15" customHeight="1"/>
  <cols>
    <col min="1" max="1" width="8.453125" customWidth="1"/>
    <col min="2" max="3" width="10.81640625" customWidth="1"/>
    <col min="5" max="5" width="40.453125" customWidth="1"/>
    <col min="6" max="6" width="10.81640625" customWidth="1"/>
    <col min="8" max="8" width="10.81640625" customWidth="1"/>
    <col min="9" max="9" width="4.7265625" customWidth="1"/>
  </cols>
  <sheetData>
    <row r="3" spans="2:8" ht="15" customHeight="1" thickBot="1"/>
    <row r="4" spans="2:8" ht="15" customHeight="1">
      <c r="B4" s="88"/>
      <c r="C4" s="91"/>
      <c r="D4" s="91"/>
      <c r="E4" s="91"/>
      <c r="F4" s="91"/>
      <c r="G4" s="91"/>
      <c r="H4" s="94"/>
    </row>
    <row r="5" spans="2:8" ht="15" customHeight="1">
      <c r="B5" s="89"/>
      <c r="C5" s="92"/>
      <c r="D5" s="92"/>
      <c r="E5" s="92"/>
      <c r="F5" s="92"/>
      <c r="G5" s="92"/>
      <c r="H5" s="95"/>
    </row>
    <row r="6" spans="2:8" ht="15" customHeight="1">
      <c r="B6" s="89"/>
      <c r="C6" s="100"/>
      <c r="D6" s="100"/>
      <c r="E6" s="100"/>
      <c r="F6" s="100"/>
      <c r="G6" s="100"/>
      <c r="H6" s="95"/>
    </row>
    <row r="7" spans="2:8" ht="15" customHeight="1">
      <c r="B7" s="89"/>
      <c r="C7" s="100"/>
      <c r="D7" s="100"/>
      <c r="E7" s="100"/>
      <c r="F7" s="100"/>
      <c r="G7" s="100"/>
      <c r="H7" s="95"/>
    </row>
    <row r="8" spans="2:8" ht="15" customHeight="1">
      <c r="B8" s="89"/>
      <c r="C8" s="96" t="s">
        <v>2533</v>
      </c>
      <c r="D8" s="96"/>
      <c r="E8" s="67" t="s">
        <v>10</v>
      </c>
      <c r="F8" s="104"/>
      <c r="G8" s="105"/>
      <c r="H8" s="95"/>
    </row>
    <row r="9" spans="2:8" ht="15" customHeight="1">
      <c r="B9" s="89"/>
      <c r="C9" s="101"/>
      <c r="D9" s="102"/>
      <c r="E9" s="103"/>
      <c r="F9" s="106"/>
      <c r="G9" s="107"/>
      <c r="H9" s="95"/>
    </row>
    <row r="10" spans="2:8" ht="15" customHeight="1">
      <c r="B10" s="89"/>
      <c r="C10" s="97" t="s">
        <v>2534</v>
      </c>
      <c r="D10" s="97"/>
      <c r="E10" s="67" t="s">
        <v>13</v>
      </c>
      <c r="F10" s="106"/>
      <c r="G10" s="107"/>
      <c r="H10" s="95"/>
    </row>
    <row r="11" spans="2:8" ht="15" customHeight="1">
      <c r="B11" s="89"/>
      <c r="C11" s="101"/>
      <c r="D11" s="102"/>
      <c r="E11" s="103"/>
      <c r="F11" s="106"/>
      <c r="G11" s="107"/>
      <c r="H11" s="95"/>
    </row>
    <row r="12" spans="2:8" ht="15" customHeight="1">
      <c r="B12" s="89"/>
      <c r="C12" s="98" t="s">
        <v>2535</v>
      </c>
      <c r="D12" s="98"/>
      <c r="E12" s="67" t="s">
        <v>18</v>
      </c>
      <c r="F12" s="106"/>
      <c r="G12" s="107"/>
      <c r="H12" s="95"/>
    </row>
    <row r="13" spans="2:8" ht="15" customHeight="1">
      <c r="B13" s="89"/>
      <c r="C13" s="101"/>
      <c r="D13" s="102"/>
      <c r="E13" s="103"/>
      <c r="F13" s="106"/>
      <c r="G13" s="107"/>
      <c r="H13" s="95"/>
    </row>
    <row r="14" spans="2:8" ht="15" customHeight="1">
      <c r="B14" s="89"/>
      <c r="C14" s="99" t="s">
        <v>2536</v>
      </c>
      <c r="D14" s="99"/>
      <c r="E14" s="67" t="s">
        <v>18</v>
      </c>
      <c r="F14" s="106"/>
      <c r="G14" s="107"/>
      <c r="H14" s="95"/>
    </row>
    <row r="15" spans="2:8" ht="15" customHeight="1">
      <c r="B15" s="89"/>
      <c r="C15" s="101"/>
      <c r="D15" s="102"/>
      <c r="E15" s="103"/>
      <c r="F15" s="106"/>
      <c r="G15" s="107"/>
      <c r="H15" s="95"/>
    </row>
    <row r="16" spans="2:8" ht="15" customHeight="1">
      <c r="B16" s="89"/>
      <c r="C16" s="96" t="s">
        <v>2537</v>
      </c>
      <c r="D16" s="96"/>
      <c r="E16" s="67" t="s">
        <v>7</v>
      </c>
      <c r="F16" s="108"/>
      <c r="G16" s="109"/>
      <c r="H16" s="95"/>
    </row>
    <row r="17" spans="2:8" ht="15" customHeight="1">
      <c r="B17" s="89"/>
      <c r="C17" s="100"/>
      <c r="D17" s="100"/>
      <c r="E17" s="100"/>
      <c r="F17" s="100"/>
      <c r="G17" s="100"/>
      <c r="H17" s="95"/>
    </row>
    <row r="18" spans="2:8" ht="15" customHeight="1">
      <c r="B18" s="89"/>
      <c r="C18" s="100"/>
      <c r="D18" s="100"/>
      <c r="E18" s="100"/>
      <c r="F18" s="100"/>
      <c r="G18" s="100"/>
      <c r="H18" s="95"/>
    </row>
    <row r="19" spans="2:8" ht="15" customHeight="1">
      <c r="B19" s="89"/>
      <c r="C19" s="92"/>
      <c r="D19" s="92"/>
      <c r="E19" s="92"/>
      <c r="F19" s="92"/>
      <c r="G19" s="92"/>
      <c r="H19" s="95"/>
    </row>
    <row r="20" spans="2:8" ht="15" customHeight="1" thickBot="1">
      <c r="B20" s="90"/>
      <c r="C20" s="93"/>
      <c r="D20" s="93"/>
      <c r="E20" s="93"/>
      <c r="F20" s="93"/>
      <c r="G20" s="93"/>
      <c r="H20" s="110"/>
    </row>
  </sheetData>
  <mergeCells count="18">
    <mergeCell ref="F8:G16"/>
    <mergeCell ref="F19:H20"/>
    <mergeCell ref="B4:B20"/>
    <mergeCell ref="C4:E5"/>
    <mergeCell ref="C19:E20"/>
    <mergeCell ref="F4:H5"/>
    <mergeCell ref="H6:H18"/>
    <mergeCell ref="C8:D8"/>
    <mergeCell ref="C10:D10"/>
    <mergeCell ref="C12:D12"/>
    <mergeCell ref="C14:D14"/>
    <mergeCell ref="C16:D16"/>
    <mergeCell ref="C17:G18"/>
    <mergeCell ref="C6:G7"/>
    <mergeCell ref="C9:E9"/>
    <mergeCell ref="C11:E11"/>
    <mergeCell ref="C13:E13"/>
    <mergeCell ref="C15:E15"/>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Title="Select Your prefered University" xr:uid="{10BE46BF-61A5-D342-AFDE-66D744EA05D8}">
          <x14:formula1>
            <xm:f>'Top 100 Universities'!$B$2:$B$101</xm:f>
          </x14:formula1>
          <xm:sqref>E8 E10 E12 E14 E16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3AC5-53C4-5047-914D-F8B85C923BA3}">
  <sheetPr codeName="Sheet8"/>
  <dimension ref="A1:G13"/>
  <sheetViews>
    <sheetView showGridLines="0" showRowColHeaders="0" topLeftCell="A5" zoomScale="60" zoomScaleNormal="60" workbookViewId="0"/>
  </sheetViews>
  <sheetFormatPr defaultColWidth="30.7265625" defaultRowHeight="14.5"/>
  <cols>
    <col min="1" max="1" width="17.26953125" customWidth="1"/>
    <col min="2" max="2" width="34.6328125" customWidth="1"/>
    <col min="3" max="7" width="35.7265625" customWidth="1"/>
    <col min="8" max="8" width="12.7265625" customWidth="1"/>
  </cols>
  <sheetData>
    <row r="1" spans="1:7" ht="21" customHeight="1"/>
    <row r="3" spans="1:7" ht="15" thickBot="1"/>
    <row r="4" spans="1:7" ht="19" thickBot="1">
      <c r="B4" s="68" t="s">
        <v>0</v>
      </c>
      <c r="C4" s="70">
        <f>_xlfn.XLOOKUP(C5,Top_100_Universities[University],Top_100_Universities[Rank],"Apoligies! Uni not in our Dataset",0)</f>
        <v>5</v>
      </c>
      <c r="D4" s="70">
        <f>_xlfn.XLOOKUP(D5,Top_100_Universities[University],Top_100_Universities[Rank],"Apoligies! Uni not in our Dataset",0)</f>
        <v>8</v>
      </c>
      <c r="E4" s="70">
        <f>_xlfn.XLOOKUP(E5,Top_100_Universities[University],Top_100_Universities[Rank],"Apoligies! Uni not in our Dataset",0)</f>
        <v>11</v>
      </c>
      <c r="F4" s="70">
        <f>_xlfn.XLOOKUP(F5,Top_100_Universities[University],Top_100_Universities[Rank],"Apoligies! Uni not in our Dataset",0)</f>
        <v>11</v>
      </c>
      <c r="G4" s="71">
        <f>_xlfn.XLOOKUP(G5,Top_100_Universities[University],Top_100_Universities[Rank],"Apoligies! Uni not in our Dataset",0)</f>
        <v>3</v>
      </c>
    </row>
    <row r="5" spans="1:7" ht="50" customHeight="1" thickBot="1">
      <c r="A5" s="44"/>
      <c r="B5" s="69" t="s">
        <v>1</v>
      </c>
      <c r="C5" s="72" t="str">
        <f>'Make Your Selection'!E8</f>
        <v>University of California, Berkeley</v>
      </c>
      <c r="D5" s="72" t="str">
        <f>'Make Your Selection'!E10</f>
        <v>Columbia University in the City of New York</v>
      </c>
      <c r="E5" s="72" t="str">
        <f>'Make Your Selection'!E12</f>
        <v>University of Pennsylvania</v>
      </c>
      <c r="F5" s="72" t="str">
        <f>'Make Your Selection'!E14</f>
        <v>University of Pennsylvania</v>
      </c>
      <c r="G5" s="73" t="str">
        <f>'Make Your Selection'!E16</f>
        <v>Stanford University</v>
      </c>
    </row>
    <row r="6" spans="1:7" ht="19" thickBot="1">
      <c r="B6" s="69" t="s">
        <v>2360</v>
      </c>
      <c r="C6" s="74" t="str">
        <f>_xlfn.XLOOKUP(C5,Top_100_Universities[University],Top_100_Universities[Town],"Apoligies! Uni not in our Dataset",0)</f>
        <v>Berkeley</v>
      </c>
      <c r="D6" s="74" t="str">
        <f>_xlfn.XLOOKUP(D5,Top_100_Universities[University],Top_100_Universities[Town],"Apoligies! Uni not in our Dataset",0)</f>
        <v>New York City</v>
      </c>
      <c r="E6" s="74" t="str">
        <f>_xlfn.XLOOKUP(E5,Top_100_Universities[University],Top_100_Universities[Town],"Apoligies! Uni not in our Dataset",0)</f>
        <v>Philadelphia</v>
      </c>
      <c r="F6" s="74" t="str">
        <f>_xlfn.XLOOKUP(F5,Top_100_Universities[University],Top_100_Universities[Town],"Apoligies! Uni not in our Dataset",0)</f>
        <v>Philadelphia</v>
      </c>
      <c r="G6" s="75" t="str">
        <f>_xlfn.XLOOKUP(G5,Top_100_Universities[University],Top_100_Universities[Town],"Apoligies! Uni not in our Dataset",0)</f>
        <v>Stanford</v>
      </c>
    </row>
    <row r="7" spans="1:7" ht="19" thickBot="1">
      <c r="B7" s="69" t="s">
        <v>3</v>
      </c>
      <c r="C7" s="74" t="str">
        <f>_xlfn.XLOOKUP(C5,Top_100_Universities[University],Top_100_Universities[State],"Apoligies! Uni not in our Dataset",0)</f>
        <v>California</v>
      </c>
      <c r="D7" s="74" t="str">
        <f>_xlfn.XLOOKUP(D5,Top_100_Universities[University],Top_100_Universities[State],"Apoligies! Uni not in our Dataset",0)</f>
        <v>New York</v>
      </c>
      <c r="E7" s="74" t="str">
        <f>_xlfn.XLOOKUP(E5,Top_100_Universities[University],Top_100_Universities[State],"Apoligies! Uni not in our Dataset",0)</f>
        <v>Pennsylvania</v>
      </c>
      <c r="F7" s="74" t="str">
        <f>_xlfn.XLOOKUP(F5,Top_100_Universities[University],Top_100_Universities[State],"Apoligies! Uni not in our Dataset",0)</f>
        <v>Pennsylvania</v>
      </c>
      <c r="G7" s="75" t="str">
        <f>_xlfn.XLOOKUP(G5,Top_100_Universities[University],Top_100_Universities[State],"Apoligies! Uni not in our Dataset",0)</f>
        <v>California</v>
      </c>
    </row>
    <row r="8" spans="1:7" ht="19" thickBot="1">
      <c r="B8" s="69" t="s">
        <v>2331</v>
      </c>
      <c r="C8" s="74" t="str">
        <f>_xlfn.XLOOKUP(C5,Top_100_Universities[University],Top_100_Universities[State_ab],"Apoligies! Uni not in our Dataset",0)</f>
        <v>CA</v>
      </c>
      <c r="D8" s="74" t="str">
        <f>_xlfn.XLOOKUP(D5,Top_100_Universities[University],Top_100_Universities[State_ab],"Apoligies! Uni not in our Dataset",0)</f>
        <v>NY</v>
      </c>
      <c r="E8" s="74" t="str">
        <f>_xlfn.XLOOKUP(E5,Top_100_Universities[University],Top_100_Universities[State_ab],"Apoligies! Uni not in our Dataset",0)</f>
        <v>PA</v>
      </c>
      <c r="F8" s="74" t="str">
        <f>_xlfn.XLOOKUP(F5,Top_100_Universities[University],Top_100_Universities[State_ab],"Apoligies! Uni not in our Dataset",0)</f>
        <v>PA</v>
      </c>
      <c r="G8" s="75" t="str">
        <f>_xlfn.XLOOKUP(G5,Top_100_Universities[University],Top_100_Universities[State_ab],"Apoligies! Uni not in our Dataset",0)</f>
        <v>CA</v>
      </c>
    </row>
    <row r="9" spans="1:7" ht="19" thickBot="1">
      <c r="B9" s="69" t="s">
        <v>811</v>
      </c>
      <c r="C9" s="74" t="str">
        <f>_xlfn.XLOOKUP(C5,Top_100_Universities[University],Top_100_Universities[Type],"Apoligies! Uni not in our Dataset",0)</f>
        <v>Public</v>
      </c>
      <c r="D9" s="74" t="str">
        <f>_xlfn.XLOOKUP(D5,Top_100_Universities[University],Top_100_Universities[Type],"Apoligies! Uni not in our Dataset",0)</f>
        <v>Private not-for-profit</v>
      </c>
      <c r="E9" s="74" t="str">
        <f>_xlfn.XLOOKUP(E5,Top_100_Universities[University],Top_100_Universities[Type],"Apoligies! Uni not in our Dataset",0)</f>
        <v>Private not-for-profit</v>
      </c>
      <c r="F9" s="74" t="str">
        <f>_xlfn.XLOOKUP(F5,Top_100_Universities[University],Top_100_Universities[Type],"Apoligies! Uni not in our Dataset",0)</f>
        <v>Private not-for-profit</v>
      </c>
      <c r="G9" s="75" t="str">
        <f>_xlfn.XLOOKUP(G5,Top_100_Universities[University],Top_100_Universities[Type],"Apoligies! Uni not in our Dataset",0)</f>
        <v>Private not-for-profit</v>
      </c>
    </row>
    <row r="10" spans="1:7" ht="19" thickBot="1">
      <c r="B10" s="69" t="s">
        <v>812</v>
      </c>
      <c r="C10" s="76">
        <f>_xlfn.XLOOKUP(C5,Top_100_Universities[University],Top_100_Universities[Av. Grant Aid],"Apoligies! Uni not in our Dataset",0)</f>
        <v>21669</v>
      </c>
      <c r="D10" s="76">
        <f>_xlfn.XLOOKUP(D5,Top_100_Universities[University],Top_100_Universities[Av. Grant Aid],"Apoligies! Uni not in our Dataset",0)</f>
        <v>61061</v>
      </c>
      <c r="E10" s="76">
        <f>_xlfn.XLOOKUP(E5,Top_100_Universities[University],Top_100_Universities[Av. Grant Aid],"Apoligies! Uni not in our Dataset",0)</f>
        <v>57175</v>
      </c>
      <c r="F10" s="76">
        <f>_xlfn.XLOOKUP(F5,Top_100_Universities[University],Top_100_Universities[Av. Grant Aid],"Apoligies! Uni not in our Dataset",0)</f>
        <v>57175</v>
      </c>
      <c r="G10" s="77">
        <f>_xlfn.XLOOKUP(G5,Top_100_Universities[University],Top_100_Universities[Av. Grant Aid],"Apoligies! Uni not in our Dataset",0)</f>
        <v>60619</v>
      </c>
    </row>
    <row r="11" spans="1:7" ht="19" thickBot="1">
      <c r="B11" s="69" t="s">
        <v>813</v>
      </c>
      <c r="C11" s="76">
        <f>_xlfn.XLOOKUP(C5,Top_100_Universities[University],Top_100_Universities[Av. Debt],"Apoligies! Uni not in our Dataset",0)</f>
        <v>7238</v>
      </c>
      <c r="D11" s="76">
        <f>_xlfn.XLOOKUP(D5,Top_100_Universities[University],Top_100_Universities[Av. Debt],"Apoligies! Uni not in our Dataset",0)</f>
        <v>16849</v>
      </c>
      <c r="E11" s="76">
        <f>_xlfn.XLOOKUP(E5,Top_100_Universities[University],Top_100_Universities[Av. Debt],"Apoligies! Uni not in our Dataset",0)</f>
        <v>12499</v>
      </c>
      <c r="F11" s="76">
        <f>_xlfn.XLOOKUP(F5,Top_100_Universities[University],Top_100_Universities[Av. Debt],"Apoligies! Uni not in our Dataset",0)</f>
        <v>12499</v>
      </c>
      <c r="G11" s="77">
        <f>_xlfn.XLOOKUP(G5,Top_100_Universities[University],Top_100_Universities[Av. Debt],"Apoligies! Uni not in our Dataset",0)</f>
        <v>12999</v>
      </c>
    </row>
    <row r="12" spans="1:7" ht="19" thickBot="1">
      <c r="B12" s="69" t="s">
        <v>814</v>
      </c>
      <c r="C12" s="76">
        <f>_xlfn.XLOOKUP(C5,Top_100_Universities[University],Top_100_Universities[Median 10-year Salary],"Apoligies! Uni not in our Dataset",0)</f>
        <v>167000</v>
      </c>
      <c r="D12" s="76">
        <f>_xlfn.XLOOKUP(D5,Top_100_Universities[University],Top_100_Universities[Median 10-year Salary],"Apoligies! Uni not in our Dataset",0)</f>
        <v>156000</v>
      </c>
      <c r="E12" s="76">
        <f>_xlfn.XLOOKUP(E5,Top_100_Universities[University],Top_100_Universities[Median 10-year Salary],"Apoligies! Uni not in our Dataset",0)</f>
        <v>171800</v>
      </c>
      <c r="F12" s="76">
        <f>_xlfn.XLOOKUP(F5,Top_100_Universities[University],Top_100_Universities[Median 10-year Salary],"Apoligies! Uni not in our Dataset",0)</f>
        <v>171800</v>
      </c>
      <c r="G12" s="77">
        <f>_xlfn.XLOOKUP(G5,Top_100_Universities[University],Top_100_Universities[Median 10-year Salary],"Apoligies! Uni not in our Dataset",0)</f>
        <v>177500</v>
      </c>
    </row>
    <row r="13" spans="1:7" ht="19" thickBot="1">
      <c r="B13" s="69" t="s">
        <v>2361</v>
      </c>
      <c r="C13" s="78">
        <f>_xlfn.XLOOKUP(C5,Top_100_Universities[University],Top_100_Universities[Cost of Living Index],"Apoligies! Uni not in our Dataset",0)</f>
        <v>95.5</v>
      </c>
      <c r="D13" s="78">
        <f>_xlfn.XLOOKUP(D5,Top_100_Universities[University],Top_100_Universities[Cost of Living Index],"Apoligies! Uni not in our Dataset",0)</f>
        <v>148.19999999999999</v>
      </c>
      <c r="E13" s="78">
        <f>_xlfn.XLOOKUP(E5,Top_100_Universities[University],Top_100_Universities[Cost of Living Index],"Apoligies! Uni not in our Dataset",0)</f>
        <v>103.4</v>
      </c>
      <c r="F13" s="78">
        <f>_xlfn.XLOOKUP(F5,Top_100_Universities[University],Top_100_Universities[Cost of Living Index],"Apoligies! Uni not in our Dataset",0)</f>
        <v>103.4</v>
      </c>
      <c r="G13" s="79">
        <f>_xlfn.XLOOKUP(G5,Top_100_Universities[University],Top_100_Universities[Cost of Living Index],"Apoligies! Uni not in our Dataset",0)</f>
        <v>85.1</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5A127-046E-44DE-892A-419547CEF686}">
  <sheetPr codeName="Sheet12"/>
  <dimension ref="A1"/>
  <sheetViews>
    <sheetView showGridLines="0" showRowColHeaders="0" topLeftCell="A2" zoomScale="53" zoomScaleNormal="40" workbookViewId="0"/>
  </sheetViews>
  <sheetFormatPr defaultColWidth="8.81640625" defaultRowHeight="14.5"/>
  <cols>
    <col min="24" max="24" width="13.1796875" customWidth="1"/>
  </cols>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5A2FE-B9F3-8744-B054-66E231174BC1}">
  <sheetPr codeName="Sheet13"/>
  <dimension ref="A1:N25"/>
  <sheetViews>
    <sheetView zoomScale="90" zoomScaleNormal="90" workbookViewId="0">
      <selection activeCell="E12" sqref="E12"/>
    </sheetView>
  </sheetViews>
  <sheetFormatPr defaultColWidth="11.08984375" defaultRowHeight="14.5"/>
  <cols>
    <col min="1" max="1" width="25.81640625" bestFit="1" customWidth="1"/>
    <col min="2" max="2" width="11.26953125" bestFit="1" customWidth="1"/>
    <col min="4" max="4" width="25.81640625" bestFit="1" customWidth="1"/>
    <col min="5" max="5" width="7.81640625" bestFit="1" customWidth="1"/>
    <col min="7" max="7" width="30.36328125" bestFit="1" customWidth="1"/>
    <col min="8" max="8" width="18.26953125" bestFit="1" customWidth="1"/>
    <col min="11" max="11" width="25.81640625" bestFit="1" customWidth="1"/>
    <col min="13" max="13" width="25.81640625" bestFit="1" customWidth="1"/>
    <col min="14" max="14" width="15.81640625" bestFit="1" customWidth="1"/>
  </cols>
  <sheetData>
    <row r="1" spans="1:14" ht="15" thickBot="1">
      <c r="A1" s="43" t="s">
        <v>1</v>
      </c>
      <c r="B1" s="43" t="s">
        <v>812</v>
      </c>
      <c r="D1" s="43" t="s">
        <v>1</v>
      </c>
      <c r="E1" s="43" t="s">
        <v>813</v>
      </c>
      <c r="G1" s="43" t="s">
        <v>1</v>
      </c>
      <c r="H1" s="43" t="s">
        <v>814</v>
      </c>
      <c r="J1" s="47" t="s">
        <v>3</v>
      </c>
      <c r="K1" s="43" t="s">
        <v>2360</v>
      </c>
      <c r="M1" s="43" t="s">
        <v>2360</v>
      </c>
      <c r="N1" s="43" t="s">
        <v>2361</v>
      </c>
    </row>
    <row r="2" spans="1:14">
      <c r="A2" t="str">
        <f>'Detailed Analysis'!C5</f>
        <v>University of California, Berkeley</v>
      </c>
      <c r="B2" s="46">
        <f>'Detailed Analysis'!C10</f>
        <v>21669</v>
      </c>
      <c r="D2" t="str">
        <f>'Detailed Analysis'!C5</f>
        <v>University of California, Berkeley</v>
      </c>
      <c r="E2" s="46">
        <f>'Detailed Analysis'!C11</f>
        <v>7238</v>
      </c>
      <c r="G2" t="str">
        <f>'Detailed Analysis'!C5</f>
        <v>University of California, Berkeley</v>
      </c>
      <c r="H2" s="46">
        <f>'Detailed Analysis'!C12</f>
        <v>167000</v>
      </c>
      <c r="J2" t="str">
        <f>'Detailed Analysis'!C7</f>
        <v>California</v>
      </c>
      <c r="K2" t="str">
        <f>'Detailed Analysis'!$C$6</f>
        <v>Berkeley</v>
      </c>
      <c r="M2" t="str">
        <f>K2</f>
        <v>Berkeley</v>
      </c>
      <c r="N2">
        <f>'Detailed Analysis'!C13</f>
        <v>95.5</v>
      </c>
    </row>
    <row r="3" spans="1:14">
      <c r="A3" t="str">
        <f>'Detailed Analysis'!D5</f>
        <v>Columbia University in the City of New York</v>
      </c>
      <c r="B3" s="46">
        <f>'Detailed Analysis'!D10</f>
        <v>61061</v>
      </c>
      <c r="D3" t="str">
        <f>'Detailed Analysis'!D5</f>
        <v>Columbia University in the City of New York</v>
      </c>
      <c r="E3" s="46">
        <f>'Detailed Analysis'!D11</f>
        <v>16849</v>
      </c>
      <c r="G3" t="str">
        <f>'Detailed Analysis'!D5</f>
        <v>Columbia University in the City of New York</v>
      </c>
      <c r="H3" s="46">
        <f>'Detailed Analysis'!D12</f>
        <v>156000</v>
      </c>
      <c r="J3" t="str">
        <f>'Detailed Analysis'!D7</f>
        <v>New York</v>
      </c>
      <c r="K3" t="str">
        <f>'Detailed Analysis'!$D$6</f>
        <v>New York City</v>
      </c>
      <c r="M3" t="str">
        <f>K3</f>
        <v>New York City</v>
      </c>
      <c r="N3">
        <f>'Detailed Analysis'!D13</f>
        <v>148.19999999999999</v>
      </c>
    </row>
    <row r="4" spans="1:14">
      <c r="A4" t="str">
        <f>'Detailed Analysis'!E5</f>
        <v>University of Pennsylvania</v>
      </c>
      <c r="B4" s="46">
        <f>'Detailed Analysis'!E10</f>
        <v>57175</v>
      </c>
      <c r="D4" t="str">
        <f>'Detailed Analysis'!E5</f>
        <v>University of Pennsylvania</v>
      </c>
      <c r="E4" s="46">
        <f>'Detailed Analysis'!E11</f>
        <v>12499</v>
      </c>
      <c r="G4" t="str">
        <f>'Detailed Analysis'!E5</f>
        <v>University of Pennsylvania</v>
      </c>
      <c r="H4" s="46">
        <f>'Detailed Analysis'!E12</f>
        <v>171800</v>
      </c>
      <c r="J4" t="str">
        <f>'Detailed Analysis'!E7</f>
        <v>Pennsylvania</v>
      </c>
      <c r="K4" t="str">
        <f>'Detailed Analysis'!$E$6</f>
        <v>Philadelphia</v>
      </c>
      <c r="M4" t="str">
        <f>K4</f>
        <v>Philadelphia</v>
      </c>
      <c r="N4">
        <f>'Detailed Analysis'!E13</f>
        <v>103.4</v>
      </c>
    </row>
    <row r="5" spans="1:14">
      <c r="A5" t="str">
        <f>'Detailed Analysis'!F5</f>
        <v>University of Pennsylvania</v>
      </c>
      <c r="B5" s="46">
        <f>'Detailed Analysis'!F10</f>
        <v>57175</v>
      </c>
      <c r="D5" t="str">
        <f>'Detailed Analysis'!F5</f>
        <v>University of Pennsylvania</v>
      </c>
      <c r="E5" s="46">
        <f>'Detailed Analysis'!F11</f>
        <v>12499</v>
      </c>
      <c r="G5" t="str">
        <f>'Detailed Analysis'!F5</f>
        <v>University of Pennsylvania</v>
      </c>
      <c r="H5" s="46">
        <f>'Detailed Analysis'!F12</f>
        <v>171800</v>
      </c>
      <c r="J5" t="str">
        <f>'Detailed Analysis'!F7</f>
        <v>Pennsylvania</v>
      </c>
      <c r="K5" t="str">
        <f>'Detailed Analysis'!$F$6</f>
        <v>Philadelphia</v>
      </c>
      <c r="M5" t="str">
        <f>K5</f>
        <v>Philadelphia</v>
      </c>
      <c r="N5">
        <f>'Detailed Analysis'!F13</f>
        <v>103.4</v>
      </c>
    </row>
    <row r="6" spans="1:14">
      <c r="A6" t="str">
        <f>'Detailed Analysis'!G5</f>
        <v>Stanford University</v>
      </c>
      <c r="B6" s="46">
        <f>'Detailed Analysis'!F10</f>
        <v>57175</v>
      </c>
      <c r="D6" t="str">
        <f>'Detailed Analysis'!G5</f>
        <v>Stanford University</v>
      </c>
      <c r="E6" s="46">
        <f>'Detailed Analysis'!G11</f>
        <v>12999</v>
      </c>
      <c r="G6" t="str">
        <f>'Detailed Analysis'!G5</f>
        <v>Stanford University</v>
      </c>
      <c r="H6" s="46">
        <f>'Detailed Analysis'!F12</f>
        <v>171800</v>
      </c>
      <c r="J6" t="str">
        <f>'Detailed Analysis'!G7</f>
        <v>California</v>
      </c>
      <c r="K6" t="str">
        <f>'Detailed Analysis'!$G$6</f>
        <v>Stanford</v>
      </c>
      <c r="M6" t="str">
        <f>K6</f>
        <v>Stanford</v>
      </c>
      <c r="N6">
        <f>'Detailed Analysis'!G13</f>
        <v>85.1</v>
      </c>
    </row>
    <row r="7" spans="1:14">
      <c r="A7" t="s">
        <v>2514</v>
      </c>
      <c r="B7" s="46">
        <f>AVERAGE(Top_100_Universities[Av. Grant Aid])</f>
        <v>25428.12</v>
      </c>
      <c r="D7" t="s">
        <v>2515</v>
      </c>
      <c r="E7" s="46">
        <f>AVERAGE(Top_100_Universities[Av. Debt])</f>
        <v>8372.4699999999993</v>
      </c>
      <c r="G7" t="s">
        <v>2512</v>
      </c>
      <c r="H7" s="46">
        <f>AVERAGE(Top_100_Universities[Median 10-year Salary])</f>
        <v>135194.94949494948</v>
      </c>
    </row>
    <row r="15" spans="1:14">
      <c r="G15" t="s">
        <v>2360</v>
      </c>
      <c r="H15" t="s">
        <v>2530</v>
      </c>
    </row>
    <row r="16" spans="1:14">
      <c r="G16" t="str">
        <f>M2</f>
        <v>Berkeley</v>
      </c>
      <c r="H16" s="64" cm="1">
        <f t="array" ref="H16">_xlfn.XLOOKUP(G16,Top_100_Universities[[#All],[Town]], Top_100_Universities[[#All],[Overall Score]], "NA", 0)</f>
        <v>0.6624379847106362</v>
      </c>
    </row>
    <row r="17" spans="7:8">
      <c r="G17" t="str">
        <f>M3</f>
        <v>New York City</v>
      </c>
      <c r="H17" s="64" cm="1">
        <f t="array" ref="H17">_xlfn.XLOOKUP(G17,Top_100_Universities[[#All],[Town]], Top_100_Universities[[#All],[Overall Score]], "NA", 0)</f>
        <v>0.54854651377595587</v>
      </c>
    </row>
    <row r="18" spans="7:8">
      <c r="G18" t="str">
        <f>M4</f>
        <v>Philadelphia</v>
      </c>
      <c r="H18" s="64" cm="1">
        <f t="array" ref="H18">_xlfn.XLOOKUP(G18,Top_100_Universities[[#All],[Town]], Top_100_Universities[[#All],[Overall Score]], "NA", 0)</f>
        <v>0.66938980485531996</v>
      </c>
    </row>
    <row r="19" spans="7:8">
      <c r="G19" t="str">
        <f>M5</f>
        <v>Philadelphia</v>
      </c>
      <c r="H19" s="64" cm="1">
        <f t="array" ref="H19">_xlfn.XLOOKUP(G19,Top_100_Universities[[#All],[Town]], Top_100_Universities[[#All],[Overall Score]], "NA", 0)</f>
        <v>0.66938980485531996</v>
      </c>
    </row>
    <row r="20" spans="7:8">
      <c r="G20" t="str">
        <f>M6</f>
        <v>Stanford</v>
      </c>
      <c r="H20" s="64" cm="1">
        <f t="array" ref="H20">_xlfn.XLOOKUP(G20,Top_100_Universities[[#All],[Town]], Top_100_Universities[[#All],[Overall Score]], "NA", 0)</f>
        <v>0.70039418909019824</v>
      </c>
    </row>
    <row r="22" spans="7:8">
      <c r="G22" s="111" t="s">
        <v>2531</v>
      </c>
      <c r="H22" s="111"/>
    </row>
    <row r="23" spans="7:8">
      <c r="G23" s="65" t="s">
        <v>2510</v>
      </c>
      <c r="H23" s="66">
        <v>0.4</v>
      </c>
    </row>
    <row r="24" spans="7:8">
      <c r="G24" s="65" t="s">
        <v>2523</v>
      </c>
      <c r="H24" s="66">
        <v>0.3</v>
      </c>
    </row>
    <row r="25" spans="7:8">
      <c r="G25" s="65" t="s">
        <v>2518</v>
      </c>
      <c r="H25" s="66">
        <v>0.3</v>
      </c>
    </row>
  </sheetData>
  <mergeCells count="1">
    <mergeCell ref="G22:H22"/>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ABC92-928A-4C0E-A79B-730309437B0A}">
  <sheetPr codeName="Sheet14"/>
  <dimension ref="O22:T44"/>
  <sheetViews>
    <sheetView showGridLines="0" showRowColHeaders="0" tabSelected="1" topLeftCell="A4" zoomScale="47" zoomScaleNormal="40" workbookViewId="0"/>
  </sheetViews>
  <sheetFormatPr defaultRowHeight="14.5"/>
  <sheetData>
    <row r="22" spans="15:20" ht="15" thickBot="1"/>
    <row r="23" spans="15:20" ht="15.5" customHeight="1" thickTop="1" thickBot="1">
      <c r="O23" s="119" t="s">
        <v>2360</v>
      </c>
      <c r="P23" s="119"/>
      <c r="Q23" s="119"/>
      <c r="R23" s="119" t="s">
        <v>2530</v>
      </c>
      <c r="S23" s="119"/>
      <c r="T23" s="119"/>
    </row>
    <row r="24" spans="15:20" ht="15.5" customHeight="1" thickTop="1" thickBot="1">
      <c r="O24" s="119"/>
      <c r="P24" s="119"/>
      <c r="Q24" s="119"/>
      <c r="R24" s="119"/>
      <c r="S24" s="119"/>
      <c r="T24" s="119"/>
    </row>
    <row r="25" spans="15:20" ht="15.5" thickTop="1" thickBot="1">
      <c r="O25" s="123" t="str">
        <f>'Reference Sheet for Uni spec'!G16</f>
        <v>Berkeley</v>
      </c>
      <c r="P25" s="123"/>
      <c r="Q25" s="123"/>
      <c r="R25" s="112">
        <f>'Reference Sheet for Uni spec'!H16</f>
        <v>0.6624379847106362</v>
      </c>
      <c r="S25" s="112"/>
      <c r="T25" s="112"/>
    </row>
    <row r="26" spans="15:20" ht="15.5" thickTop="1" thickBot="1">
      <c r="O26" s="123"/>
      <c r="P26" s="123"/>
      <c r="Q26" s="123"/>
      <c r="R26" s="112"/>
      <c r="S26" s="112"/>
      <c r="T26" s="112"/>
    </row>
    <row r="27" spans="15:20" ht="15.5" customHeight="1" thickTop="1" thickBot="1">
      <c r="O27" s="123" t="str">
        <f>'Reference Sheet for Uni spec'!G17</f>
        <v>New York City</v>
      </c>
      <c r="P27" s="123"/>
      <c r="Q27" s="123"/>
      <c r="R27" s="112">
        <f>'Reference Sheet for Uni spec'!H17</f>
        <v>0.54854651377595587</v>
      </c>
      <c r="S27" s="112"/>
      <c r="T27" s="112"/>
    </row>
    <row r="28" spans="15:20" ht="15.5" customHeight="1" thickTop="1" thickBot="1">
      <c r="O28" s="123"/>
      <c r="P28" s="123"/>
      <c r="Q28" s="123"/>
      <c r="R28" s="112"/>
      <c r="S28" s="112"/>
      <c r="T28" s="112"/>
    </row>
    <row r="29" spans="15:20" ht="15.5" customHeight="1" thickTop="1" thickBot="1">
      <c r="O29" s="123" t="str">
        <f>'Reference Sheet for Uni spec'!G18</f>
        <v>Philadelphia</v>
      </c>
      <c r="P29" s="123"/>
      <c r="Q29" s="123"/>
      <c r="R29" s="112">
        <f>'Reference Sheet for Uni spec'!H18</f>
        <v>0.66938980485531996</v>
      </c>
      <c r="S29" s="112"/>
      <c r="T29" s="112"/>
    </row>
    <row r="30" spans="15:20" ht="15.5" customHeight="1" thickTop="1" thickBot="1">
      <c r="O30" s="123"/>
      <c r="P30" s="123"/>
      <c r="Q30" s="123"/>
      <c r="R30" s="112"/>
      <c r="S30" s="112"/>
      <c r="T30" s="112"/>
    </row>
    <row r="31" spans="15:20" ht="15.5" customHeight="1" thickTop="1" thickBot="1">
      <c r="O31" s="123" t="str">
        <f>'Reference Sheet for Uni spec'!G19</f>
        <v>Philadelphia</v>
      </c>
      <c r="P31" s="123"/>
      <c r="Q31" s="123"/>
      <c r="R31" s="112">
        <f>'Reference Sheet for Uni spec'!H19</f>
        <v>0.66938980485531996</v>
      </c>
      <c r="S31" s="112"/>
      <c r="T31" s="112"/>
    </row>
    <row r="32" spans="15:20" ht="15.5" customHeight="1" thickTop="1" thickBot="1">
      <c r="O32" s="123"/>
      <c r="P32" s="123"/>
      <c r="Q32" s="123"/>
      <c r="R32" s="112"/>
      <c r="S32" s="112"/>
      <c r="T32" s="112"/>
    </row>
    <row r="33" spans="15:20" ht="15.5" customHeight="1" thickTop="1" thickBot="1">
      <c r="O33" s="123" t="str">
        <f>'Reference Sheet for Uni spec'!G20</f>
        <v>Stanford</v>
      </c>
      <c r="P33" s="123"/>
      <c r="Q33" s="123"/>
      <c r="R33" s="112">
        <f>'Reference Sheet for Uni spec'!H20</f>
        <v>0.70039418909019824</v>
      </c>
      <c r="S33" s="112"/>
      <c r="T33" s="112"/>
    </row>
    <row r="34" spans="15:20" ht="15.5" customHeight="1" thickTop="1" thickBot="1">
      <c r="O34" s="123"/>
      <c r="P34" s="123"/>
      <c r="Q34" s="123"/>
      <c r="R34" s="112"/>
      <c r="S34" s="112"/>
      <c r="T34" s="112"/>
    </row>
    <row r="35" spans="15:20" ht="15" thickTop="1"/>
    <row r="37" spans="15:20">
      <c r="P37" s="120" t="s">
        <v>2531</v>
      </c>
      <c r="Q37" s="122"/>
      <c r="R37" s="122"/>
      <c r="S37" s="121"/>
    </row>
    <row r="38" spans="15:20">
      <c r="P38" s="115"/>
      <c r="Q38" s="118"/>
      <c r="R38" s="118"/>
      <c r="S38" s="116"/>
    </row>
    <row r="39" spans="15:20">
      <c r="P39" s="120" t="s">
        <v>2510</v>
      </c>
      <c r="Q39" s="121"/>
      <c r="R39" s="117">
        <v>0.4</v>
      </c>
      <c r="S39" s="114"/>
    </row>
    <row r="40" spans="15:20">
      <c r="P40" s="115"/>
      <c r="Q40" s="116"/>
      <c r="R40" s="118"/>
      <c r="S40" s="116"/>
    </row>
    <row r="41" spans="15:20">
      <c r="P41" s="113" t="s">
        <v>2523</v>
      </c>
      <c r="Q41" s="114"/>
      <c r="R41" s="117">
        <v>0.3</v>
      </c>
      <c r="S41" s="114"/>
    </row>
    <row r="42" spans="15:20">
      <c r="P42" s="115"/>
      <c r="Q42" s="116"/>
      <c r="R42" s="118"/>
      <c r="S42" s="116"/>
    </row>
    <row r="43" spans="15:20">
      <c r="P43" s="113" t="s">
        <v>2518</v>
      </c>
      <c r="Q43" s="114"/>
      <c r="R43" s="117">
        <v>0.3</v>
      </c>
      <c r="S43" s="114"/>
    </row>
    <row r="44" spans="15:20">
      <c r="P44" s="115"/>
      <c r="Q44" s="116"/>
      <c r="R44" s="118"/>
      <c r="S44" s="116"/>
    </row>
  </sheetData>
  <sortState xmlns:xlrd2="http://schemas.microsoft.com/office/spreadsheetml/2017/richdata2" ref="O23:T34">
    <sortCondition descending="1" ref="R23:R34"/>
  </sortState>
  <mergeCells count="19">
    <mergeCell ref="O23:Q24"/>
    <mergeCell ref="R23:T24"/>
    <mergeCell ref="P39:Q40"/>
    <mergeCell ref="R39:S40"/>
    <mergeCell ref="P41:Q42"/>
    <mergeCell ref="P37:S38"/>
    <mergeCell ref="O25:Q26"/>
    <mergeCell ref="O27:Q28"/>
    <mergeCell ref="O29:Q30"/>
    <mergeCell ref="O31:Q32"/>
    <mergeCell ref="O33:Q34"/>
    <mergeCell ref="R25:T26"/>
    <mergeCell ref="R27:T28"/>
    <mergeCell ref="R29:T30"/>
    <mergeCell ref="R31:T32"/>
    <mergeCell ref="R33:T34"/>
    <mergeCell ref="P43:Q44"/>
    <mergeCell ref="R41:S42"/>
    <mergeCell ref="R43:S44"/>
  </mergeCells>
  <conditionalFormatting sqref="R25:T34">
    <cfRule type="top10" dxfId="14" priority="1" rank="1"/>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A4F05-3404-F342-9D0D-1A9BC41A0DD6}">
  <sheetPr codeName="Sheet11"/>
  <dimension ref="A1:B6"/>
  <sheetViews>
    <sheetView workbookViewId="0">
      <selection activeCell="A17" sqref="A17"/>
    </sheetView>
  </sheetViews>
  <sheetFormatPr defaultColWidth="10.81640625" defaultRowHeight="14.5"/>
  <cols>
    <col min="1" max="1" width="92.7265625" bestFit="1" customWidth="1"/>
    <col min="2" max="2" width="20.7265625" bestFit="1" customWidth="1"/>
  </cols>
  <sheetData>
    <row r="1" spans="1:2">
      <c r="A1" s="5" t="s">
        <v>2340</v>
      </c>
      <c r="B1" t="s">
        <v>2346</v>
      </c>
    </row>
    <row r="2" spans="1:2">
      <c r="A2" s="5" t="s">
        <v>2341</v>
      </c>
      <c r="B2" t="s">
        <v>2342</v>
      </c>
    </row>
    <row r="3" spans="1:2">
      <c r="A3" s="5" t="s">
        <v>2343</v>
      </c>
      <c r="B3" t="s">
        <v>2344</v>
      </c>
    </row>
    <row r="4" spans="1:2">
      <c r="A4" s="5" t="s">
        <v>2345</v>
      </c>
      <c r="B4" t="s">
        <v>2347</v>
      </c>
    </row>
    <row r="5" spans="1:2">
      <c r="A5" s="5" t="s">
        <v>2348</v>
      </c>
      <c r="B5" t="s">
        <v>2349</v>
      </c>
    </row>
    <row r="6" spans="1:2">
      <c r="A6" s="5" t="s">
        <v>2511</v>
      </c>
      <c r="B6" t="s">
        <v>2510</v>
      </c>
    </row>
  </sheetData>
  <hyperlinks>
    <hyperlink ref="A1" r:id="rId1" xr:uid="{F36D67FC-200F-5046-9586-E281A7D53311}"/>
    <hyperlink ref="A2" r:id="rId2" xr:uid="{B5782BE7-B45A-2342-892C-FB311C1E4344}"/>
    <hyperlink ref="A3" r:id="rId3" xr:uid="{6E377D0D-C16E-4C42-ABBA-DA9527342B32}"/>
    <hyperlink ref="A4" r:id="rId4" xr:uid="{14B2B915-A9F2-3141-B8BE-7CEA357FCCEF}"/>
    <hyperlink ref="A5" r:id="rId5" xr:uid="{14138540-FEA0-ED4F-91E7-9560D084763B}"/>
    <hyperlink ref="A6" r:id="rId6" xr:uid="{A5656A7A-9863-41F8-8C8A-66AD772A118E}"/>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BF116-56FB-4C44-AA0A-D641C34A12E1}">
  <sheetPr codeName="Sheet16"/>
  <dimension ref="A1"/>
  <sheetViews>
    <sheetView workbookViewId="0"/>
  </sheetViews>
  <sheetFormatPr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 
</file>

<file path=customXml/item4.xml>�� 
</file>

<file path=customXml/item5.xml>�� 
</file>

<file path=customXml/item6.xml>�� 
</file>

<file path=customXml/item7.xml>�� �% �% 
</file>

<file path=customXml/item8.xml>�� �% 
</file>

<file path=customXml/itemProps1.xml><?xml version="1.0" encoding="utf-8"?>
<ds:datastoreItem xmlns:ds="http://schemas.openxmlformats.org/officeDocument/2006/customXml" ds:itemID="{C2589003-EB51-4E79-8AE7-B5752418BFB7}">
  <ds:schemaRefs/>
</ds:datastoreItem>
</file>

<file path=customXml/itemProps2.xml><?xml version="1.0" encoding="utf-8"?>
<ds:datastoreItem xmlns:ds="http://schemas.openxmlformats.org/officeDocument/2006/customXml" ds:itemID="{5369F4B7-7E16-40E8-9330-C5BA5F6696B1}">
  <ds:schemaRefs>
    <ds:schemaRef ds:uri="http://schemas.microsoft.com/DataMashup"/>
  </ds:schemaRefs>
</ds:datastoreItem>
</file>

<file path=customXml/itemProps3.xml><?xml version="1.0" encoding="utf-8"?>
<ds:datastoreItem xmlns:ds="http://schemas.openxmlformats.org/officeDocument/2006/customXml" ds:itemID="{D84628ED-151D-4DE8-BDC7-9E51D2D90503}">
  <ds:schemaRefs/>
</ds:datastoreItem>
</file>

<file path=customXml/itemProps4.xml><?xml version="1.0" encoding="utf-8"?>
<ds:datastoreItem xmlns:ds="http://schemas.openxmlformats.org/officeDocument/2006/customXml" ds:itemID="{5B5B3F9E-F3B9-4D81-8743-A961468206CD}">
  <ds:schemaRefs/>
</ds:datastoreItem>
</file>

<file path=customXml/itemProps5.xml><?xml version="1.0" encoding="utf-8"?>
<ds:datastoreItem xmlns:ds="http://schemas.openxmlformats.org/officeDocument/2006/customXml" ds:itemID="{D5CDA4C8-8C78-4495-A559-C243A607AA34}">
  <ds:schemaRefs/>
</ds:datastoreItem>
</file>

<file path=customXml/itemProps6.xml><?xml version="1.0" encoding="utf-8"?>
<ds:datastoreItem xmlns:ds="http://schemas.openxmlformats.org/officeDocument/2006/customXml" ds:itemID="{4FF01EE4-570E-44B3-8C96-13421C966BB3}">
  <ds:schemaRefs/>
</ds:datastoreItem>
</file>

<file path=customXml/itemProps7.xml><?xml version="1.0" encoding="utf-8"?>
<ds:datastoreItem xmlns:ds="http://schemas.openxmlformats.org/officeDocument/2006/customXml" ds:itemID="{45C951CD-7602-401C-9DD3-694A0E2EC888}">
  <ds:schemaRefs/>
</ds:datastoreItem>
</file>

<file path=customXml/itemProps8.xml><?xml version="1.0" encoding="utf-8"?>
<ds:datastoreItem xmlns:ds="http://schemas.openxmlformats.org/officeDocument/2006/customXml" ds:itemID="{8369B818-5FF9-4FC4-B585-49A7DAD32E8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Introduction</vt:lpstr>
      <vt:lpstr>Top 100 Universities</vt:lpstr>
      <vt:lpstr>Forbes Top 500 Unis</vt:lpstr>
      <vt:lpstr>Safest States</vt:lpstr>
      <vt:lpstr>Forbes</vt:lpstr>
      <vt:lpstr>State_Crime Rate</vt:lpstr>
      <vt:lpstr>Party Affliation by States</vt:lpstr>
      <vt:lpstr>Cost of Living</vt:lpstr>
      <vt:lpstr>Safety, Crime, Party Comb.sheet</vt:lpstr>
      <vt:lpstr>Make Your Selection</vt:lpstr>
      <vt:lpstr>Detailed Analysis</vt:lpstr>
      <vt:lpstr>Uni Specific Visuals</vt:lpstr>
      <vt:lpstr>Reference Sheet for Uni spec</vt:lpstr>
      <vt:lpstr>State Specific Analysis</vt:lpstr>
      <vt:lpstr>References</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Prathna Bhanushali</cp:lastModifiedBy>
  <cp:lastPrinted>2024-12-09T20:00:31Z</cp:lastPrinted>
  <dcterms:created xsi:type="dcterms:W3CDTF">2024-11-27T18:44:43Z</dcterms:created>
  <dcterms:modified xsi:type="dcterms:W3CDTF">2025-11-24T22:24:05Z</dcterms:modified>
</cp:coreProperties>
</file>